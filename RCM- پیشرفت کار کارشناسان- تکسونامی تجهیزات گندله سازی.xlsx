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ddadnia\Documents\GitHub\RCM_data_concatinating\"/>
    </mc:Choice>
  </mc:AlternateContent>
  <bookViews>
    <workbookView xWindow="-120" yWindow="-120" windowWidth="24240" windowHeight="13140"/>
  </bookViews>
  <sheets>
    <sheet name="تجهیزات صنعتی گندله سازی" sheetId="2" r:id="rId1"/>
    <sheet name="متفرقه" sheetId="3" r:id="rId2"/>
    <sheet name="Sheet1" sheetId="5" r:id="rId3"/>
  </sheets>
  <externalReferences>
    <externalReference r:id="rId4"/>
  </externalReferences>
  <definedNames>
    <definedName name="_xlnm._FilterDatabase" localSheetId="2" hidden="1">Sheet1!$A$1:$D$1132</definedName>
    <definedName name="_xlnm._FilterDatabase" localSheetId="0" hidden="1">'تجهیزات صنعتی گندله سازی'!$A$7:$AF$595</definedName>
    <definedName name="_xlchart.v1.0" hidden="1">'[1]Final Sorting'!$CS$7:$CS$541</definedName>
    <definedName name="_xlnm.Print_Titles" localSheetId="0">'تجهیزات صنعتی گندله سازی'!$6:$7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8" i="2" l="1"/>
  <c r="V3" i="2" l="1"/>
  <c r="Q2" i="2"/>
  <c r="Q4" i="2" s="1"/>
  <c r="H2" i="2"/>
  <c r="I2" i="2"/>
  <c r="J2" i="2"/>
  <c r="K2" i="2"/>
  <c r="L2" i="2"/>
  <c r="M2" i="2"/>
  <c r="N2" i="2"/>
  <c r="O2" i="2"/>
  <c r="P2" i="2"/>
  <c r="R2" i="2"/>
  <c r="S2" i="2"/>
  <c r="T2" i="2"/>
  <c r="T4" i="2" s="1"/>
  <c r="U2" i="2"/>
  <c r="U4" i="2" s="1"/>
  <c r="G2" i="2"/>
  <c r="M8" i="2"/>
  <c r="AF2" i="2"/>
  <c r="V2" i="2" l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8" i="2"/>
  <c r="O474" i="3" l="1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G4" i="2" l="1"/>
  <c r="G5" i="2" s="1"/>
  <c r="H4" i="2"/>
  <c r="H5" i="2" s="1"/>
  <c r="I4" i="2"/>
  <c r="I5" i="2" s="1"/>
  <c r="K4" i="2"/>
  <c r="K5" i="2" s="1"/>
  <c r="N4" i="2"/>
  <c r="N5" i="2" s="1"/>
  <c r="J4" i="2"/>
  <c r="J5" i="2" s="1"/>
  <c r="L4" i="2"/>
  <c r="L5" i="2" s="1"/>
  <c r="M4" i="2"/>
  <c r="M5" i="2" s="1"/>
  <c r="O4" i="2"/>
  <c r="O5" i="2" s="1"/>
  <c r="R4" i="2"/>
  <c r="R5" i="2" s="1"/>
  <c r="S4" i="2"/>
  <c r="S5" i="2" s="1"/>
  <c r="P4" i="2"/>
  <c r="P5" i="2" s="1"/>
  <c r="D5" i="2"/>
  <c r="D3" i="2"/>
  <c r="D4" i="2"/>
  <c r="D2" i="2"/>
  <c r="V5" i="2" l="1"/>
</calcChain>
</file>

<file path=xl/sharedStrings.xml><?xml version="1.0" encoding="utf-8"?>
<sst xmlns="http://schemas.openxmlformats.org/spreadsheetml/2006/main" count="6312" uniqueCount="1471">
  <si>
    <t>نام تجهیز</t>
  </si>
  <si>
    <t>کوره دوار</t>
  </si>
  <si>
    <t>وت اسکرابر</t>
  </si>
  <si>
    <t>استک</t>
  </si>
  <si>
    <t>گیت</t>
  </si>
  <si>
    <t>نوار نقاله</t>
  </si>
  <si>
    <t>فن پروسه</t>
  </si>
  <si>
    <t>دمپر</t>
  </si>
  <si>
    <t>برنر</t>
  </si>
  <si>
    <t>پلو</t>
  </si>
  <si>
    <t>بلوور</t>
  </si>
  <si>
    <t>هاپر</t>
  </si>
  <si>
    <t>واتر پمپ</t>
  </si>
  <si>
    <t>رولر پرس</t>
  </si>
  <si>
    <t>واگن دامپر</t>
  </si>
  <si>
    <t>1010EH07</t>
  </si>
  <si>
    <t>1010EH06</t>
  </si>
  <si>
    <t>1010EH04</t>
  </si>
  <si>
    <t>1010EH03</t>
  </si>
  <si>
    <t>1010EH02</t>
  </si>
  <si>
    <t>1010EH01</t>
  </si>
  <si>
    <t>1010CA13</t>
  </si>
  <si>
    <t>1010CA12</t>
  </si>
  <si>
    <t>1010CA11</t>
  </si>
  <si>
    <t>1010CA10</t>
  </si>
  <si>
    <t>1010CA09</t>
  </si>
  <si>
    <t>1010CA08</t>
  </si>
  <si>
    <t>1010CA07</t>
  </si>
  <si>
    <t>1010CA06</t>
  </si>
  <si>
    <t>1010CA05</t>
  </si>
  <si>
    <t>1010CA04</t>
  </si>
  <si>
    <t>1010CA03</t>
  </si>
  <si>
    <t>1010CA02</t>
  </si>
  <si>
    <t>1010CA01</t>
  </si>
  <si>
    <t>برنر موتورخانه مهمانسرا</t>
  </si>
  <si>
    <t>هواساز آشپزخانه</t>
  </si>
  <si>
    <t>هواساز رستوران</t>
  </si>
  <si>
    <t>پمپ شناور چاه شماره دو</t>
  </si>
  <si>
    <t>آسانسور بالینگ</t>
  </si>
  <si>
    <t>1570LP05</t>
  </si>
  <si>
    <t>1570LP04</t>
  </si>
  <si>
    <t>1570LP03</t>
  </si>
  <si>
    <t>1570LP02</t>
  </si>
  <si>
    <t>1570LP01</t>
  </si>
  <si>
    <t>1570DS01</t>
  </si>
  <si>
    <t>1570BU01</t>
  </si>
  <si>
    <t>1560LP04</t>
  </si>
  <si>
    <t>1560LP03</t>
  </si>
  <si>
    <t>1560LP02</t>
  </si>
  <si>
    <t>1560LP01</t>
  </si>
  <si>
    <t>1550LP04</t>
  </si>
  <si>
    <t>1550LP03</t>
  </si>
  <si>
    <t>1550LP02</t>
  </si>
  <si>
    <t>1550LP01</t>
  </si>
  <si>
    <t>1550BU01</t>
  </si>
  <si>
    <t>1540AH02</t>
  </si>
  <si>
    <t>1540AH01</t>
  </si>
  <si>
    <t>1530AH01</t>
  </si>
  <si>
    <t>1520WP12</t>
  </si>
  <si>
    <t>1520WP11</t>
  </si>
  <si>
    <t>1520WP10</t>
  </si>
  <si>
    <t>1520DS02</t>
  </si>
  <si>
    <t>1520DS01</t>
  </si>
  <si>
    <t>1520BU03</t>
  </si>
  <si>
    <t>1520BU02</t>
  </si>
  <si>
    <t>1520BU01</t>
  </si>
  <si>
    <t>1520BH03</t>
  </si>
  <si>
    <t>1520BH02</t>
  </si>
  <si>
    <t>1520BH01</t>
  </si>
  <si>
    <t>1510LP04</t>
  </si>
  <si>
    <t>1510LP03</t>
  </si>
  <si>
    <t>1510LP02</t>
  </si>
  <si>
    <t>1510LP01</t>
  </si>
  <si>
    <t>1510AH02</t>
  </si>
  <si>
    <t>1510AH01</t>
  </si>
  <si>
    <t>1320WP12</t>
  </si>
  <si>
    <t>1320WP11</t>
  </si>
  <si>
    <t>1320WP10</t>
  </si>
  <si>
    <t xml:space="preserve">داکت </t>
  </si>
  <si>
    <t>اسپلیت یونیت</t>
  </si>
  <si>
    <t>باکت الواتور</t>
  </si>
  <si>
    <t>کارلودر</t>
  </si>
  <si>
    <t>سامپ</t>
  </si>
  <si>
    <t>1320WP13</t>
  </si>
  <si>
    <t>1320WP14</t>
  </si>
  <si>
    <t>فیلتر گاز</t>
  </si>
  <si>
    <t>1510DS01</t>
  </si>
  <si>
    <t>1520ET01</t>
  </si>
  <si>
    <t>1520ET02</t>
  </si>
  <si>
    <t>1520LP01</t>
  </si>
  <si>
    <t>1520LP02</t>
  </si>
  <si>
    <t>1550BU02</t>
  </si>
  <si>
    <t>1570BU02</t>
  </si>
  <si>
    <t>1590WT01</t>
  </si>
  <si>
    <t>1590WT02</t>
  </si>
  <si>
    <t>1590WT03</t>
  </si>
  <si>
    <t>1590PI01</t>
  </si>
  <si>
    <t>1590SU01</t>
  </si>
  <si>
    <t>1590SU02</t>
  </si>
  <si>
    <t>1590SU03</t>
  </si>
  <si>
    <t>1580LP01</t>
  </si>
  <si>
    <t>پمپ خطی</t>
  </si>
  <si>
    <t>1580BU01</t>
  </si>
  <si>
    <t>1580SH01</t>
  </si>
  <si>
    <t>آبگرم کن خورشیدی</t>
  </si>
  <si>
    <t>روتاری فیدر</t>
  </si>
  <si>
    <t>بین</t>
  </si>
  <si>
    <t>1010EH05</t>
  </si>
  <si>
    <t>فن منگان گریسی</t>
  </si>
  <si>
    <t>ترانسفر تاور</t>
  </si>
  <si>
    <t>1310PI01</t>
  </si>
  <si>
    <t>اگزاس فن</t>
  </si>
  <si>
    <t>دیزل پمپ</t>
  </si>
  <si>
    <t>1510AC01</t>
  </si>
  <si>
    <t>1510AC02</t>
  </si>
  <si>
    <t>1510EC01</t>
  </si>
  <si>
    <t>1510EC02</t>
  </si>
  <si>
    <t>1510WP01</t>
  </si>
  <si>
    <t>1510WP02</t>
  </si>
  <si>
    <t>1510WP03</t>
  </si>
  <si>
    <t>1510WP04</t>
  </si>
  <si>
    <t>1510WP05</t>
  </si>
  <si>
    <t>1510WP06</t>
  </si>
  <si>
    <t>1510WP07</t>
  </si>
  <si>
    <t>1520WP01</t>
  </si>
  <si>
    <t>برنر موتورخانه</t>
  </si>
  <si>
    <t>تانک سرریز</t>
  </si>
  <si>
    <t>تانک ته نشینی</t>
  </si>
  <si>
    <t>اسلاری پمپ</t>
  </si>
  <si>
    <t>اسلاری میکسر</t>
  </si>
  <si>
    <t>1520EC01</t>
  </si>
  <si>
    <t>1520EC02</t>
  </si>
  <si>
    <t>1320PI01</t>
  </si>
  <si>
    <t>1330PI01</t>
  </si>
  <si>
    <t>1350PI01</t>
  </si>
  <si>
    <t>1360PI01</t>
  </si>
  <si>
    <t>1370PI01</t>
  </si>
  <si>
    <t>1390PI01</t>
  </si>
  <si>
    <t>1400PI01</t>
  </si>
  <si>
    <t>تانک</t>
  </si>
  <si>
    <t>اسکنر</t>
  </si>
  <si>
    <t>انولار کولر</t>
  </si>
  <si>
    <t>باسکول</t>
  </si>
  <si>
    <t>برنر موتورخانه کمپ F,M</t>
  </si>
  <si>
    <t>پمپ کف کش</t>
  </si>
  <si>
    <t>تانک آب فشار</t>
  </si>
  <si>
    <t>دودکش</t>
  </si>
  <si>
    <t>کمپرسور هوا</t>
  </si>
  <si>
    <t>متال دتکتور</t>
  </si>
  <si>
    <t>اپرون فیدر</t>
  </si>
  <si>
    <t>اسپیرال کلاسیفایر</t>
  </si>
  <si>
    <t>استکر (ماشین انباشت کننده)</t>
  </si>
  <si>
    <t>ایستگاه گاز مایع و تبخیر کننده گاز مایع</t>
  </si>
  <si>
    <t>آسانسور فیلترینگ</t>
  </si>
  <si>
    <t>آسانسور میکسینگ</t>
  </si>
  <si>
    <t>آسیاب غلتکی</t>
  </si>
  <si>
    <t>بال میل</t>
  </si>
  <si>
    <t>بالینگ دیسک</t>
  </si>
  <si>
    <t>برج خنک کن چیلر موتورخانه بالینگ</t>
  </si>
  <si>
    <t>برج خنک کن چیلر موتورخانه مرکزی</t>
  </si>
  <si>
    <t>برنر موتورخانه مرکزی</t>
  </si>
  <si>
    <t>بگ فیلتر</t>
  </si>
  <si>
    <t>بلت اسکیل</t>
  </si>
  <si>
    <t>بلت فیدر</t>
  </si>
  <si>
    <t>بویلر آب گرم فولادی</t>
  </si>
  <si>
    <t>پمپ آتشنشانی</t>
  </si>
  <si>
    <t>پمپ خطی برگشتی موتورخانه بالینگ</t>
  </si>
  <si>
    <t>پمپ خطی برگشتی موتورخانه کمپ مهندسین</t>
  </si>
  <si>
    <t>پمپ خطی برگشتی موتورخانه مدیریت</t>
  </si>
  <si>
    <t>پمپ خطی برگشتی موتورخانه مهمانسرا</t>
  </si>
  <si>
    <t>پمپ شناور چاه شماره یک</t>
  </si>
  <si>
    <t>پمپ و دیزلی ژنراتور آتشنشانی</t>
  </si>
  <si>
    <t>پن کانوایر</t>
  </si>
  <si>
    <t>تانک تصفیه</t>
  </si>
  <si>
    <t>تراولینگ گریت</t>
  </si>
  <si>
    <t>تیکنر</t>
  </si>
  <si>
    <t>جرثقیل سقفی اتاق کمپرسور</t>
  </si>
  <si>
    <t>جرثقیل سقفی اسکرین</t>
  </si>
  <si>
    <t>جرثقیل سقفی انبار کارفرما 01</t>
  </si>
  <si>
    <t>جرثقیل سقفی انبار کارفرما 2</t>
  </si>
  <si>
    <t>جرثقیل سقفی انبار کارفرما 3</t>
  </si>
  <si>
    <t>جرثقیل سقفی بال میل</t>
  </si>
  <si>
    <t>جرثقیل سقفی بالای رولر فیدر</t>
  </si>
  <si>
    <t>جرثقیل سقفی بالای فیلتر دیسک</t>
  </si>
  <si>
    <t>جرثقیل سقفی بالینگ</t>
  </si>
  <si>
    <t>جرثقیل سقفی تراولینگ</t>
  </si>
  <si>
    <t>جرثقیل سقفی چاه آب شور</t>
  </si>
  <si>
    <t>جرثقیل سقفی رولر میل</t>
  </si>
  <si>
    <t>جرثقیل سقفی کارگاه</t>
  </si>
  <si>
    <t>جرثقیل سقفی کارگاه پیمانکار زرپی جوش</t>
  </si>
  <si>
    <t>جرثقیل سقفی کولینگ</t>
  </si>
  <si>
    <t>جرثقیل سقفی میکسینگ</t>
  </si>
  <si>
    <t>جرثقیل سقفی واگن دامپر</t>
  </si>
  <si>
    <t>چیلر جذبی</t>
  </si>
  <si>
    <t>چیلر جذبی موتورخانه مرکزی</t>
  </si>
  <si>
    <t>رطوبت گیر هوا</t>
  </si>
  <si>
    <t>روتاری فیدر بگ فیلتر</t>
  </si>
  <si>
    <t>رولر فیدر</t>
  </si>
  <si>
    <t>رولر کلاسیفایر</t>
  </si>
  <si>
    <t>ساید استریم فیلتر</t>
  </si>
  <si>
    <t>سایکلون</t>
  </si>
  <si>
    <t>سختی گیر</t>
  </si>
  <si>
    <t>سختی گیر پمپ خانه</t>
  </si>
  <si>
    <t>سختی گیر موتورخانه بالینگ</t>
  </si>
  <si>
    <t>سختی گیر موتورخانه مرکزی</t>
  </si>
  <si>
    <t>سیستم تصفیه آب آشامیدنی و کلر زنی</t>
  </si>
  <si>
    <t>سیلندر نیتروژن</t>
  </si>
  <si>
    <t>سیلوی بنتونیت</t>
  </si>
  <si>
    <t>غبارگیر الکتروستاتیک</t>
  </si>
  <si>
    <t>فن منگان روغنی</t>
  </si>
  <si>
    <t>فن منگان گریسی/ایرهیتر</t>
  </si>
  <si>
    <t>فیلتر دیسک</t>
  </si>
  <si>
    <t>کانوایر پیچشی</t>
  </si>
  <si>
    <t>کلاریفایر</t>
  </si>
  <si>
    <t>کمپرسور هوای HPGR</t>
  </si>
  <si>
    <t>کمپرسور هوای واگن دامپر</t>
  </si>
  <si>
    <t>کوره ژنراتور هوای گرم</t>
  </si>
  <si>
    <t>کوره ژنراتور هوای گرم(ایرهیتر)</t>
  </si>
  <si>
    <t>کولینک تاور</t>
  </si>
  <si>
    <t>کولینگ تاور</t>
  </si>
  <si>
    <t>گیرنده هوا</t>
  </si>
  <si>
    <t>ماشین برداشت</t>
  </si>
  <si>
    <t>مگنتیک سپریتور</t>
  </si>
  <si>
    <t>منبع انبساط بویلرها</t>
  </si>
  <si>
    <t>مولتی سایکلون</t>
  </si>
  <si>
    <t>میکسر</t>
  </si>
  <si>
    <t>نقاله زنجیری</t>
  </si>
  <si>
    <t>نمونه گیر</t>
  </si>
  <si>
    <t>نوار نقاله رفت برگشتی</t>
  </si>
  <si>
    <t>نوار نقاله عریض</t>
  </si>
  <si>
    <t>هواساز اداری ساختمان بالینگ</t>
  </si>
  <si>
    <t>هواساز آزمایشگاه</t>
  </si>
  <si>
    <t>هواساز پست برق ساختمان بالینگ</t>
  </si>
  <si>
    <t>واحد تصفیه خانه فاضلاب</t>
  </si>
  <si>
    <t>وکیوم پمپ</t>
  </si>
  <si>
    <t>ویبریتینگ اسکرین (سرند)</t>
  </si>
  <si>
    <t>ویبریتینگ فیدر</t>
  </si>
  <si>
    <t>ویت فیدر</t>
  </si>
  <si>
    <t>داکت</t>
  </si>
  <si>
    <t>کچ باکس</t>
  </si>
  <si>
    <t>آبسرد کن میکسینگ</t>
  </si>
  <si>
    <t>آبسرد کن</t>
  </si>
  <si>
    <t>دوزینگ پمپ</t>
  </si>
  <si>
    <t>پایپینگ</t>
  </si>
  <si>
    <t>1520AC01</t>
  </si>
  <si>
    <t>1520AC02</t>
  </si>
  <si>
    <t>1320DS01</t>
  </si>
  <si>
    <t>1320DS02</t>
  </si>
  <si>
    <t>1320DS03</t>
  </si>
  <si>
    <t>1320DS04</t>
  </si>
  <si>
    <t>1590WP06</t>
  </si>
  <si>
    <t>1590WP05</t>
  </si>
  <si>
    <t>1590WP04</t>
  </si>
  <si>
    <t>1590WP03</t>
  </si>
  <si>
    <t>1590WP02</t>
  </si>
  <si>
    <t>1590WP01</t>
  </si>
  <si>
    <t>1590IP01</t>
  </si>
  <si>
    <t>1590CP01</t>
  </si>
  <si>
    <t>1570WP02</t>
  </si>
  <si>
    <t>1570WP01</t>
  </si>
  <si>
    <t>1520WP09</t>
  </si>
  <si>
    <t>1520WP08</t>
  </si>
  <si>
    <t>1520WP07</t>
  </si>
  <si>
    <t>1520WP06</t>
  </si>
  <si>
    <t>1520WP05</t>
  </si>
  <si>
    <t>1520WP04</t>
  </si>
  <si>
    <t>1520WP03</t>
  </si>
  <si>
    <t>1520WP02</t>
  </si>
  <si>
    <t>1400WP03</t>
  </si>
  <si>
    <t>1400WP02</t>
  </si>
  <si>
    <t>1400WP01</t>
  </si>
  <si>
    <t>1360CP02</t>
  </si>
  <si>
    <t>1360CP01</t>
  </si>
  <si>
    <t>1360AR04</t>
  </si>
  <si>
    <t>1360AR03</t>
  </si>
  <si>
    <t>1360AR02</t>
  </si>
  <si>
    <t>1360AR01</t>
  </si>
  <si>
    <t>1350CP04</t>
  </si>
  <si>
    <t>1350CP03</t>
  </si>
  <si>
    <t>1350CP02</t>
  </si>
  <si>
    <t>1350CP01</t>
  </si>
  <si>
    <t>1350AR04</t>
  </si>
  <si>
    <t>1350AR03</t>
  </si>
  <si>
    <t>1350AR02</t>
  </si>
  <si>
    <t>1350AR01</t>
  </si>
  <si>
    <t>1330WP04</t>
  </si>
  <si>
    <t>1330WP03</t>
  </si>
  <si>
    <t>1330WP02</t>
  </si>
  <si>
    <t>1330WP01</t>
  </si>
  <si>
    <t>1330WA01</t>
  </si>
  <si>
    <t>1320WT02</t>
  </si>
  <si>
    <t>1320WT01</t>
  </si>
  <si>
    <t>1320WP09</t>
  </si>
  <si>
    <t>1320WP08</t>
  </si>
  <si>
    <t>1320WP07</t>
  </si>
  <si>
    <t>1320WP06</t>
  </si>
  <si>
    <t>1320WP05</t>
  </si>
  <si>
    <t>1320WP04</t>
  </si>
  <si>
    <t>1320WP03</t>
  </si>
  <si>
    <t>1320WP02</t>
  </si>
  <si>
    <t>1320WP01</t>
  </si>
  <si>
    <t>1320SS01</t>
  </si>
  <si>
    <t>1320EC02</t>
  </si>
  <si>
    <t>1320EC01</t>
  </si>
  <si>
    <t>1320DO01</t>
  </si>
  <si>
    <t>1310WP02</t>
  </si>
  <si>
    <t>1310WP01</t>
  </si>
  <si>
    <t>1010EL03</t>
  </si>
  <si>
    <t>1010EL02</t>
  </si>
  <si>
    <t>1010EL01</t>
  </si>
  <si>
    <t>1350EF01</t>
  </si>
  <si>
    <t>1510EF01</t>
  </si>
  <si>
    <t>1370LPG01</t>
  </si>
  <si>
    <t>1330WT01</t>
  </si>
  <si>
    <t>1330WT02</t>
  </si>
  <si>
    <t>1390WT01</t>
  </si>
  <si>
    <t>1390WT02</t>
  </si>
  <si>
    <t>1310WT01</t>
  </si>
  <si>
    <t>1380DP01</t>
  </si>
  <si>
    <t>1380DP02</t>
  </si>
  <si>
    <t>1360CD01</t>
  </si>
  <si>
    <t>1360CD02</t>
  </si>
  <si>
    <t>1360CD03</t>
  </si>
  <si>
    <t>1370NG01</t>
  </si>
  <si>
    <t>1370NG02</t>
  </si>
  <si>
    <t>1370NG03</t>
  </si>
  <si>
    <t>1370NG04</t>
  </si>
  <si>
    <t>1370GF01</t>
  </si>
  <si>
    <t>1390WP01</t>
  </si>
  <si>
    <t>1340SE01</t>
  </si>
  <si>
    <t>نسوز تراولینگ گریت</t>
  </si>
  <si>
    <t>نسوز کوره</t>
  </si>
  <si>
    <t>نسوز انورال کولینگ</t>
  </si>
  <si>
    <t>نسوز داکت های هوای گرم</t>
  </si>
  <si>
    <t>C360FG01</t>
  </si>
  <si>
    <t>ساختمان باسكول تخلیه و بارگیری</t>
  </si>
  <si>
    <t>1210MP01</t>
  </si>
  <si>
    <t>C410OB01</t>
  </si>
  <si>
    <t>C440CH01</t>
  </si>
  <si>
    <t>C440CH02</t>
  </si>
  <si>
    <t>ساختمان رختكن شماره دو(بهره بردار)</t>
  </si>
  <si>
    <t>1210MP02</t>
  </si>
  <si>
    <t>1210MP03</t>
  </si>
  <si>
    <t>1310OB01</t>
  </si>
  <si>
    <t>1210MP04</t>
  </si>
  <si>
    <t>C410OB02</t>
  </si>
  <si>
    <t>C410OB03</t>
  </si>
  <si>
    <t>ساختمان حراست</t>
  </si>
  <si>
    <t>C430OB01</t>
  </si>
  <si>
    <t>C350OB01</t>
  </si>
  <si>
    <t>ER02OB01</t>
  </si>
  <si>
    <t>ساختمان پستER02</t>
  </si>
  <si>
    <t>C210OB01</t>
  </si>
  <si>
    <t>C360FG02</t>
  </si>
  <si>
    <t>ساختمان انتظامات گندله</t>
  </si>
  <si>
    <t>C360FG03</t>
  </si>
  <si>
    <t>ساختمان انتظامات راه آهن</t>
  </si>
  <si>
    <t>ER00OB01</t>
  </si>
  <si>
    <t>ساختمان پست ER00</t>
  </si>
  <si>
    <t>C410OB04</t>
  </si>
  <si>
    <t>ساختمان شركت پیمانکار CPG</t>
  </si>
  <si>
    <t>C430OB02</t>
  </si>
  <si>
    <t>1110OB01</t>
  </si>
  <si>
    <t>1510OB01</t>
  </si>
  <si>
    <t>ساختمان ترانسپورت</t>
  </si>
  <si>
    <t>ساختمان واگن دامپر</t>
  </si>
  <si>
    <t>ساختمان انباشت و برداشت</t>
  </si>
  <si>
    <t>C410OB05</t>
  </si>
  <si>
    <t>ساختمان مسجد</t>
  </si>
  <si>
    <t>C450RT01</t>
  </si>
  <si>
    <t>ساختمان رستوران</t>
  </si>
  <si>
    <t>C410OB06</t>
  </si>
  <si>
    <t>ساختمان آموزش شرکت رهیار</t>
  </si>
  <si>
    <t>C420CM01</t>
  </si>
  <si>
    <t>ساختمان کمپ مدیریت</t>
  </si>
  <si>
    <t>C420CM02</t>
  </si>
  <si>
    <t>ساختمان کمپ مهندسی</t>
  </si>
  <si>
    <t>C420CM03</t>
  </si>
  <si>
    <t>ساختمان کمپ کارگری</t>
  </si>
  <si>
    <t>C200WH01</t>
  </si>
  <si>
    <t>ساختمانهای انبار چادرملو</t>
  </si>
  <si>
    <t>1210MP05</t>
  </si>
  <si>
    <t>ساختمان کارگاه الکتروموتور</t>
  </si>
  <si>
    <t>ER04OB01</t>
  </si>
  <si>
    <t>ساختمان دیزل ژنراتور</t>
  </si>
  <si>
    <t>ساختمان HPGR</t>
  </si>
  <si>
    <t>ساختمان تراولینگ</t>
  </si>
  <si>
    <t>C430OB03</t>
  </si>
  <si>
    <t>ساختمان پمپ خانه آتشنشانی</t>
  </si>
  <si>
    <t>ساختمان فیلترینگ</t>
  </si>
  <si>
    <t>ساختمان پست ER01</t>
  </si>
  <si>
    <t>ساختمان پست ER03</t>
  </si>
  <si>
    <t>ساختمان پست ER04</t>
  </si>
  <si>
    <t>1310OB02</t>
  </si>
  <si>
    <t>ساختمان چاه آب شور</t>
  </si>
  <si>
    <t>1310OB03</t>
  </si>
  <si>
    <t>ساختمان مخازن آب متعادل کننده مزرعه نو</t>
  </si>
  <si>
    <t>C410OB07</t>
  </si>
  <si>
    <t>ER01OB01</t>
  </si>
  <si>
    <t>ER03OB01</t>
  </si>
  <si>
    <t>ER05OB01</t>
  </si>
  <si>
    <t>ER011T01</t>
  </si>
  <si>
    <t xml:space="preserve">TRANSFORMER </t>
  </si>
  <si>
    <t>ER011MO1</t>
  </si>
  <si>
    <t>MOTOR CONTOROL CENTER</t>
  </si>
  <si>
    <t>ER011NO1</t>
  </si>
  <si>
    <t>LIGHTING</t>
  </si>
  <si>
    <t>ER011NO2</t>
  </si>
  <si>
    <t>ER011NO3</t>
  </si>
  <si>
    <t>ER012B01</t>
  </si>
  <si>
    <t xml:space="preserve">AUXILARY CONTROL CENTER </t>
  </si>
  <si>
    <t>ER012Q01</t>
  </si>
  <si>
    <t>REMOT PERIPHERY CENTER</t>
  </si>
  <si>
    <t>ER012A01</t>
  </si>
  <si>
    <t>UPS</t>
  </si>
  <si>
    <t>ER012D01</t>
  </si>
  <si>
    <t>BATTRY CHARGER</t>
  </si>
  <si>
    <t>ER011S01.U01</t>
  </si>
  <si>
    <t>MEDIUM VOLTAGE DISTRIBUTION</t>
  </si>
  <si>
    <t>ER011S01.U02</t>
  </si>
  <si>
    <t>ER011S01.U03</t>
  </si>
  <si>
    <t>ER011S01.U04</t>
  </si>
  <si>
    <t>ER011S01.U05</t>
  </si>
  <si>
    <t>ER011S01.U06</t>
  </si>
  <si>
    <t>ER11S01</t>
  </si>
  <si>
    <t>ER311MO1</t>
  </si>
  <si>
    <t>ER312A01</t>
  </si>
  <si>
    <t>ER312P01</t>
  </si>
  <si>
    <t>ER311T01</t>
  </si>
  <si>
    <t>ER042D01</t>
  </si>
  <si>
    <t>ER042A01</t>
  </si>
  <si>
    <t>ER041S01.UE01</t>
  </si>
  <si>
    <t>ER041S01.UE02</t>
  </si>
  <si>
    <t>ER041S01.UE03</t>
  </si>
  <si>
    <t>ER041S01.UE04</t>
  </si>
  <si>
    <t>ER041MO1</t>
  </si>
  <si>
    <t>R042C01</t>
  </si>
  <si>
    <t>FREQUENCY CONVERTER</t>
  </si>
  <si>
    <t>ER042C02</t>
  </si>
  <si>
    <t>ER041NO1</t>
  </si>
  <si>
    <t>ER048F1.PM01</t>
  </si>
  <si>
    <t>ER042Q01</t>
  </si>
  <si>
    <t>ER042B01</t>
  </si>
  <si>
    <t>ER041T01</t>
  </si>
  <si>
    <t>ER022A01</t>
  </si>
  <si>
    <t>ER022A02</t>
  </si>
  <si>
    <t>ER021S01.U01</t>
  </si>
  <si>
    <t>ER021S01.U02</t>
  </si>
  <si>
    <t>ER021S01.U03</t>
  </si>
  <si>
    <t>ER021S01.U04</t>
  </si>
  <si>
    <t>ER021S01.U05</t>
  </si>
  <si>
    <t>ER021S01.U06</t>
  </si>
  <si>
    <t>ER021S01.U07</t>
  </si>
  <si>
    <t>ER021S01.U08</t>
  </si>
  <si>
    <t>ER021S01.U09</t>
  </si>
  <si>
    <t>ER021S01.U10</t>
  </si>
  <si>
    <t>ER021S01.U11</t>
  </si>
  <si>
    <t>ER021S01.U12</t>
  </si>
  <si>
    <t>ER021S01.U13</t>
  </si>
  <si>
    <t>ER021S01.U14</t>
  </si>
  <si>
    <t>ER021S01.U15</t>
  </si>
  <si>
    <t>ER021S02.U01</t>
  </si>
  <si>
    <t>ER021S02.U02</t>
  </si>
  <si>
    <t>ER021S02.U03</t>
  </si>
  <si>
    <t>ER021S02.U04</t>
  </si>
  <si>
    <t>ER021S02.U05</t>
  </si>
  <si>
    <t>ER021S02.U06</t>
  </si>
  <si>
    <t>ER021S02.U07</t>
  </si>
  <si>
    <t>ER021S02.U08</t>
  </si>
  <si>
    <t>ER021S02.U09</t>
  </si>
  <si>
    <t>ER021S02.U10</t>
  </si>
  <si>
    <t>ER021S02.U11</t>
  </si>
  <si>
    <t>ER021S02.U12</t>
  </si>
  <si>
    <t>ER021T01</t>
  </si>
  <si>
    <t>ER021T02</t>
  </si>
  <si>
    <t>ER021T03</t>
  </si>
  <si>
    <t>ER021T04</t>
  </si>
  <si>
    <t>ER021T05</t>
  </si>
  <si>
    <t>ER021T06</t>
  </si>
  <si>
    <t>ER021T07</t>
  </si>
  <si>
    <t>ER021N01</t>
  </si>
  <si>
    <t>ER021N02</t>
  </si>
  <si>
    <t>ER021N03</t>
  </si>
  <si>
    <t>ER021N04</t>
  </si>
  <si>
    <t>ER021N05</t>
  </si>
  <si>
    <t>ER022C21</t>
  </si>
  <si>
    <t>ER022C22</t>
  </si>
  <si>
    <t>ER022C23</t>
  </si>
  <si>
    <t>ER022C24</t>
  </si>
  <si>
    <t>1500.PI-CE01</t>
  </si>
  <si>
    <t>HEAT TRACING</t>
  </si>
  <si>
    <t>ER022Q01</t>
  </si>
  <si>
    <t>ER022Q02</t>
  </si>
  <si>
    <t>ER022Q03</t>
  </si>
  <si>
    <t>ER022Q04</t>
  </si>
  <si>
    <t>ER022Q05</t>
  </si>
  <si>
    <t>ER022Q06</t>
  </si>
  <si>
    <t>ER022Q07</t>
  </si>
  <si>
    <t>ER022Q08</t>
  </si>
  <si>
    <t>ER022Q09</t>
  </si>
  <si>
    <t>ER022Q10</t>
  </si>
  <si>
    <t>ER022Q11</t>
  </si>
  <si>
    <t>ER021M01</t>
  </si>
  <si>
    <t>ER021M02</t>
  </si>
  <si>
    <t>ER021M03</t>
  </si>
  <si>
    <t>ER021M04</t>
  </si>
  <si>
    <t>ER021M05</t>
  </si>
  <si>
    <t>ER021M06</t>
  </si>
  <si>
    <t>ER021M07</t>
  </si>
  <si>
    <t>ER022D01</t>
  </si>
  <si>
    <t>ER022B01</t>
  </si>
  <si>
    <t>ER022B02</t>
  </si>
  <si>
    <t>ER022B03</t>
  </si>
  <si>
    <t>ER022B04</t>
  </si>
  <si>
    <t>ER022B12</t>
  </si>
  <si>
    <t>ER022C01-BC1</t>
  </si>
  <si>
    <t>ER022C01-BC2</t>
  </si>
  <si>
    <t>ER022C02-BC3</t>
  </si>
  <si>
    <t>ER022C02-BC4</t>
  </si>
  <si>
    <t>ER022C03-BC4</t>
  </si>
  <si>
    <t>ER022C03-BC5</t>
  </si>
  <si>
    <t>ER022C04</t>
  </si>
  <si>
    <t>ER022C05</t>
  </si>
  <si>
    <t>ER022C06</t>
  </si>
  <si>
    <t>ER022C07</t>
  </si>
  <si>
    <t>ER022C08</t>
  </si>
  <si>
    <t>ER022C09</t>
  </si>
  <si>
    <t>ER022C10-RB</t>
  </si>
  <si>
    <t>ER022C10-WB</t>
  </si>
  <si>
    <t>ER022C11-ME01</t>
  </si>
  <si>
    <t>ER022C11-ME02</t>
  </si>
  <si>
    <t>ER022C12.UE01</t>
  </si>
  <si>
    <t>ER022C13.UE02</t>
  </si>
  <si>
    <t>ER022C14-ME01</t>
  </si>
  <si>
    <t>ER022C14-ME02</t>
  </si>
  <si>
    <t>ER022C15.UE01</t>
  </si>
  <si>
    <t>ER022C16.UE01</t>
  </si>
  <si>
    <t>ER02.510WF01</t>
  </si>
  <si>
    <t>ER02.510WF02</t>
  </si>
  <si>
    <t>ER02.510WF03</t>
  </si>
  <si>
    <t>ER02.510WF04</t>
  </si>
  <si>
    <t>ER02.510WF05</t>
  </si>
  <si>
    <t>ER02.510WF06</t>
  </si>
  <si>
    <t>ER02.510WF07</t>
  </si>
  <si>
    <t>ER02.510WF08</t>
  </si>
  <si>
    <t>ER02.510WF09</t>
  </si>
  <si>
    <t>ER02.510WF10</t>
  </si>
  <si>
    <t>ER02.210WF01</t>
  </si>
  <si>
    <t>ER02.930WF01</t>
  </si>
  <si>
    <t>ER04.150WF01</t>
  </si>
  <si>
    <t>ER02.710EP1.CE01</t>
  </si>
  <si>
    <t>ER02.710EP1.CE02</t>
  </si>
  <si>
    <t>ER02.710EP2.CE01</t>
  </si>
  <si>
    <t>ER02.710EP2.CE02</t>
  </si>
  <si>
    <t>ER022C17</t>
  </si>
  <si>
    <t>ER022C18</t>
  </si>
  <si>
    <t>ER022C19</t>
  </si>
  <si>
    <t>ER022C20</t>
  </si>
  <si>
    <t>ER022Y01</t>
  </si>
  <si>
    <t>TELECOMMUNICATION</t>
  </si>
  <si>
    <t>ECCR2C01</t>
  </si>
  <si>
    <t>ECCR2C02</t>
  </si>
  <si>
    <t>ECCR2C03</t>
  </si>
  <si>
    <t>ECCR2H01</t>
  </si>
  <si>
    <t>ECCR2H05</t>
  </si>
  <si>
    <t>ECCR2J01</t>
  </si>
  <si>
    <t>ER031N01</t>
  </si>
  <si>
    <t xml:space="preserve">LIGHTING </t>
  </si>
  <si>
    <t>ER031N02</t>
  </si>
  <si>
    <t>ER031S01.U01</t>
  </si>
  <si>
    <t>ER031S01.U02</t>
  </si>
  <si>
    <t>ER031S01.U03</t>
  </si>
  <si>
    <t>ER031S01.U04</t>
  </si>
  <si>
    <t>ER032D01</t>
  </si>
  <si>
    <t>ER032B01</t>
  </si>
  <si>
    <t>ER032Q01</t>
  </si>
  <si>
    <t xml:space="preserve">REMOT PERIPHERY CENTER </t>
  </si>
  <si>
    <t>ER032Q02</t>
  </si>
  <si>
    <t>ER032Q03</t>
  </si>
  <si>
    <t>ER031M01</t>
  </si>
  <si>
    <t>ER032A01</t>
  </si>
  <si>
    <t>ER031T01</t>
  </si>
  <si>
    <t>ER031M02</t>
  </si>
  <si>
    <t>ER031M03</t>
  </si>
  <si>
    <t>FIRE ALARMS</t>
  </si>
  <si>
    <t>ER021G1-2500</t>
  </si>
  <si>
    <t xml:space="preserve"> DIESEL GENERATOR</t>
  </si>
  <si>
    <t>ER021G2-1500</t>
  </si>
  <si>
    <t>ER021G3-244</t>
  </si>
  <si>
    <t>ER021G4-150</t>
  </si>
  <si>
    <t>SERVER.IT</t>
  </si>
  <si>
    <t>سرور IT</t>
  </si>
  <si>
    <t>ER00L023-T1</t>
  </si>
  <si>
    <t>ER00L023-T2</t>
  </si>
  <si>
    <t>ER00L023-T3</t>
  </si>
  <si>
    <t>ER00L023-T4</t>
  </si>
  <si>
    <t>ER00L023-T5</t>
  </si>
  <si>
    <t>ER00L023-T6</t>
  </si>
  <si>
    <t>ER00L023-T7</t>
  </si>
  <si>
    <t>ER00L023-T8</t>
  </si>
  <si>
    <t>ER00L023-T9</t>
  </si>
  <si>
    <t>ER00L023-T10</t>
  </si>
  <si>
    <t>ER00L023-T11</t>
  </si>
  <si>
    <t>ER00L023-T12</t>
  </si>
  <si>
    <t>ER00L023-T13</t>
  </si>
  <si>
    <t>ER00L023-T14</t>
  </si>
  <si>
    <t>ER00L023-T15</t>
  </si>
  <si>
    <t>ER00L023-T16</t>
  </si>
  <si>
    <t>ER00L023-T17</t>
  </si>
  <si>
    <t>ER00L023-T18</t>
  </si>
  <si>
    <t>ER00L023-T19</t>
  </si>
  <si>
    <t>ER00L023-T20</t>
  </si>
  <si>
    <t>ER00L023-T21</t>
  </si>
  <si>
    <t>ER00L023-T22</t>
  </si>
  <si>
    <t>ER00L023-T23</t>
  </si>
  <si>
    <t>ER00L023-T24</t>
  </si>
  <si>
    <t>ER00L023-T25</t>
  </si>
  <si>
    <t>ER00L023-T26</t>
  </si>
  <si>
    <t>ER521M01.UE01</t>
  </si>
  <si>
    <t>ER521M01.UE02</t>
  </si>
  <si>
    <t>ER521M01.UE03</t>
  </si>
  <si>
    <t>ER521M01.UE04</t>
  </si>
  <si>
    <t>ER522P01.UE01</t>
  </si>
  <si>
    <t>ER521S01</t>
  </si>
  <si>
    <t>ER521T01</t>
  </si>
  <si>
    <t>ER531M01.UE01</t>
  </si>
  <si>
    <t>ER531M01.UE02</t>
  </si>
  <si>
    <t>ER531M01.UE03</t>
  </si>
  <si>
    <t>ER531M01.UE04</t>
  </si>
  <si>
    <t>ER531M01.UE05</t>
  </si>
  <si>
    <t>ER532P01.UE01</t>
  </si>
  <si>
    <t>ER531S01.UE01</t>
  </si>
  <si>
    <t>ER531S01.UE02</t>
  </si>
  <si>
    <t>ER531T01</t>
  </si>
  <si>
    <t>ER541M01.UE01</t>
  </si>
  <si>
    <t>ER541M01.UE02</t>
  </si>
  <si>
    <t>ER541M01.UE03</t>
  </si>
  <si>
    <t>ER541M01.UE04</t>
  </si>
  <si>
    <t>ER542P01.UE01</t>
  </si>
  <si>
    <t>ER541S01.UE01</t>
  </si>
  <si>
    <t>ER541S01.UE02</t>
  </si>
  <si>
    <t>ER541T01</t>
  </si>
  <si>
    <t>ER1601S01</t>
  </si>
  <si>
    <t>ER1601M01</t>
  </si>
  <si>
    <t>ER1601M02</t>
  </si>
  <si>
    <t>ER1602P</t>
  </si>
  <si>
    <t>ER1602A01</t>
  </si>
  <si>
    <t>15902A01</t>
  </si>
  <si>
    <t>11102A01</t>
  </si>
  <si>
    <t>C210WH2A01</t>
  </si>
  <si>
    <t>MANITORING
ROOM2A01</t>
  </si>
  <si>
    <t>SERVER2A01</t>
  </si>
  <si>
    <t>C4102A01</t>
  </si>
  <si>
    <t>13902A01</t>
  </si>
  <si>
    <t>C330-OUTDOOR
 LIGHTING</t>
  </si>
  <si>
    <t xml:space="preserve"> LIGHTING</t>
  </si>
  <si>
    <t>C330-INDOOR
 LIGHTING</t>
  </si>
  <si>
    <t>0730AN01</t>
  </si>
  <si>
    <t>0720BU01</t>
  </si>
  <si>
    <t>0730FN01</t>
  </si>
  <si>
    <t>0730FN02</t>
  </si>
  <si>
    <t>0710TG01</t>
  </si>
  <si>
    <t>0720KL01</t>
  </si>
  <si>
    <t>0710FN01</t>
  </si>
  <si>
    <t>0710FN02</t>
  </si>
  <si>
    <t>0710FN04</t>
  </si>
  <si>
    <t>0710FN03</t>
  </si>
  <si>
    <t>0710FN05</t>
  </si>
  <si>
    <t>0710FN06</t>
  </si>
  <si>
    <t>0610RF01</t>
  </si>
  <si>
    <t>0150RL01</t>
  </si>
  <si>
    <t>0110AP01</t>
  </si>
  <si>
    <t>0110WD01</t>
  </si>
  <si>
    <t>0610RB01</t>
  </si>
  <si>
    <t>0710CN01</t>
  </si>
  <si>
    <t>0710CN02</t>
  </si>
  <si>
    <t>0720FN03</t>
  </si>
  <si>
    <t>0930BM01</t>
  </si>
  <si>
    <t>0710FN07</t>
  </si>
  <si>
    <t>0710FN08</t>
  </si>
  <si>
    <t>0730FN07</t>
  </si>
  <si>
    <t>0120RR01</t>
  </si>
  <si>
    <t>0910BC02</t>
  </si>
  <si>
    <t>0920BC01</t>
  </si>
  <si>
    <t>0520MX01</t>
  </si>
  <si>
    <t>0520MX02</t>
  </si>
  <si>
    <t>0730FN03</t>
  </si>
  <si>
    <t>0730FN04</t>
  </si>
  <si>
    <t>0730FN05</t>
  </si>
  <si>
    <t>0910BC01</t>
  </si>
  <si>
    <t>0910BC03</t>
  </si>
  <si>
    <t>0520BC02</t>
  </si>
  <si>
    <t>0730FN08</t>
  </si>
  <si>
    <t>0940CF01</t>
  </si>
  <si>
    <t>0520BC04</t>
  </si>
  <si>
    <t>0110BF01</t>
  </si>
  <si>
    <t>0620BC01</t>
  </si>
  <si>
    <t>0710BE01</t>
  </si>
  <si>
    <t>0520BC05</t>
  </si>
  <si>
    <t>0510BC01</t>
  </si>
  <si>
    <t>0510BC02</t>
  </si>
  <si>
    <t>0520BC01</t>
  </si>
  <si>
    <t>0520BC03</t>
  </si>
  <si>
    <t>0620BC03</t>
  </si>
  <si>
    <t>0120BC02</t>
  </si>
  <si>
    <t>0120BC03</t>
  </si>
  <si>
    <t>0120BC05</t>
  </si>
  <si>
    <t>0950SX01</t>
  </si>
  <si>
    <t>0740PC02</t>
  </si>
  <si>
    <t>0120BC01</t>
  </si>
  <si>
    <t>0120BC04</t>
  </si>
  <si>
    <t>0520WS01</t>
  </si>
  <si>
    <t>0710WS01</t>
  </si>
  <si>
    <t>0730WS01</t>
  </si>
  <si>
    <t>0740WS01</t>
  </si>
  <si>
    <t>0950TH01</t>
  </si>
  <si>
    <t>0620BC02</t>
  </si>
  <si>
    <t>0620BC04</t>
  </si>
  <si>
    <t>0610PE01</t>
  </si>
  <si>
    <t>0610PE02</t>
  </si>
  <si>
    <t>0610PE03</t>
  </si>
  <si>
    <t>0610PE04</t>
  </si>
  <si>
    <t>0610PE05</t>
  </si>
  <si>
    <t>0610PE06</t>
  </si>
  <si>
    <t>0940CR01</t>
  </si>
  <si>
    <t>0610RS02</t>
  </si>
  <si>
    <t>0610RS03</t>
  </si>
  <si>
    <t>0610RS04</t>
  </si>
  <si>
    <t>0610RS05</t>
  </si>
  <si>
    <t>0610RS06</t>
  </si>
  <si>
    <t>0710MC01</t>
  </si>
  <si>
    <t>0710MC02</t>
  </si>
  <si>
    <t>0510WF07</t>
  </si>
  <si>
    <t>0510WF08</t>
  </si>
  <si>
    <t>0940WP01</t>
  </si>
  <si>
    <t>0940WP02</t>
  </si>
  <si>
    <t>0150BC01</t>
  </si>
  <si>
    <t>0150BC02</t>
  </si>
  <si>
    <t>0150BC03</t>
  </si>
  <si>
    <t>0110ST01</t>
  </si>
  <si>
    <t>0740VF01</t>
  </si>
  <si>
    <t>0740VS02</t>
  </si>
  <si>
    <t>0710DA06</t>
  </si>
  <si>
    <t>0710DA07</t>
  </si>
  <si>
    <t>0310SC01</t>
  </si>
  <si>
    <t>0110BC01</t>
  </si>
  <si>
    <t>0930WF01</t>
  </si>
  <si>
    <t>0720FN01</t>
  </si>
  <si>
    <t>0740VS01</t>
  </si>
  <si>
    <t>0950CP01</t>
  </si>
  <si>
    <t>0810ST01</t>
  </si>
  <si>
    <t>0950FT01</t>
  </si>
  <si>
    <t>0950FT02</t>
  </si>
  <si>
    <t>0610BC13</t>
  </si>
  <si>
    <t>0610BC14</t>
  </si>
  <si>
    <t>0110BC02</t>
  </si>
  <si>
    <t>0740PC01</t>
  </si>
  <si>
    <t>0710EP01</t>
  </si>
  <si>
    <t>0940OT01</t>
  </si>
  <si>
    <t>0710EP02</t>
  </si>
  <si>
    <t>0940CF02</t>
  </si>
  <si>
    <t>0150CP01</t>
  </si>
  <si>
    <t>0150EC01</t>
  </si>
  <si>
    <t>0830VS01</t>
  </si>
  <si>
    <t>0110CP01</t>
  </si>
  <si>
    <t>0610WB01</t>
  </si>
  <si>
    <t>0820BC01</t>
  </si>
  <si>
    <t>0820BC02</t>
  </si>
  <si>
    <t>0710FN09</t>
  </si>
  <si>
    <t>0710FN10</t>
  </si>
  <si>
    <t>0710FR01</t>
  </si>
  <si>
    <t>0740BC01</t>
  </si>
  <si>
    <t>0740BC02</t>
  </si>
  <si>
    <t>0310BE01</t>
  </si>
  <si>
    <t>0820BC03</t>
  </si>
  <si>
    <t>0820BC04</t>
  </si>
  <si>
    <t>0820BC05</t>
  </si>
  <si>
    <t>0820BC06</t>
  </si>
  <si>
    <t>0820BC07</t>
  </si>
  <si>
    <t>0830BC01</t>
  </si>
  <si>
    <t>0830BC02</t>
  </si>
  <si>
    <t>0830BC03</t>
  </si>
  <si>
    <t>0830BC04</t>
  </si>
  <si>
    <t>0510WF05</t>
  </si>
  <si>
    <t>0510WF06</t>
  </si>
  <si>
    <t>0810BC01</t>
  </si>
  <si>
    <t>0810BC02</t>
  </si>
  <si>
    <t>0150WP03</t>
  </si>
  <si>
    <t>0710DA01</t>
  </si>
  <si>
    <t>0710DA02</t>
  </si>
  <si>
    <t>0150RS01</t>
  </si>
  <si>
    <t>0130BC01</t>
  </si>
  <si>
    <t>0160BC01</t>
  </si>
  <si>
    <t>0160BC02</t>
  </si>
  <si>
    <t>0610BC07</t>
  </si>
  <si>
    <t>0610BC08</t>
  </si>
  <si>
    <t>0610BC09</t>
  </si>
  <si>
    <t>0610BC10</t>
  </si>
  <si>
    <t>0610BC11</t>
  </si>
  <si>
    <t>0610BC12</t>
  </si>
  <si>
    <t>0950VP01</t>
  </si>
  <si>
    <t>0950VP02</t>
  </si>
  <si>
    <t>0210RL01</t>
  </si>
  <si>
    <t>0210HG01</t>
  </si>
  <si>
    <t>0610BC01</t>
  </si>
  <si>
    <t>0610BC02</t>
  </si>
  <si>
    <t>0610BC03</t>
  </si>
  <si>
    <t>0610BC04</t>
  </si>
  <si>
    <t>0610BC05</t>
  </si>
  <si>
    <t>0610BC06</t>
  </si>
  <si>
    <t>0930PS01</t>
  </si>
  <si>
    <t>0930PS02</t>
  </si>
  <si>
    <t>0920BC02</t>
  </si>
  <si>
    <t>0920BC03</t>
  </si>
  <si>
    <t>0930BC01</t>
  </si>
  <si>
    <t>0150WF01</t>
  </si>
  <si>
    <t>0950PS01</t>
  </si>
  <si>
    <t>0950PS02</t>
  </si>
  <si>
    <t>0950PS03</t>
  </si>
  <si>
    <t>0950PS04</t>
  </si>
  <si>
    <t>0950EC01</t>
  </si>
  <si>
    <t>0730DA01</t>
  </si>
  <si>
    <t>0510BI01</t>
  </si>
  <si>
    <t>0510BI02</t>
  </si>
  <si>
    <t>0510BI03</t>
  </si>
  <si>
    <t>0510BI04</t>
  </si>
  <si>
    <t>0510BI05</t>
  </si>
  <si>
    <t>0510BI06</t>
  </si>
  <si>
    <t>0710DA03</t>
  </si>
  <si>
    <t>0710DA04</t>
  </si>
  <si>
    <t>0710DA05</t>
  </si>
  <si>
    <t>0740VF02</t>
  </si>
  <si>
    <t>0720SN01</t>
  </si>
  <si>
    <t>0940FP07</t>
  </si>
  <si>
    <t>0940FP08</t>
  </si>
  <si>
    <t>0830VF01</t>
  </si>
  <si>
    <t>0730DA02</t>
  </si>
  <si>
    <t>0730DA03</t>
  </si>
  <si>
    <t>0520PL01</t>
  </si>
  <si>
    <t>0520PL02</t>
  </si>
  <si>
    <t>0520PL03</t>
  </si>
  <si>
    <t>0520PL04</t>
  </si>
  <si>
    <t>0520PL05</t>
  </si>
  <si>
    <t>0520PL06</t>
  </si>
  <si>
    <t>0820BF01</t>
  </si>
  <si>
    <t>0820BF02</t>
  </si>
  <si>
    <t>0820BF03</t>
  </si>
  <si>
    <t>0940PS01</t>
  </si>
  <si>
    <t>0940PS02</t>
  </si>
  <si>
    <t>0940PS03</t>
  </si>
  <si>
    <t>0940PS04</t>
  </si>
  <si>
    <t>0940PS05</t>
  </si>
  <si>
    <t>0940PS06</t>
  </si>
  <si>
    <t>0310GA01</t>
  </si>
  <si>
    <t>0310GA02</t>
  </si>
  <si>
    <t>0310GA03</t>
  </si>
  <si>
    <t>0940PS07</t>
  </si>
  <si>
    <t>0940PS08</t>
  </si>
  <si>
    <t>0940PS09</t>
  </si>
  <si>
    <t>0940PS10</t>
  </si>
  <si>
    <t>0940PS11</t>
  </si>
  <si>
    <t>0940PS12</t>
  </si>
  <si>
    <t>0940PS13</t>
  </si>
  <si>
    <t>0940PS14</t>
  </si>
  <si>
    <t>0510WF01</t>
  </si>
  <si>
    <t>0510WF02</t>
  </si>
  <si>
    <t>0510WF03</t>
  </si>
  <si>
    <t>0510WF04</t>
  </si>
  <si>
    <t>0940FP03</t>
  </si>
  <si>
    <t>0940FP04</t>
  </si>
  <si>
    <t>0940FP05</t>
  </si>
  <si>
    <t>0940FP06</t>
  </si>
  <si>
    <t>0940FP01</t>
  </si>
  <si>
    <t>0940FP02</t>
  </si>
  <si>
    <t>0940FP09</t>
  </si>
  <si>
    <t>0940FP10</t>
  </si>
  <si>
    <t>0110CP02</t>
  </si>
  <si>
    <t>0940TN01</t>
  </si>
  <si>
    <t>0940TN02</t>
  </si>
  <si>
    <t>0940TN03</t>
  </si>
  <si>
    <t>0940TN04</t>
  </si>
  <si>
    <t>0940TN05</t>
  </si>
  <si>
    <t>0940TA01</t>
  </si>
  <si>
    <t>0310BF01</t>
  </si>
  <si>
    <t>0310BF02</t>
  </si>
  <si>
    <t>0310BF03</t>
  </si>
  <si>
    <t>0160HP01</t>
  </si>
  <si>
    <t>0160HP02</t>
  </si>
  <si>
    <t>0730DA04</t>
  </si>
  <si>
    <t>0820CL01</t>
  </si>
  <si>
    <t>0820CL02</t>
  </si>
  <si>
    <t>0950FP01</t>
  </si>
  <si>
    <t>0950FP02</t>
  </si>
  <si>
    <t>0160FE01</t>
  </si>
  <si>
    <t>0160FE02</t>
  </si>
  <si>
    <t>0130TS01</t>
  </si>
  <si>
    <t>0710SK01</t>
  </si>
  <si>
    <t>0510WF09</t>
  </si>
  <si>
    <t>0510WF10</t>
  </si>
  <si>
    <t>0950AR01</t>
  </si>
  <si>
    <t>0950AR02</t>
  </si>
  <si>
    <t>0950AR03</t>
  </si>
  <si>
    <t>0950AR04</t>
  </si>
  <si>
    <t>0950AR05</t>
  </si>
  <si>
    <t>0950AR06</t>
  </si>
  <si>
    <t>0950AR07</t>
  </si>
  <si>
    <t>0210FN03</t>
  </si>
  <si>
    <t>0210FN01</t>
  </si>
  <si>
    <t>0210FN02</t>
  </si>
  <si>
    <t>0210FN04</t>
  </si>
  <si>
    <t>0210FN05</t>
  </si>
  <si>
    <t>0110MO01</t>
  </si>
  <si>
    <t>0110SC01</t>
  </si>
  <si>
    <t>0110SC02</t>
  </si>
  <si>
    <t>0110SC03</t>
  </si>
  <si>
    <t>0110SC04</t>
  </si>
  <si>
    <t>0830WP01</t>
  </si>
  <si>
    <t>0950WP01</t>
  </si>
  <si>
    <t>0950WP02</t>
  </si>
  <si>
    <t>0720FN02</t>
  </si>
  <si>
    <t>0730SK01</t>
  </si>
  <si>
    <t>0740SK01</t>
  </si>
  <si>
    <t>0150WP01</t>
  </si>
  <si>
    <t>0150WP02</t>
  </si>
  <si>
    <t>0120MD01</t>
  </si>
  <si>
    <t>0720FN04</t>
  </si>
  <si>
    <t>0930IP01</t>
  </si>
  <si>
    <t>0940IP01</t>
  </si>
  <si>
    <t>0940IP02</t>
  </si>
  <si>
    <t>0940IP03</t>
  </si>
  <si>
    <t>0940IP04</t>
  </si>
  <si>
    <t>0160MD01</t>
  </si>
  <si>
    <t>0310BL02</t>
  </si>
  <si>
    <t>0610BI01</t>
  </si>
  <si>
    <t>0610BI02</t>
  </si>
  <si>
    <t>0610BI03</t>
  </si>
  <si>
    <t>0610BI04</t>
  </si>
  <si>
    <t>0610BI05</t>
  </si>
  <si>
    <t>0610BI06</t>
  </si>
  <si>
    <t>0820BI01</t>
  </si>
  <si>
    <t>0820BI02</t>
  </si>
  <si>
    <t>0820BI03</t>
  </si>
  <si>
    <t>0820BI04</t>
  </si>
  <si>
    <t>0930BI01</t>
  </si>
  <si>
    <t>0210BF01</t>
  </si>
  <si>
    <t>0210BF02</t>
  </si>
  <si>
    <t>0210FE01</t>
  </si>
  <si>
    <t>0110FE01</t>
  </si>
  <si>
    <t>0210CN01</t>
  </si>
  <si>
    <t>0110GA01</t>
  </si>
  <si>
    <t>0120GA01</t>
  </si>
  <si>
    <t>0150GA01</t>
  </si>
  <si>
    <t>0160GA01</t>
  </si>
  <si>
    <t>0210GA01</t>
  </si>
  <si>
    <t>0210GA02</t>
  </si>
  <si>
    <t>0820GA66</t>
  </si>
  <si>
    <t>0210CC01</t>
  </si>
  <si>
    <t>0210WF01</t>
  </si>
  <si>
    <t>0110SM01</t>
  </si>
  <si>
    <t>0120SM01</t>
  </si>
  <si>
    <t>0150SM01</t>
  </si>
  <si>
    <t>0160SM01</t>
  </si>
  <si>
    <t>0810SM01</t>
  </si>
  <si>
    <t>0820SM01</t>
  </si>
  <si>
    <t>0310FE01</t>
  </si>
  <si>
    <t>0310FE02</t>
  </si>
  <si>
    <t>0150BI01</t>
  </si>
  <si>
    <t>0210BI01</t>
  </si>
  <si>
    <t>0130CH01</t>
  </si>
  <si>
    <t>0110MD01</t>
  </si>
  <si>
    <t>0130MD01</t>
  </si>
  <si>
    <t>0130MS01</t>
  </si>
  <si>
    <t>0110HP01</t>
  </si>
  <si>
    <t>0130HP01</t>
  </si>
  <si>
    <t>0310SL01</t>
  </si>
  <si>
    <t>0310SL02</t>
  </si>
  <si>
    <t>0740GA01</t>
  </si>
  <si>
    <t>0820GA26</t>
  </si>
  <si>
    <t>0820GA27</t>
  </si>
  <si>
    <t>0820GA28</t>
  </si>
  <si>
    <t>0820GA29</t>
  </si>
  <si>
    <t>0820GA30</t>
  </si>
  <si>
    <t>0820GA31</t>
  </si>
  <si>
    <t>0820GA32</t>
  </si>
  <si>
    <t>0820GA33</t>
  </si>
  <si>
    <t>0820GA34</t>
  </si>
  <si>
    <t>0820GA35</t>
  </si>
  <si>
    <t>0820GA36</t>
  </si>
  <si>
    <t>0820GA37</t>
  </si>
  <si>
    <t>0820GA38</t>
  </si>
  <si>
    <t>0820GA39</t>
  </si>
  <si>
    <t>0820GA40</t>
  </si>
  <si>
    <t>0820GA41</t>
  </si>
  <si>
    <t>0820GA42</t>
  </si>
  <si>
    <t>0820GA43</t>
  </si>
  <si>
    <t>0820GA44</t>
  </si>
  <si>
    <t>0820GA45</t>
  </si>
  <si>
    <t>0820GA46</t>
  </si>
  <si>
    <t>0820GA47</t>
  </si>
  <si>
    <t>0820GA48</t>
  </si>
  <si>
    <t>0820GA49</t>
  </si>
  <si>
    <t>0820GA50</t>
  </si>
  <si>
    <t>0820GA51</t>
  </si>
  <si>
    <t>0820GA52</t>
  </si>
  <si>
    <t>0820GA53</t>
  </si>
  <si>
    <t>0820GA54</t>
  </si>
  <si>
    <t>0820GA55</t>
  </si>
  <si>
    <t>0820GA56</t>
  </si>
  <si>
    <t>0820GA57</t>
  </si>
  <si>
    <t>0820GA58</t>
  </si>
  <si>
    <t>0820GA59</t>
  </si>
  <si>
    <t>0820GA60</t>
  </si>
  <si>
    <t>0820GA61</t>
  </si>
  <si>
    <t>0820GA62</t>
  </si>
  <si>
    <t>0820GA63</t>
  </si>
  <si>
    <t>0820GA64</t>
  </si>
  <si>
    <t>0820GA65</t>
  </si>
  <si>
    <t>0810GA01</t>
  </si>
  <si>
    <t>0820GA01</t>
  </si>
  <si>
    <t>0820GA02</t>
  </si>
  <si>
    <t>0820GA03</t>
  </si>
  <si>
    <t>0820GA04</t>
  </si>
  <si>
    <t>0820GA05</t>
  </si>
  <si>
    <t>0820GA06</t>
  </si>
  <si>
    <t>0820GA07</t>
  </si>
  <si>
    <t>0820GA08</t>
  </si>
  <si>
    <t>0820GA09</t>
  </si>
  <si>
    <t>0820GA10</t>
  </si>
  <si>
    <t>0820GA11</t>
  </si>
  <si>
    <t>0820GA12</t>
  </si>
  <si>
    <t>0820GA13</t>
  </si>
  <si>
    <t>0820GA14</t>
  </si>
  <si>
    <t>0820GA15</t>
  </si>
  <si>
    <t>0820GA16</t>
  </si>
  <si>
    <t>0820GA17</t>
  </si>
  <si>
    <t>0820GA18</t>
  </si>
  <si>
    <t>0820GA19</t>
  </si>
  <si>
    <t>0820GA20</t>
  </si>
  <si>
    <t>0820GA21</t>
  </si>
  <si>
    <t>0820GA22</t>
  </si>
  <si>
    <t>0820GA23</t>
  </si>
  <si>
    <t>0820GA24</t>
  </si>
  <si>
    <t>0820GA25</t>
  </si>
  <si>
    <t>0910GA01</t>
  </si>
  <si>
    <t>0920GA01</t>
  </si>
  <si>
    <t>0930GA01</t>
  </si>
  <si>
    <t>0510SU01</t>
  </si>
  <si>
    <t>0610SU01</t>
  </si>
  <si>
    <t>0610SU03</t>
  </si>
  <si>
    <t>0610SU04</t>
  </si>
  <si>
    <t>0610SU05</t>
  </si>
  <si>
    <t>0610SU06</t>
  </si>
  <si>
    <t>0610SU07</t>
  </si>
  <si>
    <t>0610SU08</t>
  </si>
  <si>
    <t>0610SU09</t>
  </si>
  <si>
    <t>0610SU10</t>
  </si>
  <si>
    <t>0730SU01</t>
  </si>
  <si>
    <t>0730SU02</t>
  </si>
  <si>
    <t>0820SW01</t>
  </si>
  <si>
    <t>0520SW01</t>
  </si>
  <si>
    <t>0830SH01</t>
  </si>
  <si>
    <t>0820TS01</t>
  </si>
  <si>
    <t>0820TS02</t>
  </si>
  <si>
    <t>0740BE01</t>
  </si>
  <si>
    <t>0110BW01</t>
  </si>
  <si>
    <t>0120BW01</t>
  </si>
  <si>
    <t>0130BW01</t>
  </si>
  <si>
    <t>0160BW01</t>
  </si>
  <si>
    <t>0610BW01</t>
  </si>
  <si>
    <t>0610BW02</t>
  </si>
  <si>
    <t>0610BW03</t>
  </si>
  <si>
    <t>0610BW04</t>
  </si>
  <si>
    <t>0610BW05</t>
  </si>
  <si>
    <t>0610BW06</t>
  </si>
  <si>
    <t>0610BW07</t>
  </si>
  <si>
    <t>0610BW08</t>
  </si>
  <si>
    <t>0620BW01</t>
  </si>
  <si>
    <t>0740BW01</t>
  </si>
  <si>
    <t>0810BW01</t>
  </si>
  <si>
    <t>0820BW01</t>
  </si>
  <si>
    <t>0820BW02</t>
  </si>
  <si>
    <t>0820BW03</t>
  </si>
  <si>
    <t>0820BW04</t>
  </si>
  <si>
    <t>0820BW05</t>
  </si>
  <si>
    <t>0830BW01</t>
  </si>
  <si>
    <t>0910BW01</t>
  </si>
  <si>
    <t>0910BW02</t>
  </si>
  <si>
    <t>0920BW01</t>
  </si>
  <si>
    <t>0930BW01</t>
  </si>
  <si>
    <t>0310BL01</t>
  </si>
  <si>
    <t>0150PI01</t>
  </si>
  <si>
    <t>0520PI01</t>
  </si>
  <si>
    <t>0930PI01</t>
  </si>
  <si>
    <t>0940PI01</t>
  </si>
  <si>
    <t>0950PI01</t>
  </si>
  <si>
    <t>0830TN01</t>
  </si>
  <si>
    <t>0930TN01</t>
  </si>
  <si>
    <t>0950OT01</t>
  </si>
  <si>
    <t>0110TT01</t>
  </si>
  <si>
    <t>0120TT01</t>
  </si>
  <si>
    <t>0120TT02</t>
  </si>
  <si>
    <t>0150TT01</t>
  </si>
  <si>
    <t>0160TT01</t>
  </si>
  <si>
    <t>0740TT01</t>
  </si>
  <si>
    <t>0810TT01</t>
  </si>
  <si>
    <t>0820TT01</t>
  </si>
  <si>
    <t>0910TT01</t>
  </si>
  <si>
    <t>0210CH01</t>
  </si>
  <si>
    <t>0520CH01</t>
  </si>
  <si>
    <t>0620‍CH01</t>
  </si>
  <si>
    <t>0710CH01</t>
  </si>
  <si>
    <t>0740CH01</t>
  </si>
  <si>
    <t>0820CH01</t>
  </si>
  <si>
    <t>0950CH01</t>
  </si>
  <si>
    <t>0210DA01</t>
  </si>
  <si>
    <t>0940SP01</t>
  </si>
  <si>
    <t>0940SP02</t>
  </si>
  <si>
    <t>0940SP03</t>
  </si>
  <si>
    <t>0940SP04</t>
  </si>
  <si>
    <t>0940SP05</t>
  </si>
  <si>
    <t>0940SP06</t>
  </si>
  <si>
    <t>0950SP01</t>
  </si>
  <si>
    <t>0110FN01</t>
  </si>
  <si>
    <t>0310FN01</t>
  </si>
  <si>
    <t>0520FN01</t>
  </si>
  <si>
    <t>0710FN11</t>
  </si>
  <si>
    <t>0730FN06</t>
  </si>
  <si>
    <t>0740FN01</t>
  </si>
  <si>
    <t>0820FN01</t>
  </si>
  <si>
    <t>0820FN02</t>
  </si>
  <si>
    <t>0820FN03</t>
  </si>
  <si>
    <t>0940CB01</t>
  </si>
  <si>
    <t>0510GA01</t>
  </si>
  <si>
    <t>0510GA02</t>
  </si>
  <si>
    <t>0510GA03</t>
  </si>
  <si>
    <t>0510GA04</t>
  </si>
  <si>
    <t>0510GA05</t>
  </si>
  <si>
    <t>0510GA06</t>
  </si>
  <si>
    <t>0510GA07</t>
  </si>
  <si>
    <t>0510GA09</t>
  </si>
  <si>
    <t>0730GA01</t>
  </si>
  <si>
    <t>0730GA02</t>
  </si>
  <si>
    <t>0820GA67</t>
  </si>
  <si>
    <t>0820GA68</t>
  </si>
  <si>
    <t>0820GA69</t>
  </si>
  <si>
    <t>0820GA70</t>
  </si>
  <si>
    <t>0820GA71</t>
  </si>
  <si>
    <t>0940GA01</t>
  </si>
  <si>
    <t>0820AR01</t>
  </si>
  <si>
    <t>0740RE01</t>
  </si>
  <si>
    <t>0740RE02</t>
  </si>
  <si>
    <t>0740RE03</t>
  </si>
  <si>
    <t>0740RE04</t>
  </si>
  <si>
    <t>0830HP01</t>
  </si>
  <si>
    <t>0950WP03</t>
  </si>
  <si>
    <t>0950WP04</t>
  </si>
  <si>
    <t>0500OB01</t>
  </si>
  <si>
    <t>0820OB01</t>
  </si>
  <si>
    <t>0610OB01</t>
  </si>
  <si>
    <t>0730OB01</t>
  </si>
  <si>
    <t>0820OB02</t>
  </si>
  <si>
    <t>0110OB01</t>
  </si>
  <si>
    <t>0110OB02</t>
  </si>
  <si>
    <t>0150OB01</t>
  </si>
  <si>
    <t>0710OB01</t>
  </si>
  <si>
    <t>0950OB01</t>
  </si>
  <si>
    <t>0820TS2A01</t>
  </si>
  <si>
    <t>ساختمان میكسینگ</t>
  </si>
  <si>
    <t>ساختمان انتظامات ورودی اصلی مجتمع</t>
  </si>
  <si>
    <t>ساختمان كارگاه ابزاردقیق</t>
  </si>
  <si>
    <t>ساختمان مدیریت و اداری اركان تدبیر</t>
  </si>
  <si>
    <t>ساختمان رختكن شماره یك(پیمانكاران)</t>
  </si>
  <si>
    <t>ساختمان كارگاه مكانیك و ساخت</t>
  </si>
  <si>
    <t>ساختمان كارگاه تاسیسات</t>
  </si>
  <si>
    <t>ساختمان مخازن آب شیرین و شور</t>
  </si>
  <si>
    <t>ساختمان كارگاه پیمانكار زرپی جوش</t>
  </si>
  <si>
    <t>ساختمان مدیریت و اداری پامیدكو</t>
  </si>
  <si>
    <t>ساختمان بالینگ</t>
  </si>
  <si>
    <t>ساختمان بهداری</t>
  </si>
  <si>
    <t>ساختمان كولینگ</t>
  </si>
  <si>
    <t>ساختمان لودینگ</t>
  </si>
  <si>
    <t>ساختمان ایستگاه راه آهن</t>
  </si>
  <si>
    <t>ساختمان انبار گندله سازی</t>
  </si>
  <si>
    <t>ساختمان آتش نشانی</t>
  </si>
  <si>
    <t>ساختمان آزمایشگاه</t>
  </si>
  <si>
    <t>ساختمان تاسیسات نیمه صنعتی</t>
  </si>
  <si>
    <t>كمپروسور هوای واحد ترانسپورت</t>
  </si>
  <si>
    <t>كامیونت ایسوزو بالابر چادرملو-584ع54-33</t>
  </si>
  <si>
    <t>بلدوزر كاترپیلار چادرملو-35555</t>
  </si>
  <si>
    <t>بلدوزر كاترپیلار چادرملو-02517</t>
  </si>
  <si>
    <t>بنز ده چرخ كمپرسی پامیدكو</t>
  </si>
  <si>
    <t>بنز ده چرخ كمپرسی چادرملو-648ع33-44</t>
  </si>
  <si>
    <t>بنز ده چرخ كمپرسی چادرملو-649ع33-44</t>
  </si>
  <si>
    <t>بنز ده چرخ كمپرسی چادرملو-728ع33-44</t>
  </si>
  <si>
    <t>بنز تك كمپرسی چادرملو</t>
  </si>
  <si>
    <t>بنز تك كمپرسی پامیدكو</t>
  </si>
  <si>
    <t>لیفتراك كوماتسو چادرملو</t>
  </si>
  <si>
    <t>لیفتراك 6 تنی كلارك چادرملو</t>
  </si>
  <si>
    <t>لیفتراك 2/5 تن دوگانه سوز</t>
  </si>
  <si>
    <t>لیفتراك 2 تن برقی</t>
  </si>
  <si>
    <t>لیفتراك 11 تن هیوندای</t>
  </si>
  <si>
    <t>لیفتراك 5 تن پامیدكو</t>
  </si>
  <si>
    <t>كامیون آتش نشانی چادرملو- 995ع19-11</t>
  </si>
  <si>
    <t>گریدر كاترپیلار چادرملو -61610</t>
  </si>
  <si>
    <t>گریدر كاترپیلار چادرملو -61626</t>
  </si>
  <si>
    <t>كامیونت زباله بر چادرملو-969ع73-11</t>
  </si>
  <si>
    <t>لودر 470 كوماتسو تحویل پامیدكو-103814</t>
  </si>
  <si>
    <t>لودر 470 كوماتسو چادرملو</t>
  </si>
  <si>
    <t>لودر كاترپیلار 966 چادرملو-23520</t>
  </si>
  <si>
    <t>لودر كاترپیلار 966 تحویل پامیدكو-23278</t>
  </si>
  <si>
    <t>لودر ولو كارفرما چادرملو-31574</t>
  </si>
  <si>
    <t>بابكت چادرملو</t>
  </si>
  <si>
    <t>بابكت پامیدكو شماره دو</t>
  </si>
  <si>
    <t>بابكت پامیدكو شماره یك</t>
  </si>
  <si>
    <t>بنز خاور سوخت چادرملو-474ع23-54</t>
  </si>
  <si>
    <t>جرثقیل 250 تن مانی تواگ</t>
  </si>
  <si>
    <t>جرثقیل 80 تن لبهر چادرملو-95972</t>
  </si>
  <si>
    <t>جرثقیل 50 تن لبهر 441700</t>
  </si>
  <si>
    <t>جرثقیل 25 تن لبهر 92010458</t>
  </si>
  <si>
    <t>جرثقیل 25 تن لبهر 92010339</t>
  </si>
  <si>
    <t>بنز ده چرخ میكسر چادرملو-313ع31-54</t>
  </si>
  <si>
    <t>وانت پیكاب دوكابین چادرملو-457ط58-11</t>
  </si>
  <si>
    <t>وانت پیكاب دوكابین چادرملو-458ط58-11</t>
  </si>
  <si>
    <t>پیكاب دوكابین پامیدكو-857ن71-66</t>
  </si>
  <si>
    <t>پیكاب تك كابین پامیدكو - 173ج14-88</t>
  </si>
  <si>
    <t>وانت مزدا پامیدكو-437ج95-77</t>
  </si>
  <si>
    <t>وانت مزدا پامیدكو-998ه72-22</t>
  </si>
  <si>
    <t>وانت مزدا پامیدكو -418ج95-77</t>
  </si>
  <si>
    <t>وانت مزدا پامیدكو-785ه26-77</t>
  </si>
  <si>
    <t>وانت مزدا پامیدكو-853م88-55</t>
  </si>
  <si>
    <t>وانت مزدا پامیدكو-116م99-88</t>
  </si>
  <si>
    <t>وانت پیكان پامیدكو -759ه66-44</t>
  </si>
  <si>
    <t>وانت نیسان پامیدكو-375ل45-66</t>
  </si>
  <si>
    <t>غلتك هپكو لاستیكی</t>
  </si>
  <si>
    <t>تویاتا هایس-597ط42-44</t>
  </si>
  <si>
    <t>پاجیرو-338ج57-54</t>
  </si>
  <si>
    <t>پاجیرو-841ص22-44</t>
  </si>
  <si>
    <t>پاجیرو-741ص71-11</t>
  </si>
  <si>
    <t>پاجیرو میتسوبیشی -519ه21-55</t>
  </si>
  <si>
    <t>تویوتا آمبولانس-257س67-11</t>
  </si>
  <si>
    <t>پژو پارس چادرملو-968س97-11</t>
  </si>
  <si>
    <t>پژو پارس پامیدكو- 165س33-44</t>
  </si>
  <si>
    <t>هیوندا سوناتا چادرملو-436ه65-11</t>
  </si>
  <si>
    <t>مگان چادرملو-643ل37-66</t>
  </si>
  <si>
    <t>مگان چادرملو-642ل37-66</t>
  </si>
  <si>
    <t>زانتیا پامیدكو-927ی76-22</t>
  </si>
  <si>
    <t>زانتیا پامیدكو-998ط54-55</t>
  </si>
  <si>
    <t>سمند پامیدكو-369س81-66</t>
  </si>
  <si>
    <t>سمند پامیدكو-878م18-10</t>
  </si>
  <si>
    <t>پراید پامیدكو-237ق72-66</t>
  </si>
  <si>
    <t>پراید پامیدكو-238ق72-66</t>
  </si>
  <si>
    <t>پراید پامیدكو-239ق72-66</t>
  </si>
  <si>
    <t>پراید پامیدكو-241ق72-66</t>
  </si>
  <si>
    <t>پراید پامیدكو-858ن71-66</t>
  </si>
  <si>
    <t>پراید پامیدكو- 859ن71-66</t>
  </si>
  <si>
    <t>پراید پامیدكو- 486ج53-88</t>
  </si>
  <si>
    <t>پراید پامیدكو 719ج53-88</t>
  </si>
  <si>
    <t>كامیونت ایسوزو جاروب چادرملو- 587ع54-33</t>
  </si>
  <si>
    <t>تراكتور فرگوسن چادرملو</t>
  </si>
  <si>
    <t>تراكتور فرگوسن پامیدكو</t>
  </si>
  <si>
    <t>تراكتور رومانی چادرملو</t>
  </si>
  <si>
    <t>تریلر كفی بنز چادرملو-579ع12-54</t>
  </si>
  <si>
    <t>كفی ده چرخ جرثقیل دار پامیدكو-597ع82-22</t>
  </si>
  <si>
    <t>تریلر تانكراف 12 چادرملو-314ع31-54</t>
  </si>
  <si>
    <t>بنز ده چرخ تانكر چادرملو-437ع15-11</t>
  </si>
  <si>
    <t>بنز ده چرخ تانكر پامیدكو -843ع34-</t>
  </si>
  <si>
    <t>یونیماگ جرثقیل دار-35695410</t>
  </si>
  <si>
    <t>C450.CP01</t>
  </si>
  <si>
    <t>C450.CP02</t>
  </si>
  <si>
    <t>C450.AL01.01</t>
  </si>
  <si>
    <t>C450.BL01.01</t>
  </si>
  <si>
    <t>C450.BL01.02</t>
  </si>
  <si>
    <t>C450.DT01.01</t>
  </si>
  <si>
    <t>C450.DT01.02</t>
  </si>
  <si>
    <t>C450.DT01.03</t>
  </si>
  <si>
    <t>C450.DT01.04</t>
  </si>
  <si>
    <t>C450.DT02.01</t>
  </si>
  <si>
    <t>C450.DT02.02</t>
  </si>
  <si>
    <t>C450.DT02.03</t>
  </si>
  <si>
    <t>C450.FL01.01</t>
  </si>
  <si>
    <t>C450.FL02.01</t>
  </si>
  <si>
    <t>C450.FL03.01</t>
  </si>
  <si>
    <t>C450.FL04.01</t>
  </si>
  <si>
    <t>C450.FL05.01</t>
  </si>
  <si>
    <t>C450.FL05.02</t>
  </si>
  <si>
    <t>C450.FL05.03</t>
  </si>
  <si>
    <t>C450.FL06.01</t>
  </si>
  <si>
    <t>C450.FT01.01</t>
  </si>
  <si>
    <t>C450.GR01.01</t>
  </si>
  <si>
    <t>C450.GR01.02</t>
  </si>
  <si>
    <t>C450.GT01.01</t>
  </si>
  <si>
    <t>C450.LO01.01</t>
  </si>
  <si>
    <t>C450.LO01.02</t>
  </si>
  <si>
    <t>C450.LO02.01</t>
  </si>
  <si>
    <t>C450.LO02.02</t>
  </si>
  <si>
    <t>C450.LO03.01</t>
  </si>
  <si>
    <t>C450.LO04.01</t>
  </si>
  <si>
    <t>C450.LO04.02</t>
  </si>
  <si>
    <t>C450.LO04.03</t>
  </si>
  <si>
    <t>C450.LT01.01</t>
  </si>
  <si>
    <t>C450.MC01.01</t>
  </si>
  <si>
    <t>C450.MC02.01</t>
  </si>
  <si>
    <t>C450.MC03.01</t>
  </si>
  <si>
    <t>C450.MC04.01</t>
  </si>
  <si>
    <t>C450.MC04.02</t>
  </si>
  <si>
    <t>C450.MT01.01</t>
  </si>
  <si>
    <t>C450.PC01.01</t>
  </si>
  <si>
    <t>C450.PC01.02</t>
  </si>
  <si>
    <t>C450.PC01.03</t>
  </si>
  <si>
    <t>C450.PC02.01</t>
  </si>
  <si>
    <t>C450.PC03.01</t>
  </si>
  <si>
    <t>C450.PC03.02</t>
  </si>
  <si>
    <t>C450.PC03.03</t>
  </si>
  <si>
    <t>C450.PC03.04</t>
  </si>
  <si>
    <t>C450.PC03.05</t>
  </si>
  <si>
    <t>C450.PC03.06</t>
  </si>
  <si>
    <t>C450.PC04.01</t>
  </si>
  <si>
    <t>C450.PC05.01</t>
  </si>
  <si>
    <t>C450.RT01.01</t>
  </si>
  <si>
    <t>C450.SE01.01</t>
  </si>
  <si>
    <t>C450.SE02.01</t>
  </si>
  <si>
    <t>C450.SE02.02</t>
  </si>
  <si>
    <t>C450.SE02.03</t>
  </si>
  <si>
    <t>C450.SE02.04</t>
  </si>
  <si>
    <t>C450.SE03.01</t>
  </si>
  <si>
    <t>C450.SE04.01</t>
  </si>
  <si>
    <t>C450.SE04.02</t>
  </si>
  <si>
    <t>C450.SE05.01</t>
  </si>
  <si>
    <t>C450.SE06.01</t>
  </si>
  <si>
    <t>C450.SE06.02</t>
  </si>
  <si>
    <t>C450.SE07.01</t>
  </si>
  <si>
    <t>C450.SE07.02</t>
  </si>
  <si>
    <t>C450.SE08.01</t>
  </si>
  <si>
    <t>C450.SE08.02</t>
  </si>
  <si>
    <t>C450.SE09.01</t>
  </si>
  <si>
    <t>C450.SE09.02</t>
  </si>
  <si>
    <t>C450.SE09.03</t>
  </si>
  <si>
    <t>C450.SE09.04</t>
  </si>
  <si>
    <t>C450.SE09.05</t>
  </si>
  <si>
    <t>C450.SE09.06</t>
  </si>
  <si>
    <t>C450.SE09.07</t>
  </si>
  <si>
    <t>C450.SE09.08</t>
  </si>
  <si>
    <t>C450.ST01.01</t>
  </si>
  <si>
    <t>C450.TR01.01</t>
  </si>
  <si>
    <t>C450.TR01.02</t>
  </si>
  <si>
    <t>C450.TR02.01</t>
  </si>
  <si>
    <t>C450.TR03.01</t>
  </si>
  <si>
    <t>C450.TR04.01</t>
  </si>
  <si>
    <t>C450.TT01.01</t>
  </si>
  <si>
    <t>C450.TT02.01</t>
  </si>
  <si>
    <t>C450.TT02.02</t>
  </si>
  <si>
    <t>C450.UM01.01</t>
  </si>
  <si>
    <t>Asset Tag No</t>
  </si>
  <si>
    <t>AssetNumber</t>
  </si>
  <si>
    <t>طبیبی</t>
  </si>
  <si>
    <t>مهدی زاده</t>
  </si>
  <si>
    <t>فهیمی</t>
  </si>
  <si>
    <t>منصوریان</t>
  </si>
  <si>
    <t>حکیم زاده</t>
  </si>
  <si>
    <t>کارگر</t>
  </si>
  <si>
    <t>توانا</t>
  </si>
  <si>
    <t>حسینی</t>
  </si>
  <si>
    <t>عزیزی</t>
  </si>
  <si>
    <t>پاک نیا</t>
  </si>
  <si>
    <t>وشتانی</t>
  </si>
  <si>
    <t>غفاری</t>
  </si>
  <si>
    <t>عبدی</t>
  </si>
  <si>
    <t>جعفری</t>
  </si>
  <si>
    <t>ناظمی زاده</t>
  </si>
  <si>
    <t>ناحیه</t>
  </si>
  <si>
    <t>برگزاری جلسه مشترک و تهیه درخت روی وایت برد</t>
  </si>
  <si>
    <t>0610RS01</t>
  </si>
  <si>
    <t>توانا/کارگر</t>
  </si>
  <si>
    <t>کارشناس انجام دهنده برق</t>
  </si>
  <si>
    <t>کارشناس انجام دهنده مکانیک</t>
  </si>
  <si>
    <t>پیشرفت فایل اکسل مکانیک</t>
  </si>
  <si>
    <t>پیشرفت فایل اکسل  برق</t>
  </si>
  <si>
    <t>درصد تکمیل فایل نهایی</t>
  </si>
  <si>
    <t>کنترل فایل توسط CPG</t>
  </si>
  <si>
    <t>جمع بندی فایل اکسل نهایی</t>
  </si>
  <si>
    <t xml:space="preserve"> Main Asset</t>
  </si>
  <si>
    <t>درصد پیشرفت</t>
  </si>
  <si>
    <t>وزن تجهیز در ناحیه</t>
  </si>
  <si>
    <t>1400FI01</t>
  </si>
  <si>
    <t>کارشناس انجام دهنده هیدرولیک و روانکاری</t>
  </si>
  <si>
    <t>کارشناس انجام دهنده مکانیک و تاسیسات</t>
  </si>
  <si>
    <t>گروه اولویت</t>
  </si>
  <si>
    <t>0920PG01</t>
  </si>
  <si>
    <t>پاگ میل</t>
  </si>
  <si>
    <t>درصد پیشرفت ناحیه</t>
  </si>
  <si>
    <t>Points range</t>
  </si>
  <si>
    <t>VITAL</t>
  </si>
  <si>
    <t>5.29&gt;</t>
  </si>
  <si>
    <t>ESSENTIAL</t>
  </si>
  <si>
    <t>(3.98-5.29)</t>
  </si>
  <si>
    <t>IMPORTANT</t>
  </si>
  <si>
    <t>(2.67-3.98)</t>
  </si>
  <si>
    <t>NORMAL</t>
  </si>
  <si>
    <t>&lt;2.67</t>
  </si>
  <si>
    <t>تعداد تجهیزات</t>
  </si>
  <si>
    <t>زارعی</t>
  </si>
  <si>
    <t>اولویت</t>
  </si>
  <si>
    <t>ردیف</t>
  </si>
  <si>
    <t>0610LB01</t>
  </si>
  <si>
    <t>1400WP2</t>
  </si>
  <si>
    <t>0510GA101</t>
  </si>
  <si>
    <t>0510GA103</t>
  </si>
  <si>
    <t>0510GA104</t>
  </si>
  <si>
    <t>KL 04/12/M</t>
  </si>
  <si>
    <t>RHF15/3/201</t>
  </si>
  <si>
    <t>UE800</t>
  </si>
  <si>
    <t>UM400</t>
  </si>
  <si>
    <t>D550</t>
  </si>
  <si>
    <t>HP630D</t>
  </si>
  <si>
    <t>MR 3002</t>
  </si>
  <si>
    <t>FTM-10</t>
  </si>
  <si>
    <t>MS-H-S</t>
  </si>
  <si>
    <t>ST11</t>
  </si>
  <si>
    <t>pH 197i</t>
  </si>
  <si>
    <t>827 pH lab</t>
  </si>
  <si>
    <t>HQ40d</t>
  </si>
  <si>
    <t>Cond7310</t>
  </si>
  <si>
    <t>PC Compact</t>
  </si>
  <si>
    <t>PC compact</t>
  </si>
  <si>
    <t>RK100</t>
  </si>
  <si>
    <t>UR1</t>
  </si>
  <si>
    <t>PM4</t>
  </si>
  <si>
    <t>OSK-194</t>
  </si>
  <si>
    <t>ITB600</t>
  </si>
  <si>
    <t>GP 30 K</t>
  </si>
  <si>
    <t>GF-3000</t>
  </si>
  <si>
    <t>FX-3000GD</t>
  </si>
  <si>
    <t>GR200</t>
  </si>
  <si>
    <t>CPA 324 S</t>
  </si>
  <si>
    <t>LP2200</t>
  </si>
  <si>
    <t>FD 240</t>
  </si>
  <si>
    <t>MX50</t>
  </si>
  <si>
    <t>T 100</t>
  </si>
  <si>
    <t>Pulverisette 1 Type2</t>
  </si>
  <si>
    <t>AS 200</t>
  </si>
  <si>
    <t xml:space="preserve"> LSC- 01/30</t>
  </si>
  <si>
    <t xml:space="preserve"> MSC- 10/500</t>
  </si>
  <si>
    <t>OSK-511</t>
  </si>
  <si>
    <t>UV mini-1240</t>
  </si>
  <si>
    <t>DR 5000</t>
  </si>
  <si>
    <t>AA-6200</t>
  </si>
  <si>
    <t>MXF-2400</t>
  </si>
  <si>
    <t>HYW3006-S17</t>
  </si>
  <si>
    <t>TR-1000S</t>
  </si>
  <si>
    <t>MP-35-02</t>
  </si>
  <si>
    <t>DRB200</t>
  </si>
  <si>
    <t>IR-AHS0</t>
  </si>
  <si>
    <t>Analysette 3 Spartan</t>
  </si>
  <si>
    <t>MP 104 E</t>
  </si>
  <si>
    <t>N035.3AN.18</t>
  </si>
  <si>
    <t>WB 45</t>
  </si>
  <si>
    <t>ST 72</t>
  </si>
  <si>
    <t>LM-9000</t>
  </si>
  <si>
    <t>RE4/500ml</t>
  </si>
  <si>
    <t>165/93 mm</t>
  </si>
  <si>
    <t>درصد پیشرفت  تکسونامی تجهیزات</t>
  </si>
  <si>
    <t xml:space="preserve"> ملاس پاشی</t>
  </si>
  <si>
    <t>کد تجهیز</t>
  </si>
  <si>
    <t>الگو</t>
  </si>
  <si>
    <t>مقدار شاخص</t>
  </si>
  <si>
    <t>وزن درصدی هر ستون</t>
  </si>
  <si>
    <t>وزن تجهیز</t>
  </si>
  <si>
    <t>ER</t>
  </si>
  <si>
    <t>درصد کل</t>
  </si>
  <si>
    <t>تعداد کل</t>
  </si>
  <si>
    <t>تعداد  تجهیزات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</si>
</sst>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theme="1"/>
      <name val="B Nazanin"/>
      <charset val="178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</font>
    <font>
      <sz val="12"/>
      <color rgb="FFFF0000"/>
      <name val="Arial"/>
      <family val="2"/>
    </font>
    <font>
      <sz val="11"/>
      <color theme="1"/>
      <name val="B Titr"/>
      <charset val="178"/>
    </font>
    <font>
      <b/>
      <sz val="11"/>
      <color theme="1"/>
      <name val="Arial Narrow"/>
      <family val="2"/>
    </font>
    <font>
      <b/>
      <sz val="16"/>
      <color theme="1"/>
      <name val="Times New Roman"/>
      <family val="1"/>
      <scheme val="major"/>
    </font>
    <font>
      <b/>
      <sz val="14"/>
      <color rgb="FF0070C0"/>
      <name val="Arial"/>
      <family val="2"/>
      <scheme val="minor"/>
    </font>
    <font>
      <b/>
      <sz val="14"/>
      <color theme="1"/>
      <name val="Times New Roman"/>
      <family val="1"/>
      <scheme val="major"/>
    </font>
    <font>
      <b/>
      <sz val="20"/>
      <color theme="1"/>
      <name val="B Nazanin"/>
      <charset val="178"/>
    </font>
    <font>
      <b/>
      <sz val="20"/>
      <color theme="1"/>
      <name val="B Titr"/>
      <charset val="178"/>
    </font>
    <font>
      <sz val="14"/>
      <color theme="1"/>
      <name val="B Titr"/>
      <charset val="178"/>
    </font>
    <font>
      <sz val="16"/>
      <color theme="1"/>
      <name val="B Titr"/>
      <charset val="178"/>
    </font>
    <font>
      <b/>
      <sz val="16"/>
      <color theme="1"/>
      <name val="B Titr"/>
      <charset val="178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readingOrder="2"/>
    </xf>
    <xf numFmtId="0" fontId="0" fillId="0" borderId="2" xfId="0" applyBorder="1" applyAlignment="1">
      <alignment horizontal="center"/>
    </xf>
    <xf numFmtId="9" fontId="4" fillId="4" borderId="3" xfId="1" applyFont="1" applyFill="1" applyBorder="1" applyAlignment="1">
      <alignment horizontal="center" vertical="center" wrapText="1"/>
    </xf>
    <xf numFmtId="9" fontId="0" fillId="0" borderId="2" xfId="1" applyFont="1" applyBorder="1" applyAlignment="1">
      <alignment horizontal="center"/>
    </xf>
    <xf numFmtId="49" fontId="4" fillId="5" borderId="3" xfId="0" applyNumberFormat="1" applyFont="1" applyFill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9" fontId="6" fillId="0" borderId="2" xfId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3" fillId="2" borderId="4" xfId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9" fontId="4" fillId="4" borderId="4" xfId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2" xfId="1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 wrapText="1"/>
    </xf>
    <xf numFmtId="9" fontId="0" fillId="0" borderId="4" xfId="1" applyFont="1" applyFill="1" applyBorder="1" applyAlignment="1">
      <alignment horizontal="center" wrapText="1"/>
    </xf>
    <xf numFmtId="0" fontId="13" fillId="7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3" fillId="7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9" fontId="9" fillId="6" borderId="8" xfId="1" applyFont="1" applyFill="1" applyBorder="1" applyAlignment="1">
      <alignment horizontal="center" vertical="center" wrapText="1"/>
    </xf>
    <xf numFmtId="9" fontId="9" fillId="6" borderId="7" xfId="1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2" xfId="0" applyFill="1" applyBorder="1" applyAlignment="1">
      <alignment horizontal="center" vertical="center"/>
    </xf>
    <xf numFmtId="9" fontId="11" fillId="9" borderId="2" xfId="1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9" fontId="11" fillId="0" borderId="12" xfId="1" applyFont="1" applyFill="1" applyBorder="1" applyAlignment="1">
      <alignment horizontal="center" vertical="center" wrapText="1"/>
    </xf>
    <xf numFmtId="9" fontId="11" fillId="0" borderId="13" xfId="1" applyFont="1" applyFill="1" applyBorder="1" applyAlignment="1">
      <alignment horizontal="center" vertical="center" wrapText="1"/>
    </xf>
    <xf numFmtId="9" fontId="11" fillId="0" borderId="0" xfId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wrapText="1"/>
    </xf>
    <xf numFmtId="0" fontId="9" fillId="0" borderId="15" xfId="0" applyFont="1" applyBorder="1" applyAlignment="1">
      <alignment wrapText="1"/>
    </xf>
    <xf numFmtId="9" fontId="14" fillId="4" borderId="3" xfId="1" applyFont="1" applyFill="1" applyBorder="1" applyAlignment="1">
      <alignment horizontal="center" vertical="center" wrapText="1"/>
    </xf>
    <xf numFmtId="9" fontId="14" fillId="5" borderId="3" xfId="1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9" fontId="15" fillId="0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tojects\Pelletizing%20Archive\&#1583;&#1585;&#1575;&#1740;&#1608;%20&#1588;&#1576;&#1705;&#1607;%20&#1578;&#1602;&#1740;%20&#1606;&#1688;&#1575;&#1583;\RCM\allllll\&#1575;&#1608;&#1604;&#1608;&#1740;&#1578;%20&#1576;&#1606;&#1583;&#1740;%20&#1578;&#1580;&#1607;&#1740;&#1586;&#1575;&#1578;%20&#1711;&#1606;&#1583;&#1604;&#1607;%20&#1587;&#1575;&#1586;&#17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ایل اولیه"/>
      <sheetName val="Final Sorting"/>
      <sheetName val="Chart"/>
    </sheetNames>
    <sheetDataSet>
      <sheetData sheetId="0" refreshError="1"/>
      <sheetData sheetId="1">
        <row r="7">
          <cell r="CS7">
            <v>8.4699999999999989</v>
          </cell>
        </row>
        <row r="8">
          <cell r="CS8">
            <v>7.8840000000000003</v>
          </cell>
        </row>
        <row r="9">
          <cell r="CS9">
            <v>7.6470000000000011</v>
          </cell>
        </row>
        <row r="10">
          <cell r="CS10">
            <v>7.6470000000000011</v>
          </cell>
        </row>
        <row r="11">
          <cell r="CS11">
            <v>7.6220000000000008</v>
          </cell>
        </row>
        <row r="12">
          <cell r="CS12">
            <v>7.4570000000000007</v>
          </cell>
        </row>
        <row r="13">
          <cell r="CS13">
            <v>7.452</v>
          </cell>
        </row>
        <row r="14">
          <cell r="CS14">
            <v>7.452</v>
          </cell>
        </row>
        <row r="15">
          <cell r="CS15">
            <v>7.3770000000000007</v>
          </cell>
        </row>
        <row r="16">
          <cell r="CS16">
            <v>7.2520000000000007</v>
          </cell>
        </row>
        <row r="17">
          <cell r="CS17">
            <v>7.2520000000000007</v>
          </cell>
        </row>
        <row r="18">
          <cell r="CS18">
            <v>7.152000000000001</v>
          </cell>
        </row>
        <row r="19">
          <cell r="CS19">
            <v>6.9480000000000004</v>
          </cell>
        </row>
        <row r="20">
          <cell r="CS20">
            <v>6.9260000000000002</v>
          </cell>
        </row>
        <row r="21">
          <cell r="CS21">
            <v>6.8629999999999995</v>
          </cell>
        </row>
        <row r="22">
          <cell r="CS22">
            <v>6.8629999999999995</v>
          </cell>
        </row>
        <row r="23">
          <cell r="CS23">
            <v>6.7299999999999995</v>
          </cell>
        </row>
        <row r="24">
          <cell r="CS24">
            <v>6.4820000000000002</v>
          </cell>
        </row>
        <row r="25">
          <cell r="CS25">
            <v>6.4820000000000002</v>
          </cell>
        </row>
        <row r="26">
          <cell r="CS26">
            <v>6.4009999999999998</v>
          </cell>
        </row>
        <row r="27">
          <cell r="CS27">
            <v>6.3850000000000007</v>
          </cell>
        </row>
        <row r="28">
          <cell r="CS28">
            <v>6.3719999999999999</v>
          </cell>
        </row>
        <row r="29">
          <cell r="CS29">
            <v>6.3719999999999999</v>
          </cell>
        </row>
        <row r="30">
          <cell r="CS30">
            <v>6.3719999999999999</v>
          </cell>
        </row>
        <row r="31">
          <cell r="CS31">
            <v>6.3220000000000001</v>
          </cell>
        </row>
        <row r="32">
          <cell r="CS32">
            <v>6.3200000000000012</v>
          </cell>
        </row>
        <row r="33">
          <cell r="CS33">
            <v>6.3200000000000012</v>
          </cell>
        </row>
        <row r="34">
          <cell r="CS34">
            <v>6.3079999999999998</v>
          </cell>
        </row>
        <row r="35">
          <cell r="CS35">
            <v>6.270999999999999</v>
          </cell>
        </row>
        <row r="36">
          <cell r="CS36">
            <v>6.270999999999999</v>
          </cell>
        </row>
        <row r="37">
          <cell r="CS37">
            <v>6.2330000000000005</v>
          </cell>
        </row>
        <row r="38">
          <cell r="CS38">
            <v>6.2330000000000005</v>
          </cell>
        </row>
        <row r="39">
          <cell r="CS39">
            <v>6.2330000000000005</v>
          </cell>
        </row>
        <row r="40">
          <cell r="CS40">
            <v>6.194</v>
          </cell>
        </row>
        <row r="41">
          <cell r="CS41">
            <v>6.1519999999999992</v>
          </cell>
        </row>
        <row r="42">
          <cell r="CS42">
            <v>6.077</v>
          </cell>
        </row>
        <row r="43">
          <cell r="CS43">
            <v>6.0440000000000005</v>
          </cell>
        </row>
        <row r="44">
          <cell r="CS44">
            <v>5.9690000000000003</v>
          </cell>
        </row>
        <row r="45">
          <cell r="CS45">
            <v>5.9690000000000003</v>
          </cell>
        </row>
        <row r="46">
          <cell r="CS46">
            <v>5.9260000000000002</v>
          </cell>
        </row>
        <row r="47">
          <cell r="CS47">
            <v>5.9160000000000004</v>
          </cell>
        </row>
        <row r="48">
          <cell r="CS48">
            <v>5.8940000000000001</v>
          </cell>
        </row>
        <row r="49">
          <cell r="CS49">
            <v>5.8440000000000003</v>
          </cell>
        </row>
        <row r="50">
          <cell r="CS50">
            <v>5.8440000000000003</v>
          </cell>
        </row>
        <row r="51">
          <cell r="CS51">
            <v>5.8440000000000003</v>
          </cell>
        </row>
        <row r="52">
          <cell r="CS52">
            <v>5.8440000000000003</v>
          </cell>
        </row>
        <row r="53">
          <cell r="CS53">
            <v>5.8260000000000005</v>
          </cell>
        </row>
        <row r="54">
          <cell r="CS54">
            <v>5.8150000000000013</v>
          </cell>
        </row>
        <row r="55">
          <cell r="CS55">
            <v>5.8150000000000013</v>
          </cell>
        </row>
        <row r="56">
          <cell r="CS56">
            <v>5.8150000000000013</v>
          </cell>
        </row>
        <row r="57">
          <cell r="CS57">
            <v>5.8140000000000001</v>
          </cell>
        </row>
        <row r="58">
          <cell r="CS58">
            <v>5.8070000000000004</v>
          </cell>
        </row>
        <row r="59">
          <cell r="CS59">
            <v>5.7460000000000004</v>
          </cell>
        </row>
        <row r="60">
          <cell r="CS60">
            <v>5.7150000000000007</v>
          </cell>
        </row>
        <row r="61">
          <cell r="CS61">
            <v>5.7150000000000007</v>
          </cell>
        </row>
        <row r="62">
          <cell r="CS62">
            <v>5.705000000000001</v>
          </cell>
        </row>
        <row r="63">
          <cell r="CS63">
            <v>5.705000000000001</v>
          </cell>
        </row>
        <row r="64">
          <cell r="CS64">
            <v>5.705000000000001</v>
          </cell>
        </row>
        <row r="65">
          <cell r="CS65">
            <v>5.705000000000001</v>
          </cell>
        </row>
        <row r="66">
          <cell r="CS66">
            <v>5.6929999999999996</v>
          </cell>
        </row>
        <row r="67">
          <cell r="CS67">
            <v>5.6760000000000002</v>
          </cell>
        </row>
        <row r="68">
          <cell r="CS68">
            <v>5.6760000000000002</v>
          </cell>
        </row>
        <row r="69">
          <cell r="CS69">
            <v>5.6464999999999996</v>
          </cell>
        </row>
        <row r="70">
          <cell r="CS70">
            <v>5.6464999999999996</v>
          </cell>
        </row>
        <row r="71">
          <cell r="CS71">
            <v>5.6464999999999996</v>
          </cell>
        </row>
        <row r="72">
          <cell r="CS72">
            <v>5.6464999999999996</v>
          </cell>
        </row>
        <row r="73">
          <cell r="CS73">
            <v>5.6464999999999996</v>
          </cell>
        </row>
        <row r="74">
          <cell r="CS74">
            <v>5.6464999999999996</v>
          </cell>
        </row>
        <row r="75">
          <cell r="CS75">
            <v>5.6450000000000005</v>
          </cell>
        </row>
        <row r="76">
          <cell r="CS76">
            <v>5.6210000000000004</v>
          </cell>
        </row>
        <row r="77">
          <cell r="CS77">
            <v>5.6180000000000003</v>
          </cell>
        </row>
        <row r="78">
          <cell r="CS78">
            <v>5.6180000000000003</v>
          </cell>
        </row>
        <row r="79">
          <cell r="CS79">
            <v>5.6180000000000003</v>
          </cell>
        </row>
        <row r="80">
          <cell r="CS80">
            <v>5.6180000000000003</v>
          </cell>
        </row>
        <row r="81">
          <cell r="CS81">
            <v>5.6180000000000003</v>
          </cell>
        </row>
        <row r="82">
          <cell r="CS82">
            <v>5.6180000000000003</v>
          </cell>
        </row>
        <row r="83">
          <cell r="CS83">
            <v>5.5950000000000006</v>
          </cell>
        </row>
        <row r="84">
          <cell r="CS84">
            <v>5.5950000000000006</v>
          </cell>
        </row>
        <row r="85">
          <cell r="CS85">
            <v>5.4560000000000004</v>
          </cell>
        </row>
        <row r="86">
          <cell r="CS86">
            <v>5.4560000000000004</v>
          </cell>
        </row>
        <row r="87">
          <cell r="CS87">
            <v>5.4340000000000002</v>
          </cell>
        </row>
        <row r="88">
          <cell r="CS88">
            <v>5.4340000000000002</v>
          </cell>
        </row>
        <row r="89">
          <cell r="CS89">
            <v>5.4110000000000005</v>
          </cell>
        </row>
        <row r="90">
          <cell r="CS90">
            <v>5.4110000000000005</v>
          </cell>
        </row>
        <row r="91">
          <cell r="CS91">
            <v>5.4110000000000005</v>
          </cell>
        </row>
        <row r="92">
          <cell r="CS92">
            <v>5.41</v>
          </cell>
        </row>
        <row r="93">
          <cell r="CS93">
            <v>5.3760000000000003</v>
          </cell>
        </row>
        <row r="94">
          <cell r="CS94">
            <v>5.3070000000000004</v>
          </cell>
        </row>
        <row r="95">
          <cell r="CS95">
            <v>5.2810000000000006</v>
          </cell>
        </row>
        <row r="96">
          <cell r="CS96">
            <v>5.2290000000000001</v>
          </cell>
        </row>
        <row r="97">
          <cell r="CS97">
            <v>5.2290000000000001</v>
          </cell>
        </row>
        <row r="98">
          <cell r="CS98">
            <v>5.2240000000000011</v>
          </cell>
        </row>
        <row r="99">
          <cell r="CS99">
            <v>5.2090000000000005</v>
          </cell>
        </row>
        <row r="100">
          <cell r="CS100">
            <v>5.2</v>
          </cell>
        </row>
        <row r="101">
          <cell r="CS101">
            <v>5.1609999999999996</v>
          </cell>
        </row>
        <row r="102">
          <cell r="CS102">
            <v>5.1609999999999996</v>
          </cell>
        </row>
        <row r="103">
          <cell r="CS103">
            <v>5.15</v>
          </cell>
        </row>
        <row r="104">
          <cell r="CS104">
            <v>5.1440000000000001</v>
          </cell>
        </row>
        <row r="105">
          <cell r="CS105">
            <v>5.1390000000000002</v>
          </cell>
        </row>
        <row r="106">
          <cell r="CS106">
            <v>5.1120000000000001</v>
          </cell>
        </row>
        <row r="107">
          <cell r="CS107">
            <v>5.1120000000000001</v>
          </cell>
        </row>
        <row r="108">
          <cell r="CS108">
            <v>5.1120000000000001</v>
          </cell>
        </row>
        <row r="109">
          <cell r="CS109">
            <v>5.1120000000000001</v>
          </cell>
        </row>
        <row r="110">
          <cell r="CS110">
            <v>5.1120000000000001</v>
          </cell>
        </row>
        <row r="111">
          <cell r="CS111">
            <v>5.1059999999999999</v>
          </cell>
        </row>
        <row r="112">
          <cell r="CS112">
            <v>5.0865</v>
          </cell>
        </row>
        <row r="113">
          <cell r="CS113">
            <v>5.0865</v>
          </cell>
        </row>
        <row r="114">
          <cell r="CS114">
            <v>5.0760000000000005</v>
          </cell>
        </row>
        <row r="115">
          <cell r="CS115">
            <v>5.0760000000000005</v>
          </cell>
        </row>
        <row r="116">
          <cell r="CS116">
            <v>5.0260000000000007</v>
          </cell>
        </row>
        <row r="117">
          <cell r="CS117">
            <v>5.0260000000000007</v>
          </cell>
        </row>
        <row r="118">
          <cell r="CS118">
            <v>5.0260000000000007</v>
          </cell>
        </row>
        <row r="119">
          <cell r="CS119">
            <v>5.0039999999999996</v>
          </cell>
        </row>
        <row r="120">
          <cell r="CS120">
            <v>5.0039999999999996</v>
          </cell>
        </row>
        <row r="121">
          <cell r="CS121">
            <v>4.9719999999999995</v>
          </cell>
        </row>
        <row r="122">
          <cell r="CS122">
            <v>4.9670000000000005</v>
          </cell>
        </row>
        <row r="123">
          <cell r="CS123">
            <v>4.9399999999999995</v>
          </cell>
        </row>
        <row r="124">
          <cell r="CS124">
            <v>4.9050000000000002</v>
          </cell>
        </row>
        <row r="125">
          <cell r="CS125">
            <v>4.8910000000000009</v>
          </cell>
        </row>
        <row r="126">
          <cell r="CS126">
            <v>4.8400000000000007</v>
          </cell>
        </row>
        <row r="127">
          <cell r="CS127">
            <v>4.84</v>
          </cell>
        </row>
        <row r="128">
          <cell r="CS128">
            <v>4.84</v>
          </cell>
        </row>
        <row r="129">
          <cell r="CS129">
            <v>4.835</v>
          </cell>
        </row>
        <row r="130">
          <cell r="CS130">
            <v>4.798</v>
          </cell>
        </row>
        <row r="131">
          <cell r="CS131">
            <v>4.7900000000000009</v>
          </cell>
        </row>
        <row r="132">
          <cell r="CS132">
            <v>4.7900000000000009</v>
          </cell>
        </row>
        <row r="133">
          <cell r="CS133">
            <v>4.78</v>
          </cell>
        </row>
        <row r="134">
          <cell r="CS134">
            <v>4.78</v>
          </cell>
        </row>
        <row r="135">
          <cell r="CS135">
            <v>4.78</v>
          </cell>
        </row>
        <row r="136">
          <cell r="CS136">
            <v>4.7640000000000002</v>
          </cell>
        </row>
        <row r="137">
          <cell r="CS137">
            <v>4.7640000000000002</v>
          </cell>
        </row>
        <row r="138">
          <cell r="CS138">
            <v>4.75</v>
          </cell>
        </row>
        <row r="139">
          <cell r="CS139">
            <v>4.74</v>
          </cell>
        </row>
        <row r="140">
          <cell r="CS140">
            <v>4.74</v>
          </cell>
        </row>
        <row r="141">
          <cell r="CS141">
            <v>4.74</v>
          </cell>
        </row>
        <row r="142">
          <cell r="CS142">
            <v>4.74</v>
          </cell>
        </row>
        <row r="143">
          <cell r="CS143">
            <v>4.74</v>
          </cell>
        </row>
        <row r="144">
          <cell r="CS144">
            <v>4.74</v>
          </cell>
        </row>
        <row r="145">
          <cell r="CS145">
            <v>4.74</v>
          </cell>
        </row>
        <row r="146">
          <cell r="CS146">
            <v>4.74</v>
          </cell>
        </row>
        <row r="147">
          <cell r="CS147">
            <v>4.74</v>
          </cell>
        </row>
        <row r="148">
          <cell r="CS148">
            <v>4.6960000000000006</v>
          </cell>
        </row>
        <row r="149">
          <cell r="CS149">
            <v>4.6960000000000006</v>
          </cell>
        </row>
        <row r="150">
          <cell r="CS150">
            <v>4.6900000000000004</v>
          </cell>
        </row>
        <row r="151">
          <cell r="CS151">
            <v>4.6900000000000004</v>
          </cell>
        </row>
        <row r="152">
          <cell r="CS152">
            <v>4.6829999999999998</v>
          </cell>
        </row>
        <row r="153">
          <cell r="CS153">
            <v>4.6760000000000002</v>
          </cell>
        </row>
        <row r="154">
          <cell r="CS154">
            <v>4.6750000000000007</v>
          </cell>
        </row>
        <row r="155">
          <cell r="CS155">
            <v>4.6690000000000005</v>
          </cell>
        </row>
        <row r="156">
          <cell r="CS156">
            <v>4.6690000000000005</v>
          </cell>
        </row>
        <row r="157">
          <cell r="CS157">
            <v>4.6620000000000008</v>
          </cell>
        </row>
        <row r="158">
          <cell r="CS158">
            <v>4.6620000000000008</v>
          </cell>
        </row>
        <row r="159">
          <cell r="CS159">
            <v>4.6370000000000005</v>
          </cell>
        </row>
        <row r="160">
          <cell r="CS160">
            <v>4.6049999999999995</v>
          </cell>
        </row>
        <row r="161">
          <cell r="CS161">
            <v>4.6049999999999995</v>
          </cell>
        </row>
        <row r="162">
          <cell r="CS162">
            <v>4.6049999999999995</v>
          </cell>
        </row>
        <row r="163">
          <cell r="CS163">
            <v>4.6049999999999995</v>
          </cell>
        </row>
        <row r="164">
          <cell r="CS164">
            <v>4.6049999999999995</v>
          </cell>
        </row>
        <row r="165">
          <cell r="CS165">
            <v>4.6049999999999995</v>
          </cell>
        </row>
        <row r="166">
          <cell r="CS166">
            <v>4.6010000000000009</v>
          </cell>
        </row>
        <row r="167">
          <cell r="CS167">
            <v>4.6010000000000009</v>
          </cell>
        </row>
        <row r="168">
          <cell r="CS168">
            <v>4.6010000000000009</v>
          </cell>
        </row>
        <row r="169">
          <cell r="CS169">
            <v>4.57</v>
          </cell>
        </row>
        <row r="170">
          <cell r="CS170">
            <v>4.57</v>
          </cell>
        </row>
        <row r="171">
          <cell r="CS171">
            <v>4.57</v>
          </cell>
        </row>
        <row r="172">
          <cell r="CS172">
            <v>4.57</v>
          </cell>
        </row>
        <row r="173">
          <cell r="CS173">
            <v>4.57</v>
          </cell>
        </row>
        <row r="174">
          <cell r="CS174">
            <v>4.57</v>
          </cell>
        </row>
        <row r="175">
          <cell r="CS175">
            <v>4.5289999999999999</v>
          </cell>
        </row>
        <row r="176">
          <cell r="CS176">
            <v>4.5289999999999999</v>
          </cell>
        </row>
        <row r="177">
          <cell r="CS177">
            <v>4.5259999999999998</v>
          </cell>
        </row>
        <row r="178">
          <cell r="CS178">
            <v>4.5259999999999998</v>
          </cell>
        </row>
        <row r="179">
          <cell r="CS179">
            <v>4.5259999999999998</v>
          </cell>
        </row>
        <row r="180">
          <cell r="CS180">
            <v>4.5259999999999998</v>
          </cell>
        </row>
        <row r="181">
          <cell r="CS181">
            <v>4.5259999999999998</v>
          </cell>
        </row>
        <row r="182">
          <cell r="CS182">
            <v>4.5259999999999998</v>
          </cell>
        </row>
        <row r="183">
          <cell r="CS183">
            <v>4.5259999999999998</v>
          </cell>
        </row>
        <row r="184">
          <cell r="CS184">
            <v>4.5259999999999998</v>
          </cell>
        </row>
        <row r="185">
          <cell r="CS185">
            <v>4.5259999999999998</v>
          </cell>
        </row>
        <row r="186">
          <cell r="CS186">
            <v>4.5030000000000001</v>
          </cell>
        </row>
        <row r="187">
          <cell r="CS187">
            <v>4.5030000000000001</v>
          </cell>
        </row>
        <row r="188">
          <cell r="CS188">
            <v>4.4950000000000001</v>
          </cell>
        </row>
        <row r="189">
          <cell r="CS189">
            <v>4.4950000000000001</v>
          </cell>
        </row>
        <row r="190">
          <cell r="CS190">
            <v>4.4950000000000001</v>
          </cell>
        </row>
        <row r="191">
          <cell r="CS191">
            <v>4.4950000000000001</v>
          </cell>
        </row>
        <row r="192">
          <cell r="CS192">
            <v>4.4950000000000001</v>
          </cell>
        </row>
        <row r="193">
          <cell r="CS193">
            <v>4.4950000000000001</v>
          </cell>
        </row>
        <row r="194">
          <cell r="CS194">
            <v>4.4660000000000011</v>
          </cell>
        </row>
        <row r="195">
          <cell r="CS195">
            <v>4.4660000000000011</v>
          </cell>
        </row>
        <row r="196">
          <cell r="CS196">
            <v>4.4649999999999999</v>
          </cell>
        </row>
        <row r="197">
          <cell r="CS197">
            <v>4.4649999999999999</v>
          </cell>
        </row>
        <row r="198">
          <cell r="CS198">
            <v>4.4649999999999999</v>
          </cell>
        </row>
        <row r="199">
          <cell r="CS199">
            <v>4.4379999999999997</v>
          </cell>
        </row>
        <row r="200">
          <cell r="CS200">
            <v>4.4000000000000004</v>
          </cell>
        </row>
        <row r="201">
          <cell r="CS201">
            <v>4.3570000000000002</v>
          </cell>
        </row>
        <row r="202">
          <cell r="CS202">
            <v>4.3570000000000002</v>
          </cell>
        </row>
        <row r="203">
          <cell r="CS203">
            <v>4.3570000000000002</v>
          </cell>
        </row>
        <row r="204">
          <cell r="CS204">
            <v>4.3570000000000002</v>
          </cell>
        </row>
        <row r="205">
          <cell r="CS205">
            <v>4.3520000000000003</v>
          </cell>
        </row>
        <row r="206">
          <cell r="CS206">
            <v>4.3520000000000003</v>
          </cell>
        </row>
        <row r="207">
          <cell r="CS207">
            <v>4.3520000000000003</v>
          </cell>
        </row>
        <row r="208">
          <cell r="CS208">
            <v>4.3520000000000003</v>
          </cell>
        </row>
        <row r="209">
          <cell r="CS209">
            <v>4.3520000000000003</v>
          </cell>
        </row>
        <row r="210">
          <cell r="CS210">
            <v>4.319</v>
          </cell>
        </row>
        <row r="211">
          <cell r="CS211">
            <v>4.2815000000000003</v>
          </cell>
        </row>
        <row r="212">
          <cell r="CS212">
            <v>4.2815000000000003</v>
          </cell>
        </row>
        <row r="213">
          <cell r="CS213">
            <v>4.2815000000000003</v>
          </cell>
        </row>
        <row r="214">
          <cell r="CS214">
            <v>4.2815000000000003</v>
          </cell>
        </row>
        <row r="215">
          <cell r="CS215">
            <v>4.2815000000000003</v>
          </cell>
        </row>
        <row r="216">
          <cell r="CS216">
            <v>4.2815000000000003</v>
          </cell>
        </row>
        <row r="217">
          <cell r="CS217">
            <v>4.2690000000000001</v>
          </cell>
        </row>
        <row r="218">
          <cell r="CS218">
            <v>4.2690000000000001</v>
          </cell>
        </row>
        <row r="219">
          <cell r="CS219">
            <v>4.2690000000000001</v>
          </cell>
        </row>
        <row r="220">
          <cell r="CS220">
            <v>4.266</v>
          </cell>
        </row>
        <row r="221">
          <cell r="CS221">
            <v>4.2300000000000004</v>
          </cell>
        </row>
        <row r="222">
          <cell r="CS222">
            <v>4.2210000000000001</v>
          </cell>
        </row>
        <row r="223">
          <cell r="CS223">
            <v>4.2200000000000006</v>
          </cell>
        </row>
        <row r="224">
          <cell r="CS224">
            <v>4.2050000000000001</v>
          </cell>
        </row>
        <row r="225">
          <cell r="CS225">
            <v>4.2050000000000001</v>
          </cell>
        </row>
        <row r="226">
          <cell r="CS226">
            <v>4.2050000000000001</v>
          </cell>
        </row>
        <row r="227">
          <cell r="CS227">
            <v>4.2050000000000001</v>
          </cell>
        </row>
        <row r="228">
          <cell r="CS228">
            <v>4.2050000000000001</v>
          </cell>
        </row>
        <row r="229">
          <cell r="CS229">
            <v>4.2050000000000001</v>
          </cell>
        </row>
        <row r="230">
          <cell r="CS230">
            <v>4.194</v>
          </cell>
        </row>
        <row r="231">
          <cell r="CS231">
            <v>4.194</v>
          </cell>
        </row>
        <row r="232">
          <cell r="CS232">
            <v>4.1879999999999997</v>
          </cell>
        </row>
        <row r="233">
          <cell r="CS233">
            <v>4.1579999999999995</v>
          </cell>
        </row>
        <row r="234">
          <cell r="CS234">
            <v>4.1579999999999995</v>
          </cell>
        </row>
        <row r="235">
          <cell r="CS235">
            <v>4.1300000000000008</v>
          </cell>
        </row>
        <row r="236">
          <cell r="CS236">
            <v>4.1189999999999998</v>
          </cell>
        </row>
        <row r="237">
          <cell r="CS237">
            <v>4.1189999999999998</v>
          </cell>
        </row>
        <row r="238">
          <cell r="CS238">
            <v>4.1130000000000004</v>
          </cell>
        </row>
        <row r="239">
          <cell r="CS239">
            <v>4.1130000000000004</v>
          </cell>
        </row>
        <row r="240">
          <cell r="CS240">
            <v>4.1130000000000004</v>
          </cell>
        </row>
        <row r="241">
          <cell r="CS241">
            <v>4.1130000000000004</v>
          </cell>
        </row>
        <row r="242">
          <cell r="CS242">
            <v>4.1130000000000004</v>
          </cell>
        </row>
        <row r="243">
          <cell r="CS243">
            <v>4.1130000000000004</v>
          </cell>
        </row>
        <row r="244">
          <cell r="CS244">
            <v>4.1029999999999998</v>
          </cell>
        </row>
        <row r="245">
          <cell r="CS245">
            <v>4.1029999999999998</v>
          </cell>
        </row>
        <row r="246">
          <cell r="CS246">
            <v>4.1029999999999998</v>
          </cell>
        </row>
        <row r="247">
          <cell r="CS247">
            <v>4.1029999999999998</v>
          </cell>
        </row>
        <row r="248">
          <cell r="CS248">
            <v>4.0890000000000004</v>
          </cell>
        </row>
        <row r="249">
          <cell r="CS249">
            <v>4.0890000000000004</v>
          </cell>
        </row>
        <row r="250">
          <cell r="CS250">
            <v>4.0890000000000004</v>
          </cell>
        </row>
        <row r="251">
          <cell r="CS251">
            <v>4.0659999999999998</v>
          </cell>
        </row>
        <row r="252">
          <cell r="CS252">
            <v>4.0659999999999998</v>
          </cell>
        </row>
        <row r="253">
          <cell r="CS253">
            <v>4.0659999999999998</v>
          </cell>
        </row>
        <row r="254">
          <cell r="CS254">
            <v>4.0659999999999998</v>
          </cell>
        </row>
        <row r="255">
          <cell r="CS255">
            <v>4.0659999999999998</v>
          </cell>
        </row>
        <row r="256">
          <cell r="CS256">
            <v>4.0659999999999998</v>
          </cell>
        </row>
        <row r="257">
          <cell r="CS257">
            <v>4.0250000000000004</v>
          </cell>
        </row>
        <row r="258">
          <cell r="CS258">
            <v>4.0250000000000004</v>
          </cell>
        </row>
        <row r="259">
          <cell r="CS259">
            <v>4.0250000000000004</v>
          </cell>
        </row>
        <row r="260">
          <cell r="CS260">
            <v>3.9489999999999998</v>
          </cell>
        </row>
        <row r="261">
          <cell r="CS261">
            <v>3.9489999999999998</v>
          </cell>
        </row>
        <row r="262">
          <cell r="CS262">
            <v>3.8460000000000001</v>
          </cell>
        </row>
        <row r="263">
          <cell r="CS263">
            <v>3.8460000000000001</v>
          </cell>
        </row>
        <row r="264">
          <cell r="CS264">
            <v>3.8460000000000001</v>
          </cell>
        </row>
        <row r="265">
          <cell r="CS265">
            <v>3.8460000000000001</v>
          </cell>
        </row>
        <row r="266">
          <cell r="CS266">
            <v>3.843</v>
          </cell>
        </row>
        <row r="267">
          <cell r="CS267">
            <v>3.843</v>
          </cell>
        </row>
        <row r="268">
          <cell r="CS268">
            <v>3.843</v>
          </cell>
        </row>
        <row r="269">
          <cell r="CS269">
            <v>3.843</v>
          </cell>
        </row>
        <row r="270">
          <cell r="CS270">
            <v>3.8150000000000004</v>
          </cell>
        </row>
        <row r="271">
          <cell r="CS271">
            <v>3.7610000000000001</v>
          </cell>
        </row>
        <row r="272">
          <cell r="CS272">
            <v>3.7610000000000001</v>
          </cell>
        </row>
        <row r="273">
          <cell r="CS273">
            <v>3.7610000000000001</v>
          </cell>
        </row>
        <row r="274">
          <cell r="CS274">
            <v>3.7610000000000001</v>
          </cell>
        </row>
        <row r="275">
          <cell r="CS275">
            <v>3.7290000000000001</v>
          </cell>
        </row>
        <row r="276">
          <cell r="CS276">
            <v>3.7290000000000001</v>
          </cell>
        </row>
        <row r="277">
          <cell r="CS277">
            <v>3.7290000000000001</v>
          </cell>
        </row>
        <row r="278">
          <cell r="CS278">
            <v>3.7290000000000001</v>
          </cell>
        </row>
        <row r="279">
          <cell r="CS279">
            <v>3.7</v>
          </cell>
        </row>
        <row r="280">
          <cell r="CS280">
            <v>3.6790000000000003</v>
          </cell>
        </row>
        <row r="281">
          <cell r="CS281">
            <v>3.6790000000000003</v>
          </cell>
        </row>
        <row r="282">
          <cell r="CS282">
            <v>3.6660000000000004</v>
          </cell>
        </row>
        <row r="283">
          <cell r="CS283">
            <v>3.6650000000000005</v>
          </cell>
        </row>
        <row r="284">
          <cell r="CS284">
            <v>3.6650000000000005</v>
          </cell>
        </row>
        <row r="285">
          <cell r="CS285">
            <v>3.6650000000000005</v>
          </cell>
        </row>
        <row r="286">
          <cell r="CS286">
            <v>3.6650000000000005</v>
          </cell>
        </row>
        <row r="287">
          <cell r="CS287">
            <v>3.6650000000000005</v>
          </cell>
        </row>
        <row r="288">
          <cell r="CS288">
            <v>3.6650000000000005</v>
          </cell>
        </row>
        <row r="289">
          <cell r="CS289">
            <v>3.6650000000000005</v>
          </cell>
        </row>
        <row r="290">
          <cell r="CS290">
            <v>3.6650000000000005</v>
          </cell>
        </row>
        <row r="291">
          <cell r="CS291">
            <v>3.6639999999999997</v>
          </cell>
        </row>
        <row r="292">
          <cell r="CS292">
            <v>3.6639999999999997</v>
          </cell>
        </row>
        <row r="293">
          <cell r="CS293">
            <v>3.6589999999999998</v>
          </cell>
        </row>
        <row r="294">
          <cell r="CS294">
            <v>3.6150000000000002</v>
          </cell>
        </row>
        <row r="295">
          <cell r="CS295">
            <v>3.6150000000000002</v>
          </cell>
        </row>
        <row r="296">
          <cell r="CS296">
            <v>3.6010000000000004</v>
          </cell>
        </row>
        <row r="297">
          <cell r="CS297">
            <v>3.6010000000000004</v>
          </cell>
        </row>
        <row r="298">
          <cell r="CS298">
            <v>3.6010000000000004</v>
          </cell>
        </row>
        <row r="299">
          <cell r="CS299">
            <v>3.6010000000000004</v>
          </cell>
        </row>
        <row r="300">
          <cell r="CS300">
            <v>3.6010000000000004</v>
          </cell>
        </row>
        <row r="301">
          <cell r="CS301">
            <v>3.6000000000000005</v>
          </cell>
        </row>
        <row r="302">
          <cell r="CS302">
            <v>3.6000000000000005</v>
          </cell>
        </row>
        <row r="303">
          <cell r="CS303">
            <v>3.6000000000000005</v>
          </cell>
        </row>
        <row r="304">
          <cell r="CS304">
            <v>3.6000000000000005</v>
          </cell>
        </row>
        <row r="305">
          <cell r="CS305">
            <v>3.6000000000000005</v>
          </cell>
        </row>
        <row r="306">
          <cell r="CS306">
            <v>3.6000000000000005</v>
          </cell>
        </row>
        <row r="307">
          <cell r="CS307">
            <v>3.5990000000000006</v>
          </cell>
        </row>
        <row r="308">
          <cell r="CS308">
            <v>3.5990000000000006</v>
          </cell>
        </row>
        <row r="309">
          <cell r="CS309">
            <v>3.5990000000000006</v>
          </cell>
        </row>
        <row r="310">
          <cell r="CS310">
            <v>3.5790000000000006</v>
          </cell>
        </row>
        <row r="311">
          <cell r="CS311">
            <v>3.5790000000000006</v>
          </cell>
        </row>
        <row r="312">
          <cell r="CS312">
            <v>3.5650000000000004</v>
          </cell>
        </row>
        <row r="313">
          <cell r="CS313">
            <v>3.5240000000000009</v>
          </cell>
        </row>
        <row r="314">
          <cell r="CS314">
            <v>3.5240000000000009</v>
          </cell>
        </row>
        <row r="315">
          <cell r="CS315">
            <v>3.5190000000000001</v>
          </cell>
        </row>
        <row r="316">
          <cell r="CS316">
            <v>3.5190000000000001</v>
          </cell>
        </row>
        <row r="317">
          <cell r="CS317">
            <v>3.4890000000000003</v>
          </cell>
        </row>
        <row r="318">
          <cell r="CS318">
            <v>3.4890000000000003</v>
          </cell>
        </row>
        <row r="319">
          <cell r="CS319">
            <v>3.4809999999999999</v>
          </cell>
        </row>
        <row r="320">
          <cell r="CS320">
            <v>3.4809999999999999</v>
          </cell>
        </row>
        <row r="321">
          <cell r="CS321">
            <v>3.4650000000000007</v>
          </cell>
        </row>
        <row r="322">
          <cell r="CS322">
            <v>3.4649999999999999</v>
          </cell>
        </row>
        <row r="323">
          <cell r="CS323">
            <v>3.4590000000000001</v>
          </cell>
        </row>
        <row r="324">
          <cell r="CS324">
            <v>3.4590000000000001</v>
          </cell>
        </row>
        <row r="325">
          <cell r="CS325">
            <v>3.4250000000000007</v>
          </cell>
        </row>
        <row r="326">
          <cell r="CS326">
            <v>3.4250000000000007</v>
          </cell>
        </row>
        <row r="327">
          <cell r="CS327">
            <v>3.4250000000000007</v>
          </cell>
        </row>
        <row r="328">
          <cell r="CS328">
            <v>3.4250000000000007</v>
          </cell>
        </row>
        <row r="329">
          <cell r="CS329">
            <v>3.4250000000000007</v>
          </cell>
        </row>
        <row r="330">
          <cell r="CS330">
            <v>3.4250000000000007</v>
          </cell>
        </row>
        <row r="331">
          <cell r="CS331">
            <v>3.4250000000000007</v>
          </cell>
        </row>
        <row r="332">
          <cell r="CS332">
            <v>3.4250000000000007</v>
          </cell>
        </row>
        <row r="333">
          <cell r="CS333">
            <v>3.4250000000000007</v>
          </cell>
        </row>
        <row r="334">
          <cell r="CS334">
            <v>3.4250000000000007</v>
          </cell>
        </row>
        <row r="335">
          <cell r="CS335">
            <v>3.4250000000000007</v>
          </cell>
        </row>
        <row r="336">
          <cell r="CS336">
            <v>3.3440000000000003</v>
          </cell>
        </row>
        <row r="337">
          <cell r="CS337">
            <v>3.3440000000000003</v>
          </cell>
        </row>
        <row r="338">
          <cell r="CS338">
            <v>3.3440000000000003</v>
          </cell>
        </row>
        <row r="339">
          <cell r="CS339">
            <v>3.3440000000000003</v>
          </cell>
        </row>
        <row r="340">
          <cell r="CS340">
            <v>3.3340000000000001</v>
          </cell>
        </row>
        <row r="341">
          <cell r="CS341">
            <v>3.3029999999999999</v>
          </cell>
        </row>
        <row r="342">
          <cell r="CS342">
            <v>3.3029999999999999</v>
          </cell>
        </row>
        <row r="343">
          <cell r="CS343">
            <v>3.3029999999999999</v>
          </cell>
        </row>
        <row r="344">
          <cell r="CS344">
            <v>3.3029999999999999</v>
          </cell>
        </row>
        <row r="345">
          <cell r="CS345">
            <v>3.3029999999999999</v>
          </cell>
        </row>
        <row r="346">
          <cell r="CS346">
            <v>3.286</v>
          </cell>
        </row>
        <row r="347">
          <cell r="CS347">
            <v>3.2690000000000001</v>
          </cell>
        </row>
        <row r="348">
          <cell r="CS348">
            <v>3.2690000000000001</v>
          </cell>
        </row>
        <row r="349">
          <cell r="CS349">
            <v>3.2690000000000001</v>
          </cell>
        </row>
        <row r="350">
          <cell r="CS350">
            <v>3.2690000000000001</v>
          </cell>
        </row>
        <row r="351">
          <cell r="CS351">
            <v>3.2039999999999997</v>
          </cell>
        </row>
        <row r="352">
          <cell r="CS352">
            <v>3.2039999999999997</v>
          </cell>
        </row>
        <row r="353">
          <cell r="CS353">
            <v>3.2039999999999997</v>
          </cell>
        </row>
        <row r="354">
          <cell r="CS354">
            <v>3.2039999999999997</v>
          </cell>
        </row>
        <row r="355">
          <cell r="CS355">
            <v>3.2039999999999997</v>
          </cell>
        </row>
        <row r="356">
          <cell r="CS356">
            <v>3.2039999999999997</v>
          </cell>
        </row>
        <row r="357">
          <cell r="CS357">
            <v>3.2039999999999997</v>
          </cell>
        </row>
        <row r="358">
          <cell r="CS358">
            <v>3.2039999999999997</v>
          </cell>
        </row>
        <row r="359">
          <cell r="CS359">
            <v>3.2039999999999997</v>
          </cell>
        </row>
        <row r="360">
          <cell r="CS360">
            <v>3.2039999999999997</v>
          </cell>
        </row>
        <row r="361">
          <cell r="CS361">
            <v>3.2039999999999997</v>
          </cell>
        </row>
        <row r="362">
          <cell r="CS362">
            <v>3.2039999999999997</v>
          </cell>
        </row>
        <row r="363">
          <cell r="CS363">
            <v>3.2039999999999997</v>
          </cell>
        </row>
        <row r="364">
          <cell r="CS364">
            <v>3.2039999999999997</v>
          </cell>
        </row>
        <row r="365">
          <cell r="CS365">
            <v>3.2039999999999997</v>
          </cell>
        </row>
        <row r="366">
          <cell r="CS366">
            <v>3.2039999999999997</v>
          </cell>
        </row>
        <row r="367">
          <cell r="CS367">
            <v>3.2039999999999997</v>
          </cell>
        </row>
        <row r="368">
          <cell r="CS368">
            <v>3.2039999999999997</v>
          </cell>
        </row>
        <row r="369">
          <cell r="CS369">
            <v>3.2039999999999997</v>
          </cell>
        </row>
        <row r="370">
          <cell r="CS370">
            <v>3.2039999999999997</v>
          </cell>
        </row>
        <row r="371">
          <cell r="CS371">
            <v>3.2039999999999997</v>
          </cell>
        </row>
        <row r="372">
          <cell r="CS372">
            <v>3.2039999999999997</v>
          </cell>
        </row>
        <row r="373">
          <cell r="CS373">
            <v>3.2039999999999997</v>
          </cell>
        </row>
        <row r="374">
          <cell r="CS374">
            <v>3.2039999999999997</v>
          </cell>
        </row>
        <row r="375">
          <cell r="CS375">
            <v>3.2039999999999997</v>
          </cell>
        </row>
        <row r="376">
          <cell r="CS376">
            <v>3.2039999999999997</v>
          </cell>
        </row>
        <row r="377">
          <cell r="CS377">
            <v>3.2039999999999997</v>
          </cell>
        </row>
        <row r="378">
          <cell r="CS378">
            <v>3.2039999999999997</v>
          </cell>
        </row>
        <row r="379">
          <cell r="CS379">
            <v>3.2039999999999997</v>
          </cell>
        </row>
        <row r="380">
          <cell r="CS380">
            <v>3.1640000000000006</v>
          </cell>
        </row>
        <row r="381">
          <cell r="CS381">
            <v>3.1640000000000006</v>
          </cell>
        </row>
        <row r="382">
          <cell r="CS382">
            <v>3.1640000000000006</v>
          </cell>
        </row>
        <row r="383">
          <cell r="CS383">
            <v>3.1239999999999997</v>
          </cell>
        </row>
        <row r="384">
          <cell r="CS384">
            <v>3.1050000000000004</v>
          </cell>
        </row>
        <row r="385">
          <cell r="CS385">
            <v>3.1050000000000004</v>
          </cell>
        </row>
        <row r="386">
          <cell r="CS386">
            <v>3.0950000000000002</v>
          </cell>
        </row>
        <row r="387">
          <cell r="CS387">
            <v>3.0600000000000005</v>
          </cell>
        </row>
        <row r="388">
          <cell r="CS388">
            <v>3.0600000000000005</v>
          </cell>
        </row>
        <row r="389">
          <cell r="CS389">
            <v>3.0540000000000003</v>
          </cell>
        </row>
        <row r="390">
          <cell r="CS390">
            <v>3.04</v>
          </cell>
        </row>
        <row r="391">
          <cell r="CS391">
            <v>3.0390000000000006</v>
          </cell>
        </row>
        <row r="392">
          <cell r="CS392">
            <v>3.0390000000000006</v>
          </cell>
        </row>
        <row r="393">
          <cell r="CS393">
            <v>3.0390000000000006</v>
          </cell>
        </row>
        <row r="394">
          <cell r="CS394">
            <v>3.0390000000000006</v>
          </cell>
        </row>
        <row r="395">
          <cell r="CS395">
            <v>3.0390000000000006</v>
          </cell>
        </row>
        <row r="396">
          <cell r="CS396">
            <v>3.0390000000000006</v>
          </cell>
        </row>
        <row r="397">
          <cell r="CS397">
            <v>2.9640000000000004</v>
          </cell>
        </row>
        <row r="398">
          <cell r="CS398">
            <v>2.9550000000000001</v>
          </cell>
        </row>
        <row r="399">
          <cell r="CS399">
            <v>2.9539999999999997</v>
          </cell>
        </row>
        <row r="400">
          <cell r="CS400">
            <v>2.9539999999999997</v>
          </cell>
        </row>
        <row r="401">
          <cell r="CS401">
            <v>2.9539999999999997</v>
          </cell>
        </row>
        <row r="402">
          <cell r="CS402">
            <v>2.9539999999999997</v>
          </cell>
        </row>
        <row r="403">
          <cell r="CS403">
            <v>2.9539999999999997</v>
          </cell>
        </row>
        <row r="404">
          <cell r="CS404">
            <v>2.9539999999999997</v>
          </cell>
        </row>
        <row r="405">
          <cell r="CS405">
            <v>2.9539999999999997</v>
          </cell>
        </row>
        <row r="406">
          <cell r="CS406">
            <v>2.9539999999999997</v>
          </cell>
        </row>
        <row r="407">
          <cell r="CS407">
            <v>2.9539999999999997</v>
          </cell>
        </row>
        <row r="408">
          <cell r="CS408">
            <v>2.9539999999999997</v>
          </cell>
        </row>
        <row r="409">
          <cell r="CS409">
            <v>2.9539999999999997</v>
          </cell>
        </row>
        <row r="410">
          <cell r="CS410">
            <v>2.9539999999999997</v>
          </cell>
        </row>
        <row r="411">
          <cell r="CS411">
            <v>2.9539999999999997</v>
          </cell>
        </row>
        <row r="412">
          <cell r="CS412">
            <v>2.9539999999999997</v>
          </cell>
        </row>
        <row r="413">
          <cell r="CS413">
            <v>2.9539999999999997</v>
          </cell>
        </row>
        <row r="414">
          <cell r="CS414">
            <v>2.9539999999999997</v>
          </cell>
        </row>
        <row r="415">
          <cell r="CS415">
            <v>2.9539999999999997</v>
          </cell>
        </row>
        <row r="416">
          <cell r="CS416">
            <v>2.9539999999999997</v>
          </cell>
        </row>
        <row r="417">
          <cell r="CS417">
            <v>2.9539999999999997</v>
          </cell>
        </row>
        <row r="418">
          <cell r="CS418">
            <v>2.9539999999999997</v>
          </cell>
        </row>
        <row r="419">
          <cell r="CS419">
            <v>2.9539999999999997</v>
          </cell>
        </row>
        <row r="420">
          <cell r="CS420">
            <v>2.9539999999999997</v>
          </cell>
        </row>
        <row r="421">
          <cell r="CS421">
            <v>2.9539999999999997</v>
          </cell>
        </row>
        <row r="422">
          <cell r="CS422">
            <v>2.9539999999999997</v>
          </cell>
        </row>
        <row r="423">
          <cell r="CS423">
            <v>2.9539999999999997</v>
          </cell>
        </row>
        <row r="424">
          <cell r="CS424">
            <v>2.9539999999999997</v>
          </cell>
        </row>
        <row r="425">
          <cell r="CS425">
            <v>2.9539999999999997</v>
          </cell>
        </row>
        <row r="426">
          <cell r="CS426">
            <v>2.9185000000000003</v>
          </cell>
        </row>
        <row r="427">
          <cell r="CS427">
            <v>2.9185000000000003</v>
          </cell>
        </row>
        <row r="428">
          <cell r="CS428">
            <v>2.9185000000000003</v>
          </cell>
        </row>
        <row r="429">
          <cell r="CS429">
            <v>2.9185000000000003</v>
          </cell>
        </row>
        <row r="430">
          <cell r="CS430">
            <v>2.9185000000000003</v>
          </cell>
        </row>
        <row r="431">
          <cell r="CS431">
            <v>2.9185000000000003</v>
          </cell>
        </row>
        <row r="432">
          <cell r="CS432">
            <v>2.9185000000000003</v>
          </cell>
        </row>
        <row r="433">
          <cell r="CS433">
            <v>2.9185000000000003</v>
          </cell>
        </row>
        <row r="434">
          <cell r="CS434">
            <v>2.9185000000000003</v>
          </cell>
        </row>
        <row r="435">
          <cell r="CS435">
            <v>2.9185000000000003</v>
          </cell>
        </row>
        <row r="436">
          <cell r="CS436">
            <v>2.9185000000000003</v>
          </cell>
        </row>
        <row r="437">
          <cell r="CS437">
            <v>2.899</v>
          </cell>
        </row>
        <row r="438">
          <cell r="CS438">
            <v>2.899</v>
          </cell>
        </row>
        <row r="439">
          <cell r="CS439">
            <v>2.899</v>
          </cell>
        </row>
        <row r="440">
          <cell r="CS440">
            <v>2.899</v>
          </cell>
        </row>
        <row r="441">
          <cell r="CS441">
            <v>2.899</v>
          </cell>
        </row>
        <row r="442">
          <cell r="CS442">
            <v>2.899</v>
          </cell>
        </row>
        <row r="443">
          <cell r="CS443">
            <v>2.899</v>
          </cell>
        </row>
        <row r="444">
          <cell r="CS444">
            <v>2.899</v>
          </cell>
        </row>
        <row r="445">
          <cell r="CS445">
            <v>2.899</v>
          </cell>
        </row>
        <row r="446">
          <cell r="CS446">
            <v>2.899</v>
          </cell>
        </row>
        <row r="447">
          <cell r="CS447">
            <v>2.899</v>
          </cell>
        </row>
        <row r="448">
          <cell r="CS448">
            <v>2.899</v>
          </cell>
        </row>
        <row r="449">
          <cell r="CS449">
            <v>2.899</v>
          </cell>
        </row>
        <row r="450">
          <cell r="CS450">
            <v>2.899</v>
          </cell>
        </row>
        <row r="451">
          <cell r="CS451">
            <v>2.8890000000000007</v>
          </cell>
        </row>
        <row r="452">
          <cell r="CS452">
            <v>2.8890000000000007</v>
          </cell>
        </row>
        <row r="453">
          <cell r="CS453">
            <v>2.8890000000000007</v>
          </cell>
        </row>
        <row r="454">
          <cell r="CS454">
            <v>2.8890000000000007</v>
          </cell>
        </row>
        <row r="455">
          <cell r="CS455">
            <v>2.8890000000000007</v>
          </cell>
        </row>
        <row r="456">
          <cell r="CS456">
            <v>2.8890000000000007</v>
          </cell>
        </row>
        <row r="457">
          <cell r="CS457">
            <v>2.88</v>
          </cell>
        </row>
        <row r="458">
          <cell r="CS458">
            <v>2.88</v>
          </cell>
        </row>
        <row r="459">
          <cell r="CS459">
            <v>2.8740000000000001</v>
          </cell>
        </row>
        <row r="460">
          <cell r="CS460">
            <v>2.8740000000000001</v>
          </cell>
        </row>
        <row r="461">
          <cell r="CS461">
            <v>2.8740000000000001</v>
          </cell>
        </row>
        <row r="462">
          <cell r="CS462">
            <v>2.8740000000000001</v>
          </cell>
        </row>
        <row r="463">
          <cell r="CS463">
            <v>2.8740000000000001</v>
          </cell>
        </row>
        <row r="464">
          <cell r="CS464">
            <v>2.8740000000000001</v>
          </cell>
        </row>
        <row r="465">
          <cell r="CS465">
            <v>2.8740000000000001</v>
          </cell>
        </row>
        <row r="466">
          <cell r="CS466">
            <v>2.8740000000000001</v>
          </cell>
        </row>
        <row r="467">
          <cell r="CS467">
            <v>2.855</v>
          </cell>
        </row>
        <row r="468">
          <cell r="CS468">
            <v>2.855</v>
          </cell>
        </row>
        <row r="469">
          <cell r="CS469">
            <v>2.4950000000000001</v>
          </cell>
        </row>
        <row r="470">
          <cell r="CS470">
            <v>2.4110000000000005</v>
          </cell>
        </row>
        <row r="471">
          <cell r="CS471">
            <v>2.1410000000000005</v>
          </cell>
        </row>
        <row r="472">
          <cell r="CS472">
            <v>2.1410000000000005</v>
          </cell>
        </row>
        <row r="473">
          <cell r="CS473">
            <v>2.1410000000000005</v>
          </cell>
        </row>
        <row r="474">
          <cell r="CS474">
            <v>2.1410000000000005</v>
          </cell>
        </row>
        <row r="475">
          <cell r="CS475">
            <v>2.1410000000000005</v>
          </cell>
        </row>
        <row r="476">
          <cell r="CS476">
            <v>2.1410000000000005</v>
          </cell>
        </row>
        <row r="477">
          <cell r="CS477">
            <v>2.1410000000000005</v>
          </cell>
        </row>
        <row r="478">
          <cell r="CS478">
            <v>2.1410000000000005</v>
          </cell>
        </row>
        <row r="479">
          <cell r="CS479">
            <v>2.1410000000000005</v>
          </cell>
        </row>
        <row r="480">
          <cell r="CS480">
            <v>2.1410000000000005</v>
          </cell>
        </row>
        <row r="481">
          <cell r="CS481">
            <v>2.1410000000000005</v>
          </cell>
        </row>
        <row r="482">
          <cell r="CS482">
            <v>2.1410000000000005</v>
          </cell>
        </row>
        <row r="483">
          <cell r="CS483">
            <v>2.1410000000000005</v>
          </cell>
        </row>
        <row r="484">
          <cell r="CS484">
            <v>2.1410000000000005</v>
          </cell>
        </row>
        <row r="485">
          <cell r="CS485">
            <v>2.1410000000000005</v>
          </cell>
        </row>
        <row r="486">
          <cell r="CS486">
            <v>2.1410000000000005</v>
          </cell>
        </row>
        <row r="487">
          <cell r="CS487">
            <v>2.1410000000000005</v>
          </cell>
        </row>
        <row r="488">
          <cell r="CS488">
            <v>2.1410000000000005</v>
          </cell>
        </row>
        <row r="489">
          <cell r="CS489">
            <v>2.1410000000000005</v>
          </cell>
        </row>
        <row r="490">
          <cell r="CS490">
            <v>2.1410000000000005</v>
          </cell>
        </row>
        <row r="491">
          <cell r="CS491">
            <v>2.1410000000000005</v>
          </cell>
        </row>
        <row r="492">
          <cell r="CS492">
            <v>2.1410000000000005</v>
          </cell>
        </row>
        <row r="493">
          <cell r="CS493">
            <v>2.1410000000000005</v>
          </cell>
        </row>
        <row r="494">
          <cell r="CS494">
            <v>2.1410000000000005</v>
          </cell>
        </row>
        <row r="495">
          <cell r="CS495">
            <v>2.1410000000000005</v>
          </cell>
        </row>
        <row r="496">
          <cell r="CS496">
            <v>2.1410000000000005</v>
          </cell>
        </row>
        <row r="497">
          <cell r="CS497">
            <v>2.1410000000000005</v>
          </cell>
        </row>
        <row r="498">
          <cell r="CS498">
            <v>2.1410000000000005</v>
          </cell>
        </row>
        <row r="499">
          <cell r="CS499">
            <v>2.1410000000000005</v>
          </cell>
        </row>
        <row r="500">
          <cell r="CS500">
            <v>2.1410000000000005</v>
          </cell>
        </row>
        <row r="501">
          <cell r="CS501">
            <v>2.1410000000000005</v>
          </cell>
        </row>
        <row r="502">
          <cell r="CS502">
            <v>2.1410000000000005</v>
          </cell>
        </row>
        <row r="503">
          <cell r="CS503">
            <v>2.1410000000000005</v>
          </cell>
        </row>
        <row r="504">
          <cell r="CS504">
            <v>2.1410000000000005</v>
          </cell>
        </row>
        <row r="505">
          <cell r="CS505">
            <v>2.1410000000000005</v>
          </cell>
        </row>
        <row r="506">
          <cell r="CS506">
            <v>2.1410000000000005</v>
          </cell>
        </row>
        <row r="507">
          <cell r="CS507">
            <v>2.1410000000000005</v>
          </cell>
        </row>
        <row r="508">
          <cell r="CS508">
            <v>2.1410000000000005</v>
          </cell>
        </row>
        <row r="509">
          <cell r="CS509">
            <v>2.1410000000000005</v>
          </cell>
        </row>
        <row r="510">
          <cell r="CS510">
            <v>2.1410000000000005</v>
          </cell>
        </row>
        <row r="511">
          <cell r="CS511">
            <v>2.1410000000000005</v>
          </cell>
        </row>
        <row r="512">
          <cell r="CS512">
            <v>2.1410000000000005</v>
          </cell>
        </row>
        <row r="513">
          <cell r="CS513">
            <v>2.0570000000000004</v>
          </cell>
        </row>
        <row r="514">
          <cell r="CS514">
            <v>2.0570000000000004</v>
          </cell>
        </row>
        <row r="515">
          <cell r="CS515">
            <v>2.0570000000000004</v>
          </cell>
        </row>
        <row r="516">
          <cell r="CS516">
            <v>2.0570000000000004</v>
          </cell>
        </row>
        <row r="517">
          <cell r="CS517">
            <v>2.0570000000000004</v>
          </cell>
        </row>
        <row r="518">
          <cell r="CS518">
            <v>2.0570000000000004</v>
          </cell>
        </row>
        <row r="519">
          <cell r="CS519">
            <v>2.0570000000000004</v>
          </cell>
        </row>
        <row r="520">
          <cell r="CS520">
            <v>2.0570000000000004</v>
          </cell>
        </row>
        <row r="521">
          <cell r="CS521">
            <v>2.0570000000000004</v>
          </cell>
        </row>
        <row r="522">
          <cell r="CS522">
            <v>2.0570000000000004</v>
          </cell>
        </row>
        <row r="523">
          <cell r="CS523">
            <v>2.0570000000000004</v>
          </cell>
        </row>
        <row r="524">
          <cell r="CS524">
            <v>2.0570000000000004</v>
          </cell>
        </row>
        <row r="525">
          <cell r="CS525">
            <v>2.0570000000000004</v>
          </cell>
        </row>
        <row r="526">
          <cell r="CS526">
            <v>2.0570000000000004</v>
          </cell>
        </row>
        <row r="527">
          <cell r="CS527">
            <v>2.0570000000000004</v>
          </cell>
        </row>
        <row r="528">
          <cell r="CS528">
            <v>2.0570000000000004</v>
          </cell>
        </row>
        <row r="529">
          <cell r="CS529">
            <v>2.0570000000000004</v>
          </cell>
        </row>
        <row r="530">
          <cell r="CS530">
            <v>2.0570000000000004</v>
          </cell>
        </row>
        <row r="531">
          <cell r="CS531">
            <v>2.0570000000000004</v>
          </cell>
        </row>
        <row r="532">
          <cell r="CS532">
            <v>2.0570000000000004</v>
          </cell>
        </row>
        <row r="533">
          <cell r="CS533">
            <v>2.0570000000000004</v>
          </cell>
        </row>
        <row r="534">
          <cell r="CS534">
            <v>2.0570000000000004</v>
          </cell>
        </row>
        <row r="535">
          <cell r="CS535">
            <v>2.0570000000000004</v>
          </cell>
        </row>
        <row r="536">
          <cell r="CS536">
            <v>2.0570000000000004</v>
          </cell>
        </row>
        <row r="537">
          <cell r="CS537">
            <v>2.0570000000000004</v>
          </cell>
        </row>
        <row r="538">
          <cell r="CS538">
            <v>2.0570000000000004</v>
          </cell>
        </row>
        <row r="539">
          <cell r="CS539">
            <v>2.0570000000000004</v>
          </cell>
        </row>
        <row r="540">
          <cell r="CS540">
            <v>2.0570000000000004</v>
          </cell>
        </row>
        <row r="541">
          <cell r="CS541">
            <v>2.0570000000000004</v>
          </cell>
        </row>
      </sheetData>
      <sheetData sheetId="2">
        <row r="12">
          <cell r="C12" t="str">
            <v>Qty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6"/>
  <sheetViews>
    <sheetView tabSelected="1" zoomScale="130" zoomScaleNormal="130" workbookViewId="0">
      <selection activeCell="E5" sqref="E5"/>
    </sheetView>
  </sheetViews>
  <sheetFormatPr defaultColWidth="12.125" defaultRowHeight="15"/>
  <cols>
    <col min="1" max="1" width="21.625" style="27" customWidth="1"/>
    <col min="2" max="2" width="15.125" style="27" customWidth="1"/>
    <col min="3" max="3" width="15.25" style="27" customWidth="1"/>
    <col min="4" max="4" width="21.375" style="27" customWidth="1"/>
    <col min="5" max="5" width="12.25" style="27" customWidth="1"/>
    <col min="6" max="6" width="19.875" style="27" customWidth="1"/>
    <col min="7" max="7" width="13.75" style="27" customWidth="1"/>
    <col min="8" max="8" width="9.875" style="27" customWidth="1"/>
    <col min="9" max="9" width="11.375" style="36" customWidth="1"/>
    <col min="10" max="10" width="9" style="36" customWidth="1"/>
    <col min="11" max="11" width="9.625" style="37" customWidth="1"/>
    <col min="12" max="12" width="9.25" style="38" customWidth="1"/>
    <col min="13" max="13" width="8.75" style="38" customWidth="1"/>
    <col min="14" max="14" width="9.75" style="38" customWidth="1"/>
    <col min="15" max="15" width="7.875" style="38" customWidth="1"/>
    <col min="16" max="16" width="8.375" style="38" customWidth="1"/>
    <col min="17" max="17" width="11.125" style="27" customWidth="1"/>
    <col min="18" max="18" width="9.375" style="27" customWidth="1"/>
    <col min="19" max="19" width="7.875" style="27" customWidth="1"/>
    <col min="20" max="20" width="10.25" style="27" customWidth="1"/>
    <col min="21" max="21" width="10.5" style="27" customWidth="1"/>
    <col min="22" max="16384" width="12.125" style="27"/>
  </cols>
  <sheetData>
    <row r="1" spans="1:32" ht="49.5" customHeight="1" thickBot="1">
      <c r="A1" s="42" t="s">
        <v>1386</v>
      </c>
      <c r="B1" s="43" t="s">
        <v>1390</v>
      </c>
      <c r="C1" s="44" t="s">
        <v>1399</v>
      </c>
      <c r="D1" s="45" t="s">
        <v>1460</v>
      </c>
      <c r="E1" s="61"/>
      <c r="F1" s="69" t="s">
        <v>1369</v>
      </c>
      <c r="G1" s="68">
        <v>100</v>
      </c>
      <c r="H1" s="68">
        <v>200</v>
      </c>
      <c r="I1" s="68">
        <v>300</v>
      </c>
      <c r="J1" s="68">
        <v>500</v>
      </c>
      <c r="K1" s="68">
        <v>600</v>
      </c>
      <c r="L1" s="68">
        <v>700</v>
      </c>
      <c r="M1" s="68">
        <v>800</v>
      </c>
      <c r="N1" s="68">
        <v>900</v>
      </c>
      <c r="O1" s="68">
        <v>1000</v>
      </c>
      <c r="P1" s="68">
        <v>1100</v>
      </c>
      <c r="Q1" s="68">
        <v>1200</v>
      </c>
      <c r="R1" s="68">
        <v>1300</v>
      </c>
      <c r="S1" s="68">
        <v>1400</v>
      </c>
      <c r="T1" s="71" t="s">
        <v>1467</v>
      </c>
      <c r="U1" s="68">
        <v>1500</v>
      </c>
      <c r="V1" s="70" t="s">
        <v>1469</v>
      </c>
      <c r="AA1" s="72" t="s">
        <v>1465</v>
      </c>
      <c r="AB1" s="72"/>
      <c r="AC1" s="72"/>
      <c r="AD1" s="72"/>
      <c r="AE1" s="72"/>
      <c r="AF1" s="72"/>
    </row>
    <row r="2" spans="1:32" ht="43.5" customHeight="1" thickBot="1">
      <c r="A2" s="40" t="s">
        <v>1391</v>
      </c>
      <c r="B2" s="57" t="s">
        <v>1392</v>
      </c>
      <c r="C2" s="58">
        <v>117</v>
      </c>
      <c r="D2" s="56">
        <f>AVERAGEIF($B$8:$B$595,"vital",$M$8:$M$595)</f>
        <v>0.89059829059829065</v>
      </c>
      <c r="E2" s="62"/>
      <c r="F2" s="70" t="s">
        <v>1470</v>
      </c>
      <c r="G2" s="68">
        <f>COUNTIF($A$8:$A$1048576,G1)</f>
        <v>67</v>
      </c>
      <c r="H2" s="68">
        <f t="shared" ref="H2:U2" si="0">COUNTIF($A$8:$A$1048576,H1)</f>
        <v>18</v>
      </c>
      <c r="I2" s="68">
        <f t="shared" si="0"/>
        <v>15</v>
      </c>
      <c r="J2" s="68">
        <f t="shared" si="0"/>
        <v>43</v>
      </c>
      <c r="K2" s="68">
        <f t="shared" si="0"/>
        <v>49</v>
      </c>
      <c r="L2" s="68">
        <f t="shared" si="0"/>
        <v>74</v>
      </c>
      <c r="M2" s="68">
        <f t="shared" si="0"/>
        <v>119</v>
      </c>
      <c r="N2" s="68">
        <f t="shared" si="0"/>
        <v>102</v>
      </c>
      <c r="O2" s="68">
        <f t="shared" si="0"/>
        <v>23</v>
      </c>
      <c r="P2" s="68">
        <f t="shared" si="0"/>
        <v>1</v>
      </c>
      <c r="Q2" s="68">
        <f t="shared" si="0"/>
        <v>0</v>
      </c>
      <c r="R2" s="68">
        <f t="shared" si="0"/>
        <v>72</v>
      </c>
      <c r="S2" s="68">
        <f t="shared" si="0"/>
        <v>5</v>
      </c>
      <c r="T2" s="68">
        <f t="shared" si="0"/>
        <v>0</v>
      </c>
      <c r="U2" s="68">
        <f t="shared" si="0"/>
        <v>0</v>
      </c>
      <c r="V2" s="68">
        <f>SUM(G2:U2)</f>
        <v>588</v>
      </c>
      <c r="AA2" s="66">
        <v>0.15</v>
      </c>
      <c r="AB2" s="66">
        <v>0.45</v>
      </c>
      <c r="AC2" s="66">
        <v>0.28000000000000003</v>
      </c>
      <c r="AD2" s="66">
        <v>0.02</v>
      </c>
      <c r="AE2" s="66">
        <v>0.1</v>
      </c>
      <c r="AF2" s="67">
        <f>SUM(AA2:AE2)</f>
        <v>1</v>
      </c>
    </row>
    <row r="3" spans="1:32" ht="43.5" customHeight="1" thickBot="1">
      <c r="A3" s="40" t="s">
        <v>1393</v>
      </c>
      <c r="B3" s="57" t="s">
        <v>1394</v>
      </c>
      <c r="C3" s="58">
        <v>188</v>
      </c>
      <c r="D3" s="56">
        <f>AVERAGEIF($B$8:$B$595,"ESSENTIAL",$M$8:$M$595)</f>
        <v>0.5407446808510642</v>
      </c>
      <c r="E3" s="62"/>
      <c r="F3" s="70" t="s">
        <v>1466</v>
      </c>
      <c r="G3" s="68">
        <v>6.5</v>
      </c>
      <c r="H3" s="68">
        <v>3</v>
      </c>
      <c r="I3" s="68">
        <v>3.5</v>
      </c>
      <c r="J3" s="68">
        <v>12</v>
      </c>
      <c r="K3" s="68">
        <v>18</v>
      </c>
      <c r="L3" s="68">
        <v>24</v>
      </c>
      <c r="M3" s="68">
        <v>8</v>
      </c>
      <c r="N3" s="68">
        <v>9</v>
      </c>
      <c r="O3" s="68">
        <v>2.5</v>
      </c>
      <c r="P3" s="68">
        <v>1</v>
      </c>
      <c r="Q3" s="68">
        <v>0.5</v>
      </c>
      <c r="R3" s="68">
        <v>5</v>
      </c>
      <c r="S3" s="68">
        <v>0.5</v>
      </c>
      <c r="T3" s="68">
        <v>6</v>
      </c>
      <c r="U3" s="68">
        <v>0.5</v>
      </c>
      <c r="V3" s="68">
        <f>SUM(G3:U3)</f>
        <v>100</v>
      </c>
    </row>
    <row r="4" spans="1:32" ht="43.5" customHeight="1">
      <c r="A4" s="40" t="s">
        <v>1395</v>
      </c>
      <c r="B4" s="57" t="s">
        <v>1396</v>
      </c>
      <c r="C4" s="58">
        <v>123</v>
      </c>
      <c r="D4" s="56">
        <f>AVERAGEIF($B$8:$B$595,"IMPORTANT",$M$8:$M$595)</f>
        <v>0.3967317073170733</v>
      </c>
      <c r="E4" s="62"/>
      <c r="F4" s="70" t="s">
        <v>1389</v>
      </c>
      <c r="G4" s="56">
        <f>SUMIF($A$8:$A$1048576,"100",$M$8:$M$1048576)/G2</f>
        <v>0.85504477611940299</v>
      </c>
      <c r="H4" s="56">
        <f>SUMIF($A$8:$A$1048576,"200",$M$8:$M$1048576)/H2</f>
        <v>0.25722222222222224</v>
      </c>
      <c r="I4" s="56">
        <f>SUMIF($A$8:$A$1048576,"300",$M$8:$M$1048576)/I2</f>
        <v>0.34</v>
      </c>
      <c r="J4" s="56">
        <f>SUMIF($A$8:$A$1048576,"500",$M$8:$M$1048576)/J2</f>
        <v>0.59767441860465109</v>
      </c>
      <c r="K4" s="56">
        <f>SUMIF($A$8:$A$1048576,"600",$M$8:$M$1048576)/K2</f>
        <v>0.90979591836734686</v>
      </c>
      <c r="L4" s="56">
        <f>SUMIF($A$8:$A$1048576,"700",$M$8:$M$1048576)/L2</f>
        <v>0.94405405405405407</v>
      </c>
      <c r="M4" s="56">
        <f>SUMIF($A$8:$A$1048576,"800",$M$8:$M$1048576)/M2</f>
        <v>7.3445378151260537E-2</v>
      </c>
      <c r="N4" s="56">
        <f>SUMIF($A$8:$A$1048576,"900",$M$8:$M$1048576)/N2</f>
        <v>0.55254901960784364</v>
      </c>
      <c r="O4" s="56">
        <f>SUMIF($A$8:$A$1048576,"1000",$M$8:$M$1048576)/O2</f>
        <v>0</v>
      </c>
      <c r="P4" s="56">
        <f>SUMIF($A$8:$A$1048576,"1100",$M$8:$M$1048576)/P2</f>
        <v>0</v>
      </c>
      <c r="Q4" s="56" t="e">
        <f>SUMIF($A$8:$A$1048576,"1200",$M$8:$M$1048576)/Q2</f>
        <v>#DIV/0!</v>
      </c>
      <c r="R4" s="56">
        <f>SUMIF($A$8:$A$1048576,"1300",$M$8:$M$1048576)/R2</f>
        <v>0.18138888888888882</v>
      </c>
      <c r="S4" s="56">
        <f>SUMIF($A$8:$A$1048576,"1400",$M$8:$M$1048576)/S2</f>
        <v>0</v>
      </c>
      <c r="T4" s="56" t="e">
        <f>SUMIF($A$8:$A$1048576,"ER",$M$8:$M$1048576)/T2</f>
        <v>#DIV/0!</v>
      </c>
      <c r="U4" s="56" t="e">
        <f>SUMIF($A$8:$A$1048576,"1500",$M$8:$M$1048576)/U2</f>
        <v>#DIV/0!</v>
      </c>
      <c r="V4" s="70" t="s">
        <v>1468</v>
      </c>
      <c r="W4" s="63"/>
      <c r="X4" s="63"/>
    </row>
    <row r="5" spans="1:32" ht="43.5" customHeight="1" thickBot="1">
      <c r="A5" s="46" t="s">
        <v>1397</v>
      </c>
      <c r="B5" s="59" t="s">
        <v>1398</v>
      </c>
      <c r="C5" s="60">
        <v>159</v>
      </c>
      <c r="D5" s="56">
        <f>AVERAGEIF($B$8:$B$595,"NORMAL",$M$8:$M$595)</f>
        <v>0.19283018867924523</v>
      </c>
      <c r="E5" s="62"/>
      <c r="F5" s="63"/>
      <c r="G5" s="56">
        <f t="shared" ref="G5:P5" si="1">(G2+G3)*G4/($V$2+$V$3)</f>
        <v>9.1345626518569936E-2</v>
      </c>
      <c r="H5" s="56">
        <f t="shared" si="1"/>
        <v>7.8512596899224813E-3</v>
      </c>
      <c r="I5" s="56">
        <f t="shared" si="1"/>
        <v>9.142441860465117E-3</v>
      </c>
      <c r="J5" s="56">
        <f t="shared" si="1"/>
        <v>4.7779204975662508E-2</v>
      </c>
      <c r="K5" s="56">
        <f t="shared" si="1"/>
        <v>8.859931181775034E-2</v>
      </c>
      <c r="L5" s="56">
        <f t="shared" si="1"/>
        <v>0.13447281583909493</v>
      </c>
      <c r="M5" s="56">
        <f t="shared" si="1"/>
        <v>1.3557504397107685E-2</v>
      </c>
      <c r="N5" s="56">
        <f t="shared" si="1"/>
        <v>8.914671682626546E-2</v>
      </c>
      <c r="O5" s="56">
        <f t="shared" si="1"/>
        <v>0</v>
      </c>
      <c r="P5" s="56">
        <f t="shared" si="1"/>
        <v>0</v>
      </c>
      <c r="Q5" s="56"/>
      <c r="R5" s="56">
        <f>(R2+R3)*R4/($V$2+$V$3)</f>
        <v>2.0300791343669244E-2</v>
      </c>
      <c r="S5" s="56">
        <f>(S2+S3)*S4/($V$2+$V$3)</f>
        <v>0</v>
      </c>
      <c r="T5" s="56"/>
      <c r="U5" s="56"/>
      <c r="V5" s="56">
        <f>SUBTOTAL(9,G5:U5)</f>
        <v>0.50219567326850767</v>
      </c>
    </row>
    <row r="6" spans="1:32" ht="15" customHeight="1">
      <c r="A6" s="29"/>
      <c r="B6" s="29"/>
      <c r="C6" s="29"/>
      <c r="D6" s="29"/>
      <c r="E6" s="29"/>
      <c r="F6" s="29"/>
      <c r="G6" s="41"/>
      <c r="H6" s="41"/>
      <c r="I6" s="64"/>
      <c r="J6" s="65"/>
      <c r="K6" s="63"/>
      <c r="L6" s="63"/>
      <c r="M6" s="63"/>
      <c r="N6" s="63"/>
      <c r="O6" s="63"/>
      <c r="P6" s="63"/>
      <c r="Q6" s="63"/>
    </row>
    <row r="7" spans="1:32" ht="93.75" customHeight="1">
      <c r="A7" s="24" t="s">
        <v>1369</v>
      </c>
      <c r="B7" s="24" t="s">
        <v>1401</v>
      </c>
      <c r="C7" s="23" t="s">
        <v>1352</v>
      </c>
      <c r="D7" s="23" t="s">
        <v>0</v>
      </c>
      <c r="E7" s="23" t="s">
        <v>1385</v>
      </c>
      <c r="F7" s="23" t="s">
        <v>1384</v>
      </c>
      <c r="G7" s="23" t="s">
        <v>1373</v>
      </c>
      <c r="H7" s="25" t="s">
        <v>1370</v>
      </c>
      <c r="I7" s="25" t="s">
        <v>1375</v>
      </c>
      <c r="J7" s="25" t="s">
        <v>1376</v>
      </c>
      <c r="K7" s="25" t="s">
        <v>1378</v>
      </c>
      <c r="L7" s="25" t="s">
        <v>1379</v>
      </c>
      <c r="M7" s="26" t="s">
        <v>1377</v>
      </c>
    </row>
    <row r="8" spans="1:32" ht="15.75">
      <c r="A8" s="30">
        <v>100</v>
      </c>
      <c r="B8" s="30" t="str">
        <f>VLOOKUP(C8,Sheet1!$A$2:$B$1132,2,FALSE)</f>
        <v>VITAL</v>
      </c>
      <c r="C8" s="49" t="s">
        <v>671</v>
      </c>
      <c r="D8" s="31" t="s">
        <v>149</v>
      </c>
      <c r="E8" s="32" t="s">
        <v>1355</v>
      </c>
      <c r="F8" s="32" t="s">
        <v>1400</v>
      </c>
      <c r="G8" s="32" t="s">
        <v>1365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f t="shared" ref="M8:M71" si="2">SUMPRODUCT(H8:L8,$AA$2:$AE$2)</f>
        <v>1</v>
      </c>
    </row>
    <row r="9" spans="1:32" customFormat="1" ht="15.75">
      <c r="A9" s="2">
        <v>100</v>
      </c>
      <c r="B9" s="30" t="str">
        <f>VLOOKUP(C9,Sheet1!$A$2:$B$1132,2,FALSE)</f>
        <v>VITAL</v>
      </c>
      <c r="C9" s="50" t="s">
        <v>745</v>
      </c>
      <c r="D9" s="5" t="s">
        <v>5</v>
      </c>
      <c r="E9" s="8" t="s">
        <v>1355</v>
      </c>
      <c r="F9" s="8" t="s">
        <v>1400</v>
      </c>
      <c r="G9" s="8" t="s">
        <v>1365</v>
      </c>
      <c r="H9" s="10">
        <v>1</v>
      </c>
      <c r="I9" s="10">
        <v>1</v>
      </c>
      <c r="J9" s="10">
        <v>1</v>
      </c>
      <c r="K9" s="28">
        <v>1</v>
      </c>
      <c r="L9" s="28">
        <v>1</v>
      </c>
      <c r="M9" s="10">
        <f t="shared" si="2"/>
        <v>1</v>
      </c>
      <c r="N9" s="38"/>
      <c r="O9" s="38"/>
      <c r="P9" s="38"/>
      <c r="Q9" s="27"/>
    </row>
    <row r="10" spans="1:32" customFormat="1" ht="15.75">
      <c r="A10" s="2">
        <v>100</v>
      </c>
      <c r="B10" s="30" t="str">
        <f>VLOOKUP(C10,Sheet1!$A$2:$B$1132,2,FALSE)</f>
        <v>VITAL</v>
      </c>
      <c r="C10" s="51" t="s">
        <v>755</v>
      </c>
      <c r="D10" s="3" t="s">
        <v>5</v>
      </c>
      <c r="E10" s="8" t="s">
        <v>1355</v>
      </c>
      <c r="F10" s="8" t="s">
        <v>1400</v>
      </c>
      <c r="G10" s="8" t="s">
        <v>1365</v>
      </c>
      <c r="H10" s="10">
        <v>1</v>
      </c>
      <c r="I10" s="10">
        <v>1</v>
      </c>
      <c r="J10" s="10">
        <v>1</v>
      </c>
      <c r="K10" s="28">
        <v>1</v>
      </c>
      <c r="L10" s="28">
        <v>1</v>
      </c>
      <c r="M10" s="10">
        <f t="shared" si="2"/>
        <v>1</v>
      </c>
      <c r="N10" s="38"/>
      <c r="O10" s="38"/>
      <c r="P10" s="38"/>
      <c r="Q10" s="27"/>
    </row>
    <row r="11" spans="1:32" ht="15.75">
      <c r="A11" s="30">
        <v>100</v>
      </c>
      <c r="B11" s="30" t="str">
        <f>VLOOKUP(C11,Sheet1!$A$2:$B$1132,2,FALSE)</f>
        <v>VITAL</v>
      </c>
      <c r="C11" s="49" t="s">
        <v>695</v>
      </c>
      <c r="D11" s="31" t="s">
        <v>161</v>
      </c>
      <c r="E11" s="32" t="s">
        <v>1355</v>
      </c>
      <c r="F11" s="32" t="s">
        <v>1400</v>
      </c>
      <c r="G11" s="32" t="s">
        <v>1365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f t="shared" si="2"/>
        <v>1</v>
      </c>
    </row>
    <row r="12" spans="1:32" customFormat="1" ht="15.75">
      <c r="A12" s="2">
        <v>100</v>
      </c>
      <c r="B12" s="30" t="str">
        <f>VLOOKUP(C12,Sheet1!$A$2:$B$1132,2,FALSE)</f>
        <v>NORMAL</v>
      </c>
      <c r="C12" s="50" t="s">
        <v>1064</v>
      </c>
      <c r="D12" s="5" t="s">
        <v>162</v>
      </c>
      <c r="E12" s="8" t="s">
        <v>1355</v>
      </c>
      <c r="F12" s="8" t="s">
        <v>1400</v>
      </c>
      <c r="G12" s="8" t="s">
        <v>1365</v>
      </c>
      <c r="H12" s="10">
        <v>1</v>
      </c>
      <c r="I12" s="10">
        <v>1</v>
      </c>
      <c r="J12" s="10">
        <v>1</v>
      </c>
      <c r="K12" s="28">
        <v>1</v>
      </c>
      <c r="L12" s="28">
        <v>1</v>
      </c>
      <c r="M12" s="10">
        <f t="shared" si="2"/>
        <v>1</v>
      </c>
      <c r="N12" s="38"/>
      <c r="O12" s="38"/>
      <c r="P12" s="38"/>
      <c r="Q12" s="27"/>
    </row>
    <row r="13" spans="1:32" customFormat="1" ht="15.75">
      <c r="A13" s="2">
        <v>100</v>
      </c>
      <c r="B13" s="30" t="str">
        <f>VLOOKUP(C13,Sheet1!$A$2:$B$1132,2,FALSE)</f>
        <v>ESSENTIAL</v>
      </c>
      <c r="C13" s="50" t="s">
        <v>764</v>
      </c>
      <c r="D13" s="5" t="s">
        <v>215</v>
      </c>
      <c r="E13" s="8" t="s">
        <v>1362</v>
      </c>
      <c r="F13" s="8" t="s">
        <v>1400</v>
      </c>
      <c r="G13" s="8" t="s">
        <v>1365</v>
      </c>
      <c r="H13" s="10">
        <v>1</v>
      </c>
      <c r="I13" s="10">
        <v>1</v>
      </c>
      <c r="J13" s="10">
        <v>1</v>
      </c>
      <c r="K13" s="28">
        <v>1</v>
      </c>
      <c r="L13" s="28">
        <v>1</v>
      </c>
      <c r="M13" s="10">
        <f t="shared" si="2"/>
        <v>1</v>
      </c>
      <c r="N13" s="38"/>
      <c r="O13" s="38"/>
      <c r="P13" s="38"/>
      <c r="Q13" s="27"/>
    </row>
    <row r="14" spans="1:32" customFormat="1" ht="15.75">
      <c r="A14" s="2">
        <v>100</v>
      </c>
      <c r="B14" s="30" t="str">
        <f>VLOOKUP(C14,Sheet1!$A$2:$B$1132,2,FALSE)</f>
        <v>ESSENTIAL</v>
      </c>
      <c r="C14" s="50" t="s">
        <v>876</v>
      </c>
      <c r="D14" s="5" t="s">
        <v>215</v>
      </c>
      <c r="E14" s="8" t="s">
        <v>1362</v>
      </c>
      <c r="F14" s="8" t="s">
        <v>1400</v>
      </c>
      <c r="G14" s="8" t="s">
        <v>1365</v>
      </c>
      <c r="H14" s="10">
        <v>1</v>
      </c>
      <c r="I14" s="10">
        <v>1</v>
      </c>
      <c r="J14" s="10">
        <v>1</v>
      </c>
      <c r="K14" s="28">
        <v>1</v>
      </c>
      <c r="L14" s="28">
        <v>1</v>
      </c>
      <c r="M14" s="10">
        <f t="shared" si="2"/>
        <v>1</v>
      </c>
      <c r="N14" s="38"/>
      <c r="O14" s="38"/>
      <c r="P14" s="38"/>
      <c r="Q14" s="27"/>
    </row>
    <row r="15" spans="1:32" customFormat="1" ht="15.75">
      <c r="A15" s="2">
        <v>100</v>
      </c>
      <c r="B15" s="30" t="str">
        <f>VLOOKUP(C15,Sheet1!$A$2:$B$1132,2,FALSE)</f>
        <v>IMPORTANT</v>
      </c>
      <c r="C15" s="50" t="s">
        <v>947</v>
      </c>
      <c r="D15" s="5" t="s">
        <v>196</v>
      </c>
      <c r="E15" s="8" t="s">
        <v>1355</v>
      </c>
      <c r="F15" s="8" t="s">
        <v>1400</v>
      </c>
      <c r="G15" s="8" t="s">
        <v>1365</v>
      </c>
      <c r="H15" s="10">
        <v>1</v>
      </c>
      <c r="I15" s="10">
        <v>1</v>
      </c>
      <c r="J15" s="10">
        <v>1</v>
      </c>
      <c r="K15" s="28">
        <v>1</v>
      </c>
      <c r="L15" s="28">
        <v>1</v>
      </c>
      <c r="M15" s="10">
        <f t="shared" si="2"/>
        <v>1</v>
      </c>
      <c r="N15" s="38"/>
      <c r="O15" s="38"/>
      <c r="P15" s="38"/>
      <c r="Q15" s="27"/>
    </row>
    <row r="16" spans="1:32" customFormat="1" ht="15.75">
      <c r="A16" s="2">
        <v>100</v>
      </c>
      <c r="B16" s="30" t="str">
        <f>VLOOKUP(C16,Sheet1!$A$2:$B$1132,2,FALSE)</f>
        <v>IMPORTANT</v>
      </c>
      <c r="C16" s="51" t="s">
        <v>1122</v>
      </c>
      <c r="D16" s="3" t="s">
        <v>108</v>
      </c>
      <c r="E16" s="1" t="s">
        <v>1372</v>
      </c>
      <c r="F16" s="8" t="s">
        <v>1400</v>
      </c>
      <c r="G16" s="8" t="s">
        <v>1365</v>
      </c>
      <c r="H16" s="10">
        <v>1</v>
      </c>
      <c r="I16" s="10">
        <v>1</v>
      </c>
      <c r="J16" s="10">
        <v>1</v>
      </c>
      <c r="K16" s="28">
        <v>1</v>
      </c>
      <c r="L16" s="28">
        <v>1</v>
      </c>
      <c r="M16" s="10">
        <f t="shared" si="2"/>
        <v>1</v>
      </c>
      <c r="N16" s="38"/>
      <c r="O16" s="38"/>
      <c r="P16" s="38"/>
      <c r="Q16" s="27"/>
    </row>
    <row r="17" spans="1:17" customFormat="1" ht="15.75">
      <c r="A17" s="2">
        <v>100</v>
      </c>
      <c r="B17" s="30" t="str">
        <f>VLOOKUP(C17,Sheet1!$A$2:$B$1132,2,FALSE)</f>
        <v>IMPORTANT</v>
      </c>
      <c r="C17" s="50" t="s">
        <v>949</v>
      </c>
      <c r="D17" s="5" t="s">
        <v>4</v>
      </c>
      <c r="E17" s="8" t="s">
        <v>1355</v>
      </c>
      <c r="F17" s="8" t="s">
        <v>1400</v>
      </c>
      <c r="G17" s="8" t="s">
        <v>1365</v>
      </c>
      <c r="H17" s="10">
        <v>1</v>
      </c>
      <c r="I17" s="10">
        <v>1</v>
      </c>
      <c r="J17" s="10">
        <v>1</v>
      </c>
      <c r="K17" s="28">
        <v>1</v>
      </c>
      <c r="L17" s="28">
        <v>1</v>
      </c>
      <c r="M17" s="10">
        <f t="shared" si="2"/>
        <v>1</v>
      </c>
      <c r="N17" s="38"/>
      <c r="O17" s="38"/>
      <c r="P17" s="38"/>
      <c r="Q17" s="27"/>
    </row>
    <row r="18" spans="1:17" customFormat="1" ht="15.75">
      <c r="A18" s="2">
        <v>100</v>
      </c>
      <c r="B18" s="30" t="str">
        <f>VLOOKUP(C18,Sheet1!$A$2:$B$1132,2,FALSE)</f>
        <v>IMPORTANT</v>
      </c>
      <c r="C18" s="51" t="s">
        <v>972</v>
      </c>
      <c r="D18" s="3" t="s">
        <v>11</v>
      </c>
      <c r="E18" s="8" t="s">
        <v>1355</v>
      </c>
      <c r="F18" s="8" t="s">
        <v>1400</v>
      </c>
      <c r="G18" s="8" t="s">
        <v>1365</v>
      </c>
      <c r="H18" s="10">
        <v>1</v>
      </c>
      <c r="I18" s="10">
        <v>1</v>
      </c>
      <c r="J18" s="10">
        <v>1</v>
      </c>
      <c r="K18" s="28">
        <v>1</v>
      </c>
      <c r="L18" s="28">
        <v>1</v>
      </c>
      <c r="M18" s="10">
        <f t="shared" si="2"/>
        <v>1</v>
      </c>
      <c r="N18" s="38"/>
      <c r="O18" s="38"/>
      <c r="P18" s="38"/>
      <c r="Q18" s="27"/>
    </row>
    <row r="19" spans="1:17" customFormat="1" ht="15.75">
      <c r="A19" s="2">
        <v>100</v>
      </c>
      <c r="B19" s="30" t="str">
        <f>VLOOKUP(C19,Sheet1!$A$2:$B$1132,2,FALSE)</f>
        <v>IMPORTANT</v>
      </c>
      <c r="C19" s="50" t="s">
        <v>969</v>
      </c>
      <c r="D19" s="5" t="s">
        <v>148</v>
      </c>
      <c r="E19" s="8" t="s">
        <v>1355</v>
      </c>
      <c r="F19" s="8" t="s">
        <v>1400</v>
      </c>
      <c r="G19" s="8" t="s">
        <v>1365</v>
      </c>
      <c r="H19" s="10">
        <v>1</v>
      </c>
      <c r="I19" s="10">
        <v>1</v>
      </c>
      <c r="J19" s="10">
        <v>1</v>
      </c>
      <c r="K19" s="28">
        <v>1</v>
      </c>
      <c r="L19" s="28">
        <v>1</v>
      </c>
      <c r="M19" s="10">
        <f t="shared" si="2"/>
        <v>1</v>
      </c>
      <c r="N19" s="38"/>
      <c r="O19" s="38"/>
      <c r="P19" s="38"/>
      <c r="Q19" s="27"/>
    </row>
    <row r="20" spans="1:17" customFormat="1" ht="15.75">
      <c r="A20" s="2">
        <v>100</v>
      </c>
      <c r="B20" s="30" t="str">
        <f>VLOOKUP(C20,Sheet1!$A$2:$B$1132,2,FALSE)</f>
        <v>IMPORTANT</v>
      </c>
      <c r="C20" s="51" t="s">
        <v>911</v>
      </c>
      <c r="D20" s="3" t="s">
        <v>1461</v>
      </c>
      <c r="E20" s="8" t="s">
        <v>1362</v>
      </c>
      <c r="F20" s="8" t="s">
        <v>1400</v>
      </c>
      <c r="G20" s="8" t="s">
        <v>1365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f t="shared" si="2"/>
        <v>1</v>
      </c>
      <c r="N20" s="38"/>
      <c r="O20" s="38"/>
      <c r="P20" s="38"/>
      <c r="Q20" s="27"/>
    </row>
    <row r="21" spans="1:17" customFormat="1" ht="15.75">
      <c r="A21" s="2">
        <v>100</v>
      </c>
      <c r="B21" s="30" t="str">
        <f>VLOOKUP(C21,Sheet1!$A$2:$B$1132,2,FALSE)</f>
        <v>IMPORTANT</v>
      </c>
      <c r="C21" s="50" t="s">
        <v>912</v>
      </c>
      <c r="D21" s="5" t="s">
        <v>212</v>
      </c>
      <c r="E21" s="8" t="s">
        <v>1355</v>
      </c>
      <c r="F21" s="8" t="s">
        <v>1400</v>
      </c>
      <c r="G21" s="8" t="s">
        <v>1365</v>
      </c>
      <c r="H21" s="10">
        <v>1</v>
      </c>
      <c r="I21" s="10">
        <v>1</v>
      </c>
      <c r="J21" s="10">
        <v>1</v>
      </c>
      <c r="K21" s="28">
        <v>1</v>
      </c>
      <c r="L21" s="28">
        <v>1</v>
      </c>
      <c r="M21" s="10">
        <f t="shared" si="2"/>
        <v>1</v>
      </c>
      <c r="N21" s="38"/>
      <c r="O21" s="38"/>
      <c r="P21" s="38"/>
      <c r="Q21" s="27"/>
    </row>
    <row r="22" spans="1:17" customFormat="1" ht="15.75">
      <c r="A22" s="2">
        <v>100</v>
      </c>
      <c r="B22" s="30" t="str">
        <f>VLOOKUP(C22,Sheet1!$A$2:$B$1132,2,FALSE)</f>
        <v>IMPORTANT</v>
      </c>
      <c r="C22" s="51" t="s">
        <v>913</v>
      </c>
      <c r="D22" s="3" t="s">
        <v>212</v>
      </c>
      <c r="E22" s="8" t="s">
        <v>1355</v>
      </c>
      <c r="F22" s="8" t="s">
        <v>1400</v>
      </c>
      <c r="G22" s="8" t="s">
        <v>1365</v>
      </c>
      <c r="H22" s="10">
        <v>1</v>
      </c>
      <c r="I22" s="10">
        <v>1</v>
      </c>
      <c r="J22" s="10">
        <v>1</v>
      </c>
      <c r="K22" s="28">
        <v>1</v>
      </c>
      <c r="L22" s="28">
        <v>1</v>
      </c>
      <c r="M22" s="10">
        <f t="shared" si="2"/>
        <v>1</v>
      </c>
      <c r="N22" s="38"/>
      <c r="O22" s="38"/>
      <c r="P22" s="38"/>
      <c r="Q22" s="27"/>
    </row>
    <row r="23" spans="1:17" customFormat="1" ht="15.75">
      <c r="A23" s="2">
        <v>100</v>
      </c>
      <c r="B23" s="30" t="str">
        <f>VLOOKUP(C23,Sheet1!$A$2:$B$1132,2,FALSE)</f>
        <v>IMPORTANT</v>
      </c>
      <c r="C23" s="50" t="s">
        <v>914</v>
      </c>
      <c r="D23" s="5" t="s">
        <v>212</v>
      </c>
      <c r="E23" s="8" t="s">
        <v>1355</v>
      </c>
      <c r="F23" s="8" t="s">
        <v>1400</v>
      </c>
      <c r="G23" s="8" t="s">
        <v>1365</v>
      </c>
      <c r="H23" s="10">
        <v>1</v>
      </c>
      <c r="I23" s="10">
        <v>1</v>
      </c>
      <c r="J23" s="10">
        <v>1</v>
      </c>
      <c r="K23" s="28">
        <v>1</v>
      </c>
      <c r="L23" s="28">
        <v>1</v>
      </c>
      <c r="M23" s="10">
        <f t="shared" si="2"/>
        <v>1</v>
      </c>
      <c r="N23" s="38"/>
      <c r="O23" s="38"/>
      <c r="P23" s="38"/>
      <c r="Q23" s="27"/>
    </row>
    <row r="24" spans="1:17" customFormat="1" ht="15.75">
      <c r="A24" s="2">
        <v>100</v>
      </c>
      <c r="B24" s="30" t="str">
        <f>VLOOKUP(C24,Sheet1!$A$2:$B$1132,2,FALSE)</f>
        <v>IMPORTANT</v>
      </c>
      <c r="C24" s="51" t="s">
        <v>915</v>
      </c>
      <c r="D24" s="3" t="s">
        <v>212</v>
      </c>
      <c r="E24" s="8" t="s">
        <v>1355</v>
      </c>
      <c r="F24" s="8" t="s">
        <v>1400</v>
      </c>
      <c r="G24" s="8" t="s">
        <v>1365</v>
      </c>
      <c r="H24" s="10">
        <v>1</v>
      </c>
      <c r="I24" s="10">
        <v>1</v>
      </c>
      <c r="J24" s="10">
        <v>1</v>
      </c>
      <c r="K24" s="28">
        <v>1</v>
      </c>
      <c r="L24" s="28">
        <v>1</v>
      </c>
      <c r="M24" s="10">
        <f t="shared" si="2"/>
        <v>1</v>
      </c>
      <c r="N24" s="38"/>
      <c r="O24" s="38"/>
      <c r="P24" s="38"/>
      <c r="Q24" s="27"/>
    </row>
    <row r="25" spans="1:17" customFormat="1" ht="15.75">
      <c r="A25" s="2">
        <v>100</v>
      </c>
      <c r="B25" s="30" t="str">
        <f>VLOOKUP(C25,Sheet1!$A$2:$B$1132,2,FALSE)</f>
        <v>IMPORTANT</v>
      </c>
      <c r="C25" s="51" t="s">
        <v>958</v>
      </c>
      <c r="D25" s="3" t="s">
        <v>227</v>
      </c>
      <c r="E25" s="8" t="s">
        <v>1355</v>
      </c>
      <c r="F25" s="8" t="s">
        <v>1400</v>
      </c>
      <c r="G25" s="8" t="s">
        <v>1365</v>
      </c>
      <c r="H25" s="10">
        <v>1</v>
      </c>
      <c r="I25" s="10">
        <v>1</v>
      </c>
      <c r="J25" s="10">
        <v>1</v>
      </c>
      <c r="K25" s="28">
        <v>1</v>
      </c>
      <c r="L25" s="28">
        <v>1</v>
      </c>
      <c r="M25" s="10">
        <f t="shared" si="2"/>
        <v>1</v>
      </c>
      <c r="N25" s="38"/>
      <c r="O25" s="38"/>
      <c r="P25" s="38"/>
      <c r="Q25" s="27"/>
    </row>
    <row r="26" spans="1:17" ht="15.75">
      <c r="A26" s="30">
        <v>100</v>
      </c>
      <c r="B26" s="30" t="str">
        <f>VLOOKUP(C26,Sheet1!$A$2:$B$1132,2,FALSE)</f>
        <v>VITAL</v>
      </c>
      <c r="C26" s="52" t="s">
        <v>739</v>
      </c>
      <c r="D26" s="34" t="s">
        <v>151</v>
      </c>
      <c r="E26" s="32" t="s">
        <v>1355</v>
      </c>
      <c r="F26" s="32" t="s">
        <v>1400</v>
      </c>
      <c r="G26" s="32" t="s">
        <v>1365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f t="shared" si="2"/>
        <v>1</v>
      </c>
    </row>
    <row r="27" spans="1:17" customFormat="1" ht="15.75">
      <c r="A27" s="2">
        <v>100</v>
      </c>
      <c r="B27" s="30" t="str">
        <f>VLOOKUP(C27,Sheet1!$A$2:$B$1132,2,FALSE)</f>
        <v>NORMAL</v>
      </c>
      <c r="C27" s="50" t="s">
        <v>1098</v>
      </c>
      <c r="D27" s="5" t="s">
        <v>109</v>
      </c>
      <c r="E27" s="8" t="s">
        <v>1355</v>
      </c>
      <c r="F27" s="8" t="s">
        <v>1400</v>
      </c>
      <c r="G27" s="8" t="s">
        <v>1365</v>
      </c>
      <c r="H27" s="10">
        <v>1</v>
      </c>
      <c r="I27" s="10">
        <v>1</v>
      </c>
      <c r="J27" s="10">
        <v>1</v>
      </c>
      <c r="K27" s="28">
        <v>1</v>
      </c>
      <c r="L27" s="28">
        <v>1</v>
      </c>
      <c r="M27" s="10">
        <f t="shared" si="2"/>
        <v>1</v>
      </c>
      <c r="N27" s="38"/>
      <c r="O27" s="38"/>
      <c r="P27" s="38"/>
      <c r="Q27" s="27"/>
    </row>
    <row r="28" spans="1:17" ht="15.75">
      <c r="A28" s="30">
        <v>100</v>
      </c>
      <c r="B28" s="30" t="str">
        <f>VLOOKUP(C28,Sheet1!$A$2:$B$1132,2,FALSE)</f>
        <v>VITAL</v>
      </c>
      <c r="C28" s="52" t="s">
        <v>672</v>
      </c>
      <c r="D28" s="34" t="s">
        <v>14</v>
      </c>
      <c r="E28" s="32" t="s">
        <v>1355</v>
      </c>
      <c r="F28" s="32" t="s">
        <v>1400</v>
      </c>
      <c r="G28" s="32" t="s">
        <v>1365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f t="shared" si="2"/>
        <v>1</v>
      </c>
    </row>
    <row r="29" spans="1:17" ht="15.75">
      <c r="A29" s="30">
        <v>100</v>
      </c>
      <c r="B29" s="30" t="str">
        <f>VLOOKUP(C29,Sheet1!$A$2:$B$1132,2,FALSE)</f>
        <v>VITAL</v>
      </c>
      <c r="C29" s="49" t="s">
        <v>709</v>
      </c>
      <c r="D29" s="31" t="s">
        <v>5</v>
      </c>
      <c r="E29" s="35" t="s">
        <v>1355</v>
      </c>
      <c r="F29" s="32" t="s">
        <v>1400</v>
      </c>
      <c r="G29" s="32" t="s">
        <v>1365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f t="shared" si="2"/>
        <v>1</v>
      </c>
    </row>
    <row r="30" spans="1:17" ht="15.75">
      <c r="A30" s="30">
        <v>100</v>
      </c>
      <c r="B30" s="30" t="str">
        <f>VLOOKUP(C30,Sheet1!$A$2:$B$1132,2,FALSE)</f>
        <v>VITAL</v>
      </c>
      <c r="C30" s="52" t="s">
        <v>704</v>
      </c>
      <c r="D30" s="34" t="s">
        <v>5</v>
      </c>
      <c r="E30" s="35" t="s">
        <v>1355</v>
      </c>
      <c r="F30" s="32" t="s">
        <v>1400</v>
      </c>
      <c r="G30" s="32" t="s">
        <v>1365</v>
      </c>
      <c r="H30" s="28">
        <v>1</v>
      </c>
      <c r="I30" s="28">
        <v>1</v>
      </c>
      <c r="J30" s="28">
        <v>1</v>
      </c>
      <c r="K30" s="28">
        <v>1</v>
      </c>
      <c r="L30" s="28">
        <v>1</v>
      </c>
      <c r="M30" s="28">
        <f t="shared" si="2"/>
        <v>1</v>
      </c>
    </row>
    <row r="31" spans="1:17" ht="15.75">
      <c r="A31" s="30">
        <v>100</v>
      </c>
      <c r="B31" s="30" t="str">
        <f>VLOOKUP(C31,Sheet1!$A$2:$B$1132,2,FALSE)</f>
        <v>VITAL</v>
      </c>
      <c r="C31" s="49" t="s">
        <v>705</v>
      </c>
      <c r="D31" s="31" t="s">
        <v>5</v>
      </c>
      <c r="E31" s="35" t="s">
        <v>1355</v>
      </c>
      <c r="F31" s="32" t="s">
        <v>1400</v>
      </c>
      <c r="G31" s="32" t="s">
        <v>1365</v>
      </c>
      <c r="H31" s="28">
        <v>1</v>
      </c>
      <c r="I31" s="28">
        <v>1</v>
      </c>
      <c r="J31" s="28">
        <v>1</v>
      </c>
      <c r="K31" s="28">
        <v>1</v>
      </c>
      <c r="L31" s="28">
        <v>1</v>
      </c>
      <c r="M31" s="28">
        <f t="shared" si="2"/>
        <v>1</v>
      </c>
    </row>
    <row r="32" spans="1:17" ht="15.75">
      <c r="A32" s="30">
        <v>100</v>
      </c>
      <c r="B32" s="30" t="str">
        <f>VLOOKUP(C32,Sheet1!$A$2:$B$1132,2,FALSE)</f>
        <v>VITAL</v>
      </c>
      <c r="C32" s="52" t="s">
        <v>710</v>
      </c>
      <c r="D32" s="34" t="s">
        <v>5</v>
      </c>
      <c r="E32" s="35" t="s">
        <v>1355</v>
      </c>
      <c r="F32" s="32" t="s">
        <v>1400</v>
      </c>
      <c r="G32" s="32" t="s">
        <v>1365</v>
      </c>
      <c r="H32" s="28">
        <v>1</v>
      </c>
      <c r="I32" s="28">
        <v>1</v>
      </c>
      <c r="J32" s="28">
        <v>1</v>
      </c>
      <c r="K32" s="28">
        <v>1</v>
      </c>
      <c r="L32" s="28">
        <v>1</v>
      </c>
      <c r="M32" s="28">
        <f t="shared" si="2"/>
        <v>1</v>
      </c>
    </row>
    <row r="33" spans="1:17" ht="15.75">
      <c r="A33" s="30">
        <v>100</v>
      </c>
      <c r="B33" s="30" t="str">
        <f>VLOOKUP(C33,Sheet1!$A$2:$B$1132,2,FALSE)</f>
        <v>VITAL</v>
      </c>
      <c r="C33" s="52" t="s">
        <v>706</v>
      </c>
      <c r="D33" s="34" t="s">
        <v>5</v>
      </c>
      <c r="E33" s="35" t="s">
        <v>1355</v>
      </c>
      <c r="F33" s="32" t="s">
        <v>1400</v>
      </c>
      <c r="G33" s="32" t="s">
        <v>1365</v>
      </c>
      <c r="H33" s="28">
        <v>1</v>
      </c>
      <c r="I33" s="28">
        <v>1</v>
      </c>
      <c r="J33" s="28">
        <v>1</v>
      </c>
      <c r="K33" s="28">
        <v>1</v>
      </c>
      <c r="L33" s="28">
        <v>1</v>
      </c>
      <c r="M33" s="28">
        <f t="shared" si="2"/>
        <v>1</v>
      </c>
    </row>
    <row r="34" spans="1:17" customFormat="1" ht="15.75">
      <c r="A34" s="2">
        <v>100</v>
      </c>
      <c r="B34" s="30" t="str">
        <f>VLOOKUP(C34,Sheet1!$A$2:$B$1132,2,FALSE)</f>
        <v>NORMAL</v>
      </c>
      <c r="C34" s="51" t="s">
        <v>1065</v>
      </c>
      <c r="D34" s="3" t="s">
        <v>162</v>
      </c>
      <c r="E34" s="1" t="s">
        <v>1355</v>
      </c>
      <c r="F34" s="8" t="s">
        <v>1400</v>
      </c>
      <c r="G34" s="8" t="s">
        <v>1365</v>
      </c>
      <c r="H34" s="10">
        <v>1</v>
      </c>
      <c r="I34" s="10">
        <v>1</v>
      </c>
      <c r="J34" s="10">
        <v>1</v>
      </c>
      <c r="K34" s="28">
        <v>1</v>
      </c>
      <c r="L34" s="28">
        <v>1</v>
      </c>
      <c r="M34" s="10">
        <f t="shared" si="2"/>
        <v>1</v>
      </c>
      <c r="N34" s="38"/>
      <c r="O34" s="38"/>
      <c r="P34" s="38"/>
      <c r="Q34" s="27"/>
    </row>
    <row r="35" spans="1:17" customFormat="1" ht="15.75">
      <c r="A35" s="2">
        <v>100</v>
      </c>
      <c r="B35" s="30" t="str">
        <f>VLOOKUP(C35,Sheet1!$A$2:$B$1132,2,FALSE)</f>
        <v>IMPORTANT</v>
      </c>
      <c r="C35" s="51" t="s">
        <v>950</v>
      </c>
      <c r="D35" s="3" t="s">
        <v>4</v>
      </c>
      <c r="E35" s="1" t="s">
        <v>1355</v>
      </c>
      <c r="F35" s="8" t="s">
        <v>1400</v>
      </c>
      <c r="G35" s="8" t="s">
        <v>1365</v>
      </c>
      <c r="H35" s="10">
        <v>1</v>
      </c>
      <c r="I35" s="10">
        <v>1</v>
      </c>
      <c r="J35" s="10">
        <v>1</v>
      </c>
      <c r="K35" s="28">
        <v>1</v>
      </c>
      <c r="L35" s="28">
        <v>1</v>
      </c>
      <c r="M35" s="10">
        <f t="shared" si="2"/>
        <v>1</v>
      </c>
      <c r="N35" s="38"/>
      <c r="O35" s="38"/>
      <c r="P35" s="38"/>
      <c r="Q35" s="27"/>
    </row>
    <row r="36" spans="1:17" customFormat="1" ht="15.75">
      <c r="A36" s="2">
        <v>100</v>
      </c>
      <c r="B36" s="30" t="str">
        <f>VLOOKUP(C36,Sheet1!$A$2:$B$1132,2,FALSE)</f>
        <v>IMPORTANT</v>
      </c>
      <c r="C36" s="51" t="s">
        <v>924</v>
      </c>
      <c r="D36" s="3" t="s">
        <v>148</v>
      </c>
      <c r="E36" s="1" t="s">
        <v>1355</v>
      </c>
      <c r="F36" s="8" t="s">
        <v>1400</v>
      </c>
      <c r="G36" s="8" t="s">
        <v>1365</v>
      </c>
      <c r="H36" s="10">
        <v>1</v>
      </c>
      <c r="I36" s="10"/>
      <c r="J36" s="10">
        <v>1</v>
      </c>
      <c r="K36" s="10"/>
      <c r="L36" s="10"/>
      <c r="M36" s="10">
        <f t="shared" si="2"/>
        <v>0.43000000000000005</v>
      </c>
      <c r="N36" s="38"/>
      <c r="O36" s="38"/>
      <c r="P36" s="38"/>
      <c r="Q36" s="27"/>
    </row>
    <row r="37" spans="1:17" ht="15.75">
      <c r="A37" s="30">
        <v>100</v>
      </c>
      <c r="B37" s="30" t="str">
        <f>VLOOKUP(C37,Sheet1!$A$2:$B$1132,2,FALSE)</f>
        <v>VITAL</v>
      </c>
      <c r="C37" s="49" t="s">
        <v>681</v>
      </c>
      <c r="D37" s="31" t="s">
        <v>221</v>
      </c>
      <c r="E37" s="35" t="s">
        <v>1355</v>
      </c>
      <c r="F37" s="32" t="s">
        <v>1400</v>
      </c>
      <c r="G37" s="32" t="s">
        <v>1365</v>
      </c>
      <c r="H37" s="28">
        <v>1</v>
      </c>
      <c r="I37" s="28">
        <v>1</v>
      </c>
      <c r="J37" s="28">
        <v>0.5</v>
      </c>
      <c r="K37" s="28"/>
      <c r="L37" s="28"/>
      <c r="M37" s="28">
        <f t="shared" si="2"/>
        <v>0.74</v>
      </c>
    </row>
    <row r="38" spans="1:17" customFormat="1" ht="15.75">
      <c r="A38" s="2">
        <v>100</v>
      </c>
      <c r="B38" s="30" t="str">
        <f>VLOOKUP(C38,Sheet1!$A$2:$B$1132,2,FALSE)</f>
        <v>IMPORTANT</v>
      </c>
      <c r="C38" s="50" t="s">
        <v>959</v>
      </c>
      <c r="D38" s="5" t="s">
        <v>227</v>
      </c>
      <c r="E38" s="1" t="s">
        <v>1355</v>
      </c>
      <c r="F38" s="8" t="s">
        <v>1400</v>
      </c>
      <c r="G38" s="8" t="s">
        <v>1365</v>
      </c>
      <c r="H38" s="10">
        <v>1</v>
      </c>
      <c r="I38" s="10">
        <v>1</v>
      </c>
      <c r="J38" s="10">
        <v>1</v>
      </c>
      <c r="K38" s="28">
        <v>1</v>
      </c>
      <c r="L38" s="28">
        <v>1</v>
      </c>
      <c r="M38" s="10">
        <f t="shared" si="2"/>
        <v>1</v>
      </c>
      <c r="N38" s="38"/>
      <c r="O38" s="38"/>
      <c r="P38" s="38"/>
      <c r="Q38" s="27"/>
    </row>
    <row r="39" spans="1:17" customFormat="1" ht="15.75">
      <c r="A39" s="2">
        <v>100</v>
      </c>
      <c r="B39" s="30" t="str">
        <f>VLOOKUP(C39,Sheet1!$A$2:$B$1132,2,FALSE)</f>
        <v>NORMAL</v>
      </c>
      <c r="C39" s="51" t="s">
        <v>1099</v>
      </c>
      <c r="D39" s="3" t="s">
        <v>109</v>
      </c>
      <c r="E39" s="1" t="s">
        <v>1355</v>
      </c>
      <c r="F39" s="8" t="s">
        <v>1400</v>
      </c>
      <c r="G39" s="8" t="s">
        <v>1365</v>
      </c>
      <c r="H39" s="10">
        <v>1</v>
      </c>
      <c r="I39" s="10">
        <v>1</v>
      </c>
      <c r="J39" s="10">
        <v>1</v>
      </c>
      <c r="K39" s="28">
        <v>1</v>
      </c>
      <c r="L39" s="28">
        <v>1</v>
      </c>
      <c r="M39" s="10">
        <f t="shared" si="2"/>
        <v>1</v>
      </c>
      <c r="N39" s="38"/>
      <c r="O39" s="38"/>
      <c r="P39" s="38"/>
      <c r="Q39" s="27"/>
    </row>
    <row r="40" spans="1:17" customFormat="1" ht="15.75">
      <c r="A40" s="2">
        <v>100</v>
      </c>
      <c r="B40" s="30" t="str">
        <f>VLOOKUP(C40,Sheet1!$A$2:$B$1132,2,FALSE)</f>
        <v>NORMAL</v>
      </c>
      <c r="C40" s="50" t="s">
        <v>1100</v>
      </c>
      <c r="D40" s="5" t="s">
        <v>109</v>
      </c>
      <c r="E40" s="1" t="s">
        <v>1355</v>
      </c>
      <c r="F40" s="8" t="s">
        <v>1400</v>
      </c>
      <c r="G40" s="8" t="s">
        <v>1365</v>
      </c>
      <c r="H40" s="10">
        <v>1</v>
      </c>
      <c r="I40" s="10">
        <v>1</v>
      </c>
      <c r="J40" s="10">
        <v>1</v>
      </c>
      <c r="K40" s="28">
        <v>1</v>
      </c>
      <c r="L40" s="28">
        <v>1</v>
      </c>
      <c r="M40" s="10">
        <f t="shared" si="2"/>
        <v>1</v>
      </c>
      <c r="N40" s="38"/>
      <c r="O40" s="38"/>
      <c r="P40" s="38"/>
      <c r="Q40" s="27"/>
    </row>
    <row r="41" spans="1:17" customFormat="1" ht="15.75">
      <c r="A41" s="2">
        <v>100</v>
      </c>
      <c r="B41" s="30" t="str">
        <f>VLOOKUP(C41,Sheet1!$A$2:$B$1132,2,FALSE)</f>
        <v>ESSENTIAL</v>
      </c>
      <c r="C41" s="51" t="s">
        <v>791</v>
      </c>
      <c r="D41" s="3" t="s">
        <v>5</v>
      </c>
      <c r="E41" s="1" t="s">
        <v>1355</v>
      </c>
      <c r="F41" s="8" t="s">
        <v>1400</v>
      </c>
      <c r="G41" s="8" t="s">
        <v>1365</v>
      </c>
      <c r="H41" s="10">
        <v>1</v>
      </c>
      <c r="I41" s="10">
        <v>1</v>
      </c>
      <c r="J41" s="10">
        <v>1</v>
      </c>
      <c r="K41" s="28">
        <v>1</v>
      </c>
      <c r="L41" s="28">
        <v>1</v>
      </c>
      <c r="M41" s="10">
        <f t="shared" si="2"/>
        <v>1</v>
      </c>
      <c r="N41" s="38"/>
      <c r="O41" s="38"/>
      <c r="P41" s="38"/>
      <c r="Q41" s="27"/>
    </row>
    <row r="42" spans="1:17" customFormat="1" ht="15.75">
      <c r="A42" s="2">
        <v>100</v>
      </c>
      <c r="B42" s="30" t="str">
        <f>VLOOKUP(C42,Sheet1!$A$2:$B$1132,2,FALSE)</f>
        <v>NORMAL</v>
      </c>
      <c r="C42" s="50" t="s">
        <v>1066</v>
      </c>
      <c r="D42" s="5" t="s">
        <v>162</v>
      </c>
      <c r="E42" s="1" t="s">
        <v>1355</v>
      </c>
      <c r="F42" s="8" t="s">
        <v>1400</v>
      </c>
      <c r="G42" s="8" t="s">
        <v>1365</v>
      </c>
      <c r="H42" s="10">
        <v>1</v>
      </c>
      <c r="I42" s="10">
        <v>1</v>
      </c>
      <c r="J42" s="10">
        <v>1</v>
      </c>
      <c r="K42" s="28">
        <v>1</v>
      </c>
      <c r="L42" s="28">
        <v>1</v>
      </c>
      <c r="M42" s="10">
        <f t="shared" si="2"/>
        <v>1</v>
      </c>
      <c r="N42" s="38"/>
      <c r="O42" s="38"/>
      <c r="P42" s="38"/>
      <c r="Q42" s="27"/>
    </row>
    <row r="43" spans="1:17" customFormat="1" ht="15.75">
      <c r="A43" s="2">
        <v>100</v>
      </c>
      <c r="B43" s="30" t="str">
        <f>VLOOKUP(C43,Sheet1!$A$2:$B$1132,2,FALSE)</f>
        <v>IMPORTANT</v>
      </c>
      <c r="C43" s="51" t="s">
        <v>968</v>
      </c>
      <c r="D43" s="3" t="s">
        <v>78</v>
      </c>
      <c r="E43" s="1" t="s">
        <v>1355</v>
      </c>
      <c r="F43" s="8" t="s">
        <v>1400</v>
      </c>
      <c r="G43" s="8" t="s">
        <v>1365</v>
      </c>
      <c r="H43" s="10">
        <v>1</v>
      </c>
      <c r="I43" s="10"/>
      <c r="J43" s="10">
        <v>1</v>
      </c>
      <c r="K43" s="10"/>
      <c r="L43" s="10"/>
      <c r="M43" s="10">
        <f t="shared" si="2"/>
        <v>0.43000000000000005</v>
      </c>
      <c r="N43" s="38"/>
      <c r="O43" s="38"/>
      <c r="P43" s="38"/>
      <c r="Q43" s="27"/>
    </row>
    <row r="44" spans="1:17" customFormat="1" ht="15.75">
      <c r="A44" s="2">
        <v>100</v>
      </c>
      <c r="B44" s="30" t="str">
        <f>VLOOKUP(C44,Sheet1!$A$2:$B$1132,2,FALSE)</f>
        <v>IMPORTANT</v>
      </c>
      <c r="C44" s="50" t="s">
        <v>973</v>
      </c>
      <c r="D44" s="5" t="s">
        <v>11</v>
      </c>
      <c r="E44" s="1" t="s">
        <v>1355</v>
      </c>
      <c r="F44" s="8" t="s">
        <v>1400</v>
      </c>
      <c r="G44" s="8" t="s">
        <v>1365</v>
      </c>
      <c r="H44" s="10">
        <v>1</v>
      </c>
      <c r="I44" s="10">
        <v>1</v>
      </c>
      <c r="J44" s="10"/>
      <c r="K44" s="10"/>
      <c r="L44" s="10"/>
      <c r="M44" s="10">
        <f t="shared" si="2"/>
        <v>0.6</v>
      </c>
      <c r="N44" s="38"/>
      <c r="O44" s="38"/>
      <c r="P44" s="38"/>
      <c r="Q44" s="27"/>
    </row>
    <row r="45" spans="1:17" customFormat="1" ht="15.75">
      <c r="A45" s="2">
        <v>100</v>
      </c>
      <c r="B45" s="30" t="str">
        <f>VLOOKUP(C45,Sheet1!$A$2:$B$1132,2,FALSE)</f>
        <v>IMPORTANT</v>
      </c>
      <c r="C45" s="51" t="s">
        <v>970</v>
      </c>
      <c r="D45" s="3" t="s">
        <v>148</v>
      </c>
      <c r="E45" s="1" t="s">
        <v>1355</v>
      </c>
      <c r="F45" s="8" t="s">
        <v>1400</v>
      </c>
      <c r="G45" s="8" t="s">
        <v>1365</v>
      </c>
      <c r="H45" s="10">
        <v>1</v>
      </c>
      <c r="I45" s="10"/>
      <c r="J45" s="10">
        <v>1</v>
      </c>
      <c r="K45" s="10"/>
      <c r="L45" s="10"/>
      <c r="M45" s="10">
        <f t="shared" si="2"/>
        <v>0.43000000000000005</v>
      </c>
      <c r="N45" s="38"/>
      <c r="O45" s="38"/>
      <c r="P45" s="38"/>
      <c r="Q45" s="27"/>
    </row>
    <row r="46" spans="1:17" customFormat="1" ht="15.75">
      <c r="A46" s="2">
        <v>100</v>
      </c>
      <c r="B46" s="30" t="str">
        <f>VLOOKUP(C46,Sheet1!$A$2:$B$1132,2,FALSE)</f>
        <v>IMPORTANT</v>
      </c>
      <c r="C46" s="50" t="s">
        <v>971</v>
      </c>
      <c r="D46" s="5" t="s">
        <v>222</v>
      </c>
      <c r="E46" s="1" t="s">
        <v>1355</v>
      </c>
      <c r="F46" s="8" t="s">
        <v>1400</v>
      </c>
      <c r="G46" s="8" t="s">
        <v>1365</v>
      </c>
      <c r="H46" s="10">
        <v>1</v>
      </c>
      <c r="I46" s="10"/>
      <c r="J46" s="10">
        <v>0.3</v>
      </c>
      <c r="K46" s="10"/>
      <c r="L46" s="10"/>
      <c r="M46" s="10">
        <f t="shared" si="2"/>
        <v>0.23399999999999999</v>
      </c>
      <c r="N46" s="38"/>
      <c r="O46" s="38"/>
      <c r="P46" s="38"/>
      <c r="Q46" s="27"/>
    </row>
    <row r="47" spans="1:17" customFormat="1" ht="15.75">
      <c r="A47" s="2">
        <v>100</v>
      </c>
      <c r="B47" s="30" t="str">
        <f>VLOOKUP(C47,Sheet1!$A$2:$B$1132,2,FALSE)</f>
        <v>IMPORTANT</v>
      </c>
      <c r="C47" s="50" t="s">
        <v>895</v>
      </c>
      <c r="D47" s="5" t="s">
        <v>142</v>
      </c>
      <c r="E47" s="1" t="s">
        <v>1355</v>
      </c>
      <c r="F47" s="8" t="s">
        <v>1400</v>
      </c>
      <c r="G47" s="8" t="s">
        <v>1365</v>
      </c>
      <c r="H47" s="10">
        <v>1</v>
      </c>
      <c r="I47" s="10"/>
      <c r="J47" s="10">
        <v>0.3</v>
      </c>
      <c r="K47" s="10"/>
      <c r="L47" s="10"/>
      <c r="M47" s="10">
        <f t="shared" si="2"/>
        <v>0.23399999999999999</v>
      </c>
      <c r="N47" s="38"/>
      <c r="O47" s="38"/>
      <c r="P47" s="38"/>
      <c r="Q47" s="27"/>
    </row>
    <row r="48" spans="1:17" ht="15.75">
      <c r="A48" s="30">
        <v>100</v>
      </c>
      <c r="B48" s="30" t="str">
        <f>VLOOKUP(C48,Sheet1!$A$2:$B$1132,2,FALSE)</f>
        <v>VITAL</v>
      </c>
      <c r="C48" s="49" t="s">
        <v>736</v>
      </c>
      <c r="D48" s="31" t="s">
        <v>5</v>
      </c>
      <c r="E48" s="35" t="s">
        <v>1355</v>
      </c>
      <c r="F48" s="32" t="s">
        <v>1400</v>
      </c>
      <c r="G48" s="32" t="s">
        <v>1365</v>
      </c>
      <c r="H48" s="28">
        <v>1</v>
      </c>
      <c r="I48" s="28">
        <v>1</v>
      </c>
      <c r="J48" s="28">
        <v>1</v>
      </c>
      <c r="K48" s="28">
        <v>1</v>
      </c>
      <c r="L48" s="28">
        <v>1</v>
      </c>
      <c r="M48" s="28">
        <f t="shared" si="2"/>
        <v>1</v>
      </c>
    </row>
    <row r="49" spans="1:17" ht="15.75">
      <c r="A49" s="30">
        <v>100</v>
      </c>
      <c r="B49" s="30" t="str">
        <f>VLOOKUP(C49,Sheet1!$A$2:$B$1132,2,FALSE)</f>
        <v>VITAL</v>
      </c>
      <c r="C49" s="52" t="s">
        <v>737</v>
      </c>
      <c r="D49" s="34" t="s">
        <v>5</v>
      </c>
      <c r="E49" s="35" t="s">
        <v>1355</v>
      </c>
      <c r="F49" s="32" t="s">
        <v>1400</v>
      </c>
      <c r="G49" s="32" t="s">
        <v>1365</v>
      </c>
      <c r="H49" s="28">
        <v>1</v>
      </c>
      <c r="I49" s="28">
        <v>1</v>
      </c>
      <c r="J49" s="28">
        <v>1</v>
      </c>
      <c r="K49" s="28">
        <v>1</v>
      </c>
      <c r="L49" s="28">
        <v>1</v>
      </c>
      <c r="M49" s="28">
        <f t="shared" si="2"/>
        <v>1</v>
      </c>
    </row>
    <row r="50" spans="1:17" ht="15.75">
      <c r="A50" s="30">
        <v>100</v>
      </c>
      <c r="B50" s="30" t="str">
        <f>VLOOKUP(C50,Sheet1!$A$2:$B$1132,2,FALSE)</f>
        <v>VITAL</v>
      </c>
      <c r="C50" s="49" t="s">
        <v>738</v>
      </c>
      <c r="D50" s="31" t="s">
        <v>5</v>
      </c>
      <c r="E50" s="35" t="s">
        <v>1355</v>
      </c>
      <c r="F50" s="32" t="s">
        <v>1400</v>
      </c>
      <c r="G50" s="32" t="s">
        <v>1365</v>
      </c>
      <c r="H50" s="28">
        <v>1</v>
      </c>
      <c r="I50" s="28">
        <v>1</v>
      </c>
      <c r="J50" s="28">
        <v>1</v>
      </c>
      <c r="K50" s="28">
        <v>1</v>
      </c>
      <c r="L50" s="28">
        <v>1</v>
      </c>
      <c r="M50" s="28">
        <f t="shared" si="2"/>
        <v>1</v>
      </c>
    </row>
    <row r="51" spans="1:17" customFormat="1" ht="15.75">
      <c r="A51" s="2">
        <v>100</v>
      </c>
      <c r="B51" s="30" t="str">
        <f>VLOOKUP(C51,Sheet1!$A$2:$B$1132,2,FALSE)</f>
        <v>IMPORTANT</v>
      </c>
      <c r="C51" s="51" t="s">
        <v>966</v>
      </c>
      <c r="D51" s="3" t="s">
        <v>106</v>
      </c>
      <c r="E51" s="1" t="s">
        <v>1355</v>
      </c>
      <c r="F51" s="8" t="s">
        <v>1400</v>
      </c>
      <c r="G51" s="8" t="s">
        <v>1365</v>
      </c>
      <c r="H51" s="10">
        <v>1</v>
      </c>
      <c r="I51" s="10">
        <v>1</v>
      </c>
      <c r="J51" s="10">
        <v>1</v>
      </c>
      <c r="K51" s="28">
        <v>1</v>
      </c>
      <c r="L51" s="28">
        <v>1</v>
      </c>
      <c r="M51" s="10">
        <f t="shared" si="2"/>
        <v>1</v>
      </c>
      <c r="N51" s="38"/>
      <c r="O51" s="38"/>
      <c r="P51" s="38"/>
      <c r="Q51" s="27"/>
    </row>
    <row r="52" spans="1:17" customFormat="1" ht="15.75">
      <c r="A52" s="2">
        <v>100</v>
      </c>
      <c r="B52" s="30" t="str">
        <f>VLOOKUP(C52,Sheet1!$A$2:$B$1132,2,FALSE)</f>
        <v>ESSENTIAL</v>
      </c>
      <c r="C52" s="51" t="s">
        <v>761</v>
      </c>
      <c r="D52" s="3" t="s">
        <v>214</v>
      </c>
      <c r="E52" s="1" t="s">
        <v>1362</v>
      </c>
      <c r="F52" s="8" t="s">
        <v>1400</v>
      </c>
      <c r="G52" s="8" t="s">
        <v>1365</v>
      </c>
      <c r="H52" s="10">
        <v>1</v>
      </c>
      <c r="I52" s="10"/>
      <c r="J52" s="10">
        <v>1</v>
      </c>
      <c r="K52" s="10"/>
      <c r="L52" s="10"/>
      <c r="M52" s="10">
        <f t="shared" si="2"/>
        <v>0.43000000000000005</v>
      </c>
      <c r="N52" s="38"/>
      <c r="O52" s="38"/>
      <c r="P52" s="38"/>
      <c r="Q52" s="27"/>
    </row>
    <row r="53" spans="1:17" customFormat="1" ht="15.75">
      <c r="A53" s="2">
        <v>100</v>
      </c>
      <c r="B53" s="30" t="str">
        <f>VLOOKUP(C53,Sheet1!$A$2:$B$1132,2,FALSE)</f>
        <v>VITAL</v>
      </c>
      <c r="C53" s="50" t="s">
        <v>762</v>
      </c>
      <c r="D53" s="5" t="s">
        <v>219</v>
      </c>
      <c r="E53" s="1" t="s">
        <v>1362</v>
      </c>
      <c r="F53" s="8" t="s">
        <v>1400</v>
      </c>
      <c r="G53" s="8" t="s">
        <v>1365</v>
      </c>
      <c r="H53" s="10">
        <v>1</v>
      </c>
      <c r="I53" s="10">
        <v>1</v>
      </c>
      <c r="J53" s="10">
        <v>1</v>
      </c>
      <c r="K53" s="28">
        <v>1</v>
      </c>
      <c r="L53" s="28">
        <v>1</v>
      </c>
      <c r="M53" s="10">
        <f t="shared" si="2"/>
        <v>1</v>
      </c>
      <c r="N53" s="38"/>
      <c r="O53" s="38"/>
      <c r="P53" s="38"/>
      <c r="Q53" s="27"/>
    </row>
    <row r="54" spans="1:17" customFormat="1" ht="15.75">
      <c r="A54" s="2">
        <v>100</v>
      </c>
      <c r="B54" s="30" t="str">
        <f>VLOOKUP(C54,Sheet1!$A$2:$B$1132,2,FALSE)</f>
        <v>IMPORTANT</v>
      </c>
      <c r="C54" s="50" t="s">
        <v>951</v>
      </c>
      <c r="D54" s="5" t="s">
        <v>4</v>
      </c>
      <c r="E54" s="1" t="s">
        <v>1355</v>
      </c>
      <c r="F54" s="8" t="s">
        <v>1400</v>
      </c>
      <c r="G54" s="8" t="s">
        <v>1365</v>
      </c>
      <c r="H54" s="10">
        <v>1</v>
      </c>
      <c r="I54" s="10"/>
      <c r="J54" s="10">
        <v>1</v>
      </c>
      <c r="K54" s="10"/>
      <c r="L54" s="10"/>
      <c r="M54" s="10">
        <f t="shared" si="2"/>
        <v>0.43000000000000005</v>
      </c>
      <c r="N54" s="38"/>
      <c r="O54" s="38"/>
      <c r="P54" s="38"/>
      <c r="Q54" s="27"/>
    </row>
    <row r="55" spans="1:17" customFormat="1" ht="15.75">
      <c r="A55" s="2">
        <v>100</v>
      </c>
      <c r="B55" s="30" t="str">
        <f>VLOOKUP(C55,Sheet1!$A$2:$B$1132,2,FALSE)</f>
        <v>NORMAL</v>
      </c>
      <c r="C55" s="50" t="s">
        <v>1090</v>
      </c>
      <c r="D55" s="5" t="s">
        <v>243</v>
      </c>
      <c r="E55" s="1" t="s">
        <v>1362</v>
      </c>
      <c r="F55" s="8" t="s">
        <v>1400</v>
      </c>
      <c r="G55" s="8" t="s">
        <v>1365</v>
      </c>
      <c r="H55" s="10"/>
      <c r="I55" s="10"/>
      <c r="J55" s="10"/>
      <c r="K55" s="10"/>
      <c r="L55" s="10"/>
      <c r="M55" s="10">
        <f t="shared" si="2"/>
        <v>0</v>
      </c>
      <c r="N55" s="38"/>
      <c r="O55" s="38"/>
      <c r="P55" s="38"/>
      <c r="Q55" s="27"/>
    </row>
    <row r="56" spans="1:17" ht="15.75">
      <c r="A56" s="30">
        <v>100</v>
      </c>
      <c r="B56" s="30" t="str">
        <f>VLOOKUP(C56,Sheet1!$A$2:$B$1132,2,FALSE)</f>
        <v>VITAL</v>
      </c>
      <c r="C56" s="52" t="s">
        <v>670</v>
      </c>
      <c r="D56" s="34" t="s">
        <v>13</v>
      </c>
      <c r="E56" s="35" t="s">
        <v>1355</v>
      </c>
      <c r="F56" s="32" t="s">
        <v>1400</v>
      </c>
      <c r="G56" s="32" t="s">
        <v>1365</v>
      </c>
      <c r="H56" s="28">
        <v>1</v>
      </c>
      <c r="I56" s="28">
        <v>1</v>
      </c>
      <c r="J56" s="28">
        <v>1</v>
      </c>
      <c r="K56" s="28">
        <v>1</v>
      </c>
      <c r="L56" s="28">
        <v>1</v>
      </c>
      <c r="M56" s="28">
        <f t="shared" si="2"/>
        <v>1</v>
      </c>
    </row>
    <row r="57" spans="1:17" customFormat="1" ht="15.75">
      <c r="A57" s="2">
        <v>100</v>
      </c>
      <c r="B57" s="30" t="str">
        <f>VLOOKUP(C57,Sheet1!$A$2:$B$1132,2,FALSE)</f>
        <v>ESSENTIAL</v>
      </c>
      <c r="C57" s="50" t="s">
        <v>790</v>
      </c>
      <c r="D57" s="5" t="s">
        <v>198</v>
      </c>
      <c r="E57" s="1" t="s">
        <v>1355</v>
      </c>
      <c r="F57" s="8" t="s">
        <v>1400</v>
      </c>
      <c r="G57" s="8" t="s">
        <v>1365</v>
      </c>
      <c r="H57" s="10">
        <v>1</v>
      </c>
      <c r="I57" s="10">
        <v>1</v>
      </c>
      <c r="J57" s="10">
        <v>1</v>
      </c>
      <c r="K57" s="28">
        <v>1</v>
      </c>
      <c r="L57" s="28">
        <v>1</v>
      </c>
      <c r="M57" s="10">
        <f t="shared" si="2"/>
        <v>1</v>
      </c>
      <c r="N57" s="38"/>
      <c r="O57" s="38"/>
      <c r="P57" s="38"/>
      <c r="Q57" s="27"/>
    </row>
    <row r="58" spans="1:17" customFormat="1" ht="15.75">
      <c r="A58" s="2">
        <v>100</v>
      </c>
      <c r="B58" s="30" t="str">
        <f>VLOOKUP(C58,Sheet1!$A$2:$B$1132,2,FALSE)</f>
        <v>IMPORTANT</v>
      </c>
      <c r="C58" s="51" t="s">
        <v>960</v>
      </c>
      <c r="D58" s="3" t="s">
        <v>227</v>
      </c>
      <c r="E58" s="1" t="s">
        <v>1355</v>
      </c>
      <c r="F58" s="8" t="s">
        <v>1400</v>
      </c>
      <c r="G58" s="8" t="s">
        <v>1365</v>
      </c>
      <c r="H58" s="10">
        <v>1</v>
      </c>
      <c r="I58" s="10">
        <v>1</v>
      </c>
      <c r="J58" s="10">
        <v>1</v>
      </c>
      <c r="K58" s="28">
        <v>1</v>
      </c>
      <c r="L58" s="28">
        <v>1</v>
      </c>
      <c r="M58" s="10">
        <f t="shared" si="2"/>
        <v>1</v>
      </c>
      <c r="N58" s="38"/>
      <c r="O58" s="38"/>
      <c r="P58" s="38"/>
      <c r="Q58" s="27"/>
    </row>
    <row r="59" spans="1:17" customFormat="1" ht="15.75">
      <c r="A59" s="2">
        <v>100</v>
      </c>
      <c r="B59" s="30" t="str">
        <f>VLOOKUP(C59,Sheet1!$A$2:$B$1132,2,FALSE)</f>
        <v>NORMAL</v>
      </c>
      <c r="C59" s="51" t="s">
        <v>1101</v>
      </c>
      <c r="D59" s="3" t="s">
        <v>109</v>
      </c>
      <c r="E59" s="1" t="s">
        <v>1355</v>
      </c>
      <c r="F59" s="8" t="s">
        <v>1400</v>
      </c>
      <c r="G59" s="8" t="s">
        <v>1365</v>
      </c>
      <c r="H59" s="10">
        <v>1</v>
      </c>
      <c r="I59" s="10">
        <v>1</v>
      </c>
      <c r="J59" s="10">
        <v>1</v>
      </c>
      <c r="K59" s="28">
        <v>1</v>
      </c>
      <c r="L59" s="28">
        <v>1</v>
      </c>
      <c r="M59" s="10">
        <f t="shared" si="2"/>
        <v>1</v>
      </c>
      <c r="N59" s="38"/>
      <c r="O59" s="38"/>
      <c r="P59" s="38"/>
      <c r="Q59" s="27"/>
    </row>
    <row r="60" spans="1:17" customFormat="1" ht="15.75">
      <c r="A60" s="2">
        <v>100</v>
      </c>
      <c r="B60" s="30" t="str">
        <f>VLOOKUP(C60,Sheet1!$A$2:$B$1132,2,FALSE)</f>
        <v>ESSENTIAL</v>
      </c>
      <c r="C60" s="51" t="s">
        <v>815</v>
      </c>
      <c r="D60" s="3" t="s">
        <v>237</v>
      </c>
      <c r="E60" s="1" t="s">
        <v>1355</v>
      </c>
      <c r="F60" s="8" t="s">
        <v>1400</v>
      </c>
      <c r="G60" s="8" t="s">
        <v>1365</v>
      </c>
      <c r="H60" s="10">
        <v>1</v>
      </c>
      <c r="I60" s="10">
        <v>1</v>
      </c>
      <c r="J60" s="10">
        <v>1</v>
      </c>
      <c r="K60" s="28">
        <v>1</v>
      </c>
      <c r="L60" s="28">
        <v>1</v>
      </c>
      <c r="M60" s="10">
        <f t="shared" si="2"/>
        <v>1</v>
      </c>
      <c r="N60" s="38"/>
      <c r="O60" s="38"/>
      <c r="P60" s="38"/>
      <c r="Q60" s="27"/>
    </row>
    <row r="61" spans="1:17" customFormat="1" ht="15.75">
      <c r="A61" s="2">
        <v>100</v>
      </c>
      <c r="B61" s="30" t="str">
        <f>VLOOKUP(C61,Sheet1!$A$2:$B$1132,2,FALSE)</f>
        <v>IMPORTANT</v>
      </c>
      <c r="C61" s="51" t="s">
        <v>922</v>
      </c>
      <c r="D61" s="3" t="s">
        <v>12</v>
      </c>
      <c r="E61" s="1" t="s">
        <v>1362</v>
      </c>
      <c r="F61" s="8" t="s">
        <v>1400</v>
      </c>
      <c r="G61" s="8" t="s">
        <v>1365</v>
      </c>
      <c r="H61" s="10">
        <v>1</v>
      </c>
      <c r="I61" s="10">
        <v>1</v>
      </c>
      <c r="J61" s="10">
        <v>1</v>
      </c>
      <c r="K61" s="28">
        <v>1</v>
      </c>
      <c r="L61" s="28">
        <v>1</v>
      </c>
      <c r="M61" s="10">
        <f t="shared" si="2"/>
        <v>1</v>
      </c>
      <c r="N61" s="38"/>
      <c r="O61" s="38"/>
      <c r="P61" s="38"/>
      <c r="Q61" s="27"/>
    </row>
    <row r="62" spans="1:17" customFormat="1" ht="15.75">
      <c r="A62" s="2">
        <v>100</v>
      </c>
      <c r="B62" s="30" t="str">
        <f>VLOOKUP(C62,Sheet1!$A$2:$B$1132,2,FALSE)</f>
        <v>IMPORTANT</v>
      </c>
      <c r="C62" s="50" t="s">
        <v>923</v>
      </c>
      <c r="D62" s="5" t="s">
        <v>12</v>
      </c>
      <c r="E62" s="1" t="s">
        <v>1362</v>
      </c>
      <c r="F62" s="8" t="s">
        <v>1400</v>
      </c>
      <c r="G62" s="8" t="s">
        <v>1365</v>
      </c>
      <c r="H62" s="10">
        <v>1</v>
      </c>
      <c r="I62" s="10">
        <v>1</v>
      </c>
      <c r="J62" s="10">
        <v>1</v>
      </c>
      <c r="K62" s="28">
        <v>1</v>
      </c>
      <c r="L62" s="28">
        <v>1</v>
      </c>
      <c r="M62" s="10">
        <f t="shared" si="2"/>
        <v>1</v>
      </c>
      <c r="N62" s="38"/>
      <c r="O62" s="38"/>
      <c r="P62" s="38"/>
      <c r="Q62" s="27"/>
    </row>
    <row r="63" spans="1:17" customFormat="1" ht="15.75">
      <c r="A63" s="2">
        <v>100</v>
      </c>
      <c r="B63" s="30" t="str">
        <f>VLOOKUP(C63,Sheet1!$A$2:$B$1132,2,FALSE)</f>
        <v>ESSENTIAL</v>
      </c>
      <c r="C63" s="51" t="s">
        <v>787</v>
      </c>
      <c r="D63" s="3" t="s">
        <v>12</v>
      </c>
      <c r="E63" s="1" t="s">
        <v>1362</v>
      </c>
      <c r="F63" s="8" t="s">
        <v>1400</v>
      </c>
      <c r="G63" s="8" t="s">
        <v>1365</v>
      </c>
      <c r="H63" s="10">
        <v>1</v>
      </c>
      <c r="I63" s="10">
        <v>1</v>
      </c>
      <c r="J63" s="10">
        <v>1</v>
      </c>
      <c r="K63" s="28">
        <v>1</v>
      </c>
      <c r="L63" s="28">
        <v>1</v>
      </c>
      <c r="M63" s="10">
        <f t="shared" si="2"/>
        <v>1</v>
      </c>
      <c r="N63" s="38"/>
      <c r="O63" s="38"/>
      <c r="P63" s="38"/>
      <c r="Q63" s="27"/>
    </row>
    <row r="64" spans="1:17" customFormat="1" ht="15.75">
      <c r="A64" s="2">
        <v>100</v>
      </c>
      <c r="B64" s="30" t="str">
        <f>VLOOKUP(C64,Sheet1!$A$2:$B$1132,2,FALSE)</f>
        <v>ESSENTIAL</v>
      </c>
      <c r="C64" s="50" t="s">
        <v>792</v>
      </c>
      <c r="D64" s="5" t="s">
        <v>5</v>
      </c>
      <c r="E64" s="1" t="s">
        <v>1355</v>
      </c>
      <c r="F64" s="8" t="s">
        <v>1400</v>
      </c>
      <c r="G64" s="8" t="s">
        <v>1365</v>
      </c>
      <c r="H64" s="10">
        <v>1</v>
      </c>
      <c r="I64" s="10">
        <v>1</v>
      </c>
      <c r="J64" s="10">
        <v>1</v>
      </c>
      <c r="K64" s="28">
        <v>1</v>
      </c>
      <c r="L64" s="28">
        <v>1</v>
      </c>
      <c r="M64" s="10">
        <f t="shared" si="2"/>
        <v>1</v>
      </c>
      <c r="N64" s="38"/>
      <c r="O64" s="38"/>
      <c r="P64" s="38"/>
      <c r="Q64" s="27"/>
    </row>
    <row r="65" spans="1:17" customFormat="1" ht="15.75">
      <c r="A65" s="2">
        <v>100</v>
      </c>
      <c r="B65" s="30" t="str">
        <f>VLOOKUP(C65,Sheet1!$A$2:$B$1132,2,FALSE)</f>
        <v>ESSENTIAL</v>
      </c>
      <c r="C65" s="51" t="s">
        <v>793</v>
      </c>
      <c r="D65" s="3" t="s">
        <v>5</v>
      </c>
      <c r="E65" s="1" t="s">
        <v>1355</v>
      </c>
      <c r="F65" s="8" t="s">
        <v>1400</v>
      </c>
      <c r="G65" s="8" t="s">
        <v>1365</v>
      </c>
      <c r="H65" s="10">
        <v>1</v>
      </c>
      <c r="I65" s="10">
        <v>1</v>
      </c>
      <c r="J65" s="10">
        <v>1</v>
      </c>
      <c r="K65" s="28">
        <v>1</v>
      </c>
      <c r="L65" s="28">
        <v>1</v>
      </c>
      <c r="M65" s="10">
        <f t="shared" si="2"/>
        <v>1</v>
      </c>
      <c r="N65" s="38"/>
      <c r="O65" s="38"/>
      <c r="P65" s="38"/>
      <c r="Q65" s="27"/>
    </row>
    <row r="66" spans="1:17" customFormat="1" ht="15.75">
      <c r="A66" s="2">
        <v>100</v>
      </c>
      <c r="B66" s="30" t="str">
        <f>VLOOKUP(C66,Sheet1!$A$2:$B$1132,2,FALSE)</f>
        <v>NORMAL</v>
      </c>
      <c r="C66" s="51" t="s">
        <v>1067</v>
      </c>
      <c r="D66" s="3" t="s">
        <v>162</v>
      </c>
      <c r="E66" s="1" t="s">
        <v>1355</v>
      </c>
      <c r="F66" s="8" t="s">
        <v>1400</v>
      </c>
      <c r="G66" s="8" t="s">
        <v>1365</v>
      </c>
      <c r="H66" s="10">
        <v>1</v>
      </c>
      <c r="I66" s="10">
        <v>1</v>
      </c>
      <c r="J66" s="10">
        <v>1</v>
      </c>
      <c r="K66" s="28">
        <v>1</v>
      </c>
      <c r="L66" s="28">
        <v>1</v>
      </c>
      <c r="M66" s="10">
        <f t="shared" si="2"/>
        <v>1</v>
      </c>
      <c r="N66" s="38"/>
      <c r="O66" s="38"/>
      <c r="P66" s="38"/>
      <c r="Q66" s="27"/>
    </row>
    <row r="67" spans="1:17" customFormat="1" ht="15.75">
      <c r="A67" s="2">
        <v>100</v>
      </c>
      <c r="B67" s="30" t="str">
        <f>VLOOKUP(C67,Sheet1!$A$2:$B$1132,2,FALSE)</f>
        <v>IMPORTANT</v>
      </c>
      <c r="C67" s="50" t="s">
        <v>893</v>
      </c>
      <c r="D67" s="5" t="s">
        <v>163</v>
      </c>
      <c r="E67" s="1" t="s">
        <v>1355</v>
      </c>
      <c r="F67" s="8" t="s">
        <v>1400</v>
      </c>
      <c r="G67" s="8" t="s">
        <v>1365</v>
      </c>
      <c r="H67" s="10">
        <v>1</v>
      </c>
      <c r="I67" s="10">
        <v>1</v>
      </c>
      <c r="J67" s="10">
        <v>1</v>
      </c>
      <c r="K67" s="28">
        <v>1</v>
      </c>
      <c r="L67" s="28">
        <v>1</v>
      </c>
      <c r="M67" s="10">
        <f t="shared" si="2"/>
        <v>1</v>
      </c>
      <c r="N67" s="38"/>
      <c r="O67" s="38"/>
      <c r="P67" s="38"/>
      <c r="Q67" s="27"/>
    </row>
    <row r="68" spans="1:17" customFormat="1" ht="15.75">
      <c r="A68" s="2">
        <v>100</v>
      </c>
      <c r="B68" s="30" t="str">
        <f>VLOOKUP(C68,Sheet1!$A$2:$B$1132,2,FALSE)</f>
        <v>IMPORTANT</v>
      </c>
      <c r="C68" s="51" t="s">
        <v>894</v>
      </c>
      <c r="D68" s="3" t="s">
        <v>163</v>
      </c>
      <c r="E68" s="1" t="s">
        <v>1355</v>
      </c>
      <c r="F68" s="8" t="s">
        <v>1400</v>
      </c>
      <c r="G68" s="8" t="s">
        <v>1365</v>
      </c>
      <c r="H68" s="10">
        <v>1</v>
      </c>
      <c r="I68" s="10">
        <v>1</v>
      </c>
      <c r="J68" s="10">
        <v>1</v>
      </c>
      <c r="K68" s="28">
        <v>1</v>
      </c>
      <c r="L68" s="28">
        <v>1</v>
      </c>
      <c r="M68" s="10">
        <f t="shared" si="2"/>
        <v>1</v>
      </c>
      <c r="N68" s="38"/>
      <c r="O68" s="38"/>
      <c r="P68" s="38"/>
      <c r="Q68" s="27"/>
    </row>
    <row r="69" spans="1:17" customFormat="1" ht="15.75">
      <c r="A69" s="2">
        <v>100</v>
      </c>
      <c r="B69" s="30" t="str">
        <f>VLOOKUP(C69,Sheet1!$A$2:$B$1132,2,FALSE)</f>
        <v>IMPORTANT</v>
      </c>
      <c r="C69" s="51" t="s">
        <v>952</v>
      </c>
      <c r="D69" s="3" t="s">
        <v>4</v>
      </c>
      <c r="E69" s="1" t="s">
        <v>1355</v>
      </c>
      <c r="F69" s="8" t="s">
        <v>1400</v>
      </c>
      <c r="G69" s="8" t="s">
        <v>1365</v>
      </c>
      <c r="H69" s="10"/>
      <c r="I69" s="10"/>
      <c r="J69" s="10"/>
      <c r="K69" s="10"/>
      <c r="L69" s="10"/>
      <c r="M69" s="10">
        <f t="shared" si="2"/>
        <v>0</v>
      </c>
      <c r="N69" s="38"/>
      <c r="O69" s="38"/>
      <c r="P69" s="38"/>
      <c r="Q69" s="27"/>
    </row>
    <row r="70" spans="1:17" customFormat="1" ht="15.75">
      <c r="A70" s="2">
        <v>100</v>
      </c>
      <c r="B70" s="30" t="str">
        <f>VLOOKUP(C70,Sheet1!$A$2:$B$1132,2,FALSE)</f>
        <v>ESSENTIAL</v>
      </c>
      <c r="C70" s="51" t="s">
        <v>886</v>
      </c>
      <c r="D70" s="3" t="s">
        <v>11</v>
      </c>
      <c r="E70" s="1" t="s">
        <v>1355</v>
      </c>
      <c r="F70" s="8" t="s">
        <v>1400</v>
      </c>
      <c r="G70" s="8" t="s">
        <v>1365</v>
      </c>
      <c r="H70" s="10">
        <v>1</v>
      </c>
      <c r="I70" s="10"/>
      <c r="J70" s="10"/>
      <c r="K70" s="10"/>
      <c r="L70" s="10"/>
      <c r="M70" s="10">
        <f t="shared" si="2"/>
        <v>0.15</v>
      </c>
      <c r="N70" s="38"/>
      <c r="O70" s="38"/>
      <c r="P70" s="38"/>
      <c r="Q70" s="27"/>
    </row>
    <row r="71" spans="1:17" customFormat="1" ht="15.75">
      <c r="A71" s="2">
        <v>100</v>
      </c>
      <c r="B71" s="30" t="str">
        <f>VLOOKUP(C71,Sheet1!$A$2:$B$1132,2,FALSE)</f>
        <v>ESSENTIAL</v>
      </c>
      <c r="C71" s="50" t="s">
        <v>887</v>
      </c>
      <c r="D71" s="5" t="s">
        <v>11</v>
      </c>
      <c r="E71" s="1" t="s">
        <v>1355</v>
      </c>
      <c r="F71" s="8" t="s">
        <v>1400</v>
      </c>
      <c r="G71" s="8" t="s">
        <v>1365</v>
      </c>
      <c r="H71" s="10">
        <v>1</v>
      </c>
      <c r="I71" s="10"/>
      <c r="J71" s="10"/>
      <c r="K71" s="10"/>
      <c r="L71" s="10"/>
      <c r="M71" s="10">
        <f t="shared" si="2"/>
        <v>0.15</v>
      </c>
      <c r="N71" s="38"/>
      <c r="O71" s="38"/>
      <c r="P71" s="38"/>
      <c r="Q71" s="27"/>
    </row>
    <row r="72" spans="1:17" customFormat="1" ht="15.75">
      <c r="A72" s="2">
        <v>100</v>
      </c>
      <c r="B72" s="30" t="str">
        <f>VLOOKUP(C72,Sheet1!$A$2:$B$1132,2,FALSE)</f>
        <v>IMPORTANT</v>
      </c>
      <c r="C72" s="51" t="s">
        <v>931</v>
      </c>
      <c r="D72" s="3" t="s">
        <v>148</v>
      </c>
      <c r="E72" s="1" t="s">
        <v>1355</v>
      </c>
      <c r="F72" s="8" t="s">
        <v>1400</v>
      </c>
      <c r="G72" s="8" t="s">
        <v>1365</v>
      </c>
      <c r="H72" s="10">
        <v>1</v>
      </c>
      <c r="I72" s="10"/>
      <c r="J72" s="10">
        <v>1</v>
      </c>
      <c r="K72" s="10"/>
      <c r="L72" s="10"/>
      <c r="M72" s="10">
        <f t="shared" ref="M72:M135" si="3">SUMPRODUCT(H72:L72,$AA$2:$AE$2)</f>
        <v>0.43000000000000005</v>
      </c>
      <c r="N72" s="38"/>
      <c r="O72" s="38"/>
      <c r="P72" s="38"/>
      <c r="Q72" s="27"/>
    </row>
    <row r="73" spans="1:17" customFormat="1" ht="15.75">
      <c r="A73" s="2">
        <v>100</v>
      </c>
      <c r="B73" s="30" t="str">
        <f>VLOOKUP(C73,Sheet1!$A$2:$B$1132,2,FALSE)</f>
        <v>IMPORTANT</v>
      </c>
      <c r="C73" s="50" t="s">
        <v>961</v>
      </c>
      <c r="D73" s="5" t="s">
        <v>227</v>
      </c>
      <c r="E73" s="1" t="s">
        <v>1355</v>
      </c>
      <c r="F73" s="8" t="s">
        <v>1400</v>
      </c>
      <c r="G73" s="8" t="s">
        <v>1365</v>
      </c>
      <c r="H73" s="10">
        <v>1</v>
      </c>
      <c r="I73" s="10">
        <v>1</v>
      </c>
      <c r="J73" s="10"/>
      <c r="K73" s="10"/>
      <c r="L73" s="10"/>
      <c r="M73" s="10">
        <f t="shared" si="3"/>
        <v>0.6</v>
      </c>
      <c r="N73" s="38"/>
      <c r="O73" s="38"/>
      <c r="P73" s="38"/>
      <c r="Q73" s="27"/>
    </row>
    <row r="74" spans="1:17" customFormat="1" ht="15.75">
      <c r="A74" s="2">
        <v>100</v>
      </c>
      <c r="B74" s="30" t="str">
        <f>VLOOKUP(C74,Sheet1!$A$2:$B$1132,2,FALSE)</f>
        <v>NORMAL</v>
      </c>
      <c r="C74" s="50" t="s">
        <v>1102</v>
      </c>
      <c r="D74" s="5" t="s">
        <v>109</v>
      </c>
      <c r="E74" s="1" t="s">
        <v>1355</v>
      </c>
      <c r="F74" s="8" t="s">
        <v>1400</v>
      </c>
      <c r="G74" s="8" t="s">
        <v>1365</v>
      </c>
      <c r="H74" s="10">
        <v>1</v>
      </c>
      <c r="I74" s="10">
        <v>1</v>
      </c>
      <c r="J74" s="10">
        <v>1</v>
      </c>
      <c r="K74" s="28">
        <v>1</v>
      </c>
      <c r="L74" s="28">
        <v>1</v>
      </c>
      <c r="M74" s="10">
        <f t="shared" si="3"/>
        <v>1</v>
      </c>
      <c r="N74" s="38"/>
      <c r="O74" s="38"/>
      <c r="P74" s="38"/>
      <c r="Q74" s="27"/>
    </row>
    <row r="75" spans="1:17" customFormat="1" ht="15.75">
      <c r="A75" s="2">
        <v>200</v>
      </c>
      <c r="B75" s="30" t="str">
        <f>VLOOKUP(C75,Sheet1!$A$2:$B$1132,2,FALSE)</f>
        <v>IMPORTANT</v>
      </c>
      <c r="C75" s="51" t="s">
        <v>944</v>
      </c>
      <c r="D75" s="3" t="s">
        <v>161</v>
      </c>
      <c r="E75" s="8" t="s">
        <v>1356</v>
      </c>
      <c r="F75" s="8" t="s">
        <v>1400</v>
      </c>
      <c r="G75" s="8" t="s">
        <v>1367</v>
      </c>
      <c r="H75" s="10"/>
      <c r="I75" s="10"/>
      <c r="J75" s="10"/>
      <c r="K75" s="10"/>
      <c r="L75" s="10"/>
      <c r="M75" s="10">
        <f t="shared" si="3"/>
        <v>0</v>
      </c>
      <c r="N75" s="38"/>
      <c r="O75" s="38"/>
      <c r="P75" s="38"/>
      <c r="Q75" s="27"/>
    </row>
    <row r="76" spans="1:17" customFormat="1" ht="15.75">
      <c r="A76" s="2">
        <v>200</v>
      </c>
      <c r="B76" s="30" t="str">
        <f>VLOOKUP(C76,Sheet1!$A$2:$B$1132,2,FALSE)</f>
        <v>IMPORTANT</v>
      </c>
      <c r="C76" s="50" t="s">
        <v>945</v>
      </c>
      <c r="D76" s="5" t="s">
        <v>161</v>
      </c>
      <c r="E76" s="8" t="s">
        <v>1356</v>
      </c>
      <c r="F76" s="8" t="s">
        <v>1400</v>
      </c>
      <c r="G76" s="8" t="s">
        <v>1367</v>
      </c>
      <c r="H76" s="10"/>
      <c r="I76" s="10"/>
      <c r="J76" s="10"/>
      <c r="K76" s="10"/>
      <c r="L76" s="10"/>
      <c r="M76" s="10">
        <f t="shared" si="3"/>
        <v>0</v>
      </c>
      <c r="N76" s="38"/>
      <c r="O76" s="38"/>
      <c r="P76" s="38"/>
      <c r="Q76" s="27"/>
    </row>
    <row r="77" spans="1:17" customFormat="1" ht="15.75">
      <c r="A77" s="2">
        <v>200</v>
      </c>
      <c r="B77" s="30" t="str">
        <f>VLOOKUP(C77,Sheet1!$A$2:$B$1132,2,FALSE)</f>
        <v>IMPORTANT</v>
      </c>
      <c r="C77" s="50" t="s">
        <v>967</v>
      </c>
      <c r="D77" s="5" t="s">
        <v>106</v>
      </c>
      <c r="E77" s="8" t="s">
        <v>1356</v>
      </c>
      <c r="F77" s="8" t="s">
        <v>1400</v>
      </c>
      <c r="G77" s="8" t="s">
        <v>1367</v>
      </c>
      <c r="H77" s="10">
        <v>1</v>
      </c>
      <c r="I77" s="10">
        <v>1</v>
      </c>
      <c r="J77" s="10"/>
      <c r="K77" s="10"/>
      <c r="L77" s="10"/>
      <c r="M77" s="10">
        <f t="shared" si="3"/>
        <v>0.6</v>
      </c>
      <c r="N77" s="38"/>
      <c r="O77" s="38"/>
      <c r="P77" s="38"/>
      <c r="Q77" s="27"/>
    </row>
    <row r="78" spans="1:17" customFormat="1" ht="15.75">
      <c r="A78" s="2">
        <v>200</v>
      </c>
      <c r="B78" s="30" t="str">
        <f>VLOOKUP(C78,Sheet1!$A$2:$B$1132,2,FALSE)</f>
        <v>IMPORTANT</v>
      </c>
      <c r="C78" s="51" t="s">
        <v>956</v>
      </c>
      <c r="D78" s="3" t="s">
        <v>226</v>
      </c>
      <c r="E78" s="8" t="s">
        <v>1356</v>
      </c>
      <c r="F78" s="8" t="s">
        <v>1400</v>
      </c>
      <c r="G78" s="8" t="s">
        <v>1367</v>
      </c>
      <c r="H78" s="10"/>
      <c r="I78" s="10"/>
      <c r="J78" s="10"/>
      <c r="K78" s="10"/>
      <c r="L78" s="10"/>
      <c r="M78" s="10">
        <f t="shared" si="3"/>
        <v>0</v>
      </c>
      <c r="N78" s="38"/>
      <c r="O78" s="38"/>
      <c r="P78" s="38"/>
      <c r="Q78" s="27"/>
    </row>
    <row r="79" spans="1:17" customFormat="1" ht="15.75">
      <c r="A79" s="2">
        <v>200</v>
      </c>
      <c r="B79" s="30" t="str">
        <f>VLOOKUP(C79,Sheet1!$A$2:$B$1132,2,FALSE)</f>
        <v>IMPORTANT</v>
      </c>
      <c r="C79" s="50" t="s">
        <v>1107</v>
      </c>
      <c r="D79" s="5" t="s">
        <v>238</v>
      </c>
      <c r="E79" s="8" t="s">
        <v>1356</v>
      </c>
      <c r="F79" s="8" t="s">
        <v>1400</v>
      </c>
      <c r="G79" s="8" t="s">
        <v>1367</v>
      </c>
      <c r="H79" s="10"/>
      <c r="I79" s="10"/>
      <c r="J79" s="10"/>
      <c r="K79" s="10"/>
      <c r="L79" s="10"/>
      <c r="M79" s="10">
        <f t="shared" si="3"/>
        <v>0</v>
      </c>
      <c r="N79" s="38"/>
      <c r="O79" s="38"/>
      <c r="P79" s="38"/>
      <c r="Q79" s="27"/>
    </row>
    <row r="80" spans="1:17" customFormat="1" ht="15.75">
      <c r="A80" s="2">
        <v>200</v>
      </c>
      <c r="B80" s="30" t="str">
        <f>VLOOKUP(C80,Sheet1!$A$2:$B$1132,2,FALSE)</f>
        <v>IMPORTANT</v>
      </c>
      <c r="C80" s="51" t="s">
        <v>948</v>
      </c>
      <c r="D80" s="3" t="s">
        <v>200</v>
      </c>
      <c r="E80" s="8" t="s">
        <v>1356</v>
      </c>
      <c r="F80" s="8" t="s">
        <v>1400</v>
      </c>
      <c r="G80" s="8" t="s">
        <v>1367</v>
      </c>
      <c r="H80" s="10"/>
      <c r="I80" s="10"/>
      <c r="J80" s="10"/>
      <c r="K80" s="10"/>
      <c r="L80" s="10"/>
      <c r="M80" s="10">
        <f t="shared" si="3"/>
        <v>0</v>
      </c>
      <c r="N80" s="38"/>
      <c r="O80" s="38"/>
      <c r="P80" s="38"/>
      <c r="Q80" s="27"/>
    </row>
    <row r="81" spans="1:17" customFormat="1" ht="15.75">
      <c r="A81" s="2">
        <v>200</v>
      </c>
      <c r="B81" s="30" t="str">
        <f>VLOOKUP(C81,Sheet1!$A$2:$B$1132,2,FALSE)</f>
        <v>ESSENTIAL</v>
      </c>
      <c r="C81" s="51" t="s">
        <v>1114</v>
      </c>
      <c r="D81" s="3" t="s">
        <v>7</v>
      </c>
      <c r="E81" s="8" t="s">
        <v>1360</v>
      </c>
      <c r="F81" s="8" t="s">
        <v>1400</v>
      </c>
      <c r="G81" s="8" t="s">
        <v>1367</v>
      </c>
      <c r="H81" s="10">
        <v>1</v>
      </c>
      <c r="I81" s="10"/>
      <c r="J81" s="10">
        <v>1</v>
      </c>
      <c r="K81" s="10"/>
      <c r="L81" s="10"/>
      <c r="M81" s="10">
        <f t="shared" si="3"/>
        <v>0.43000000000000005</v>
      </c>
      <c r="N81" s="38"/>
      <c r="O81" s="38"/>
      <c r="P81" s="38"/>
      <c r="Q81" s="27"/>
    </row>
    <row r="82" spans="1:17" customFormat="1" ht="15.75">
      <c r="A82" s="2">
        <v>200</v>
      </c>
      <c r="B82" s="30" t="str">
        <f>VLOOKUP(C82,Sheet1!$A$2:$B$1132,2,FALSE)</f>
        <v>IMPORTANT</v>
      </c>
      <c r="C82" s="51" t="s">
        <v>946</v>
      </c>
      <c r="D82" s="3" t="s">
        <v>105</v>
      </c>
      <c r="E82" s="8" t="s">
        <v>1356</v>
      </c>
      <c r="F82" s="8" t="s">
        <v>1400</v>
      </c>
      <c r="G82" s="8" t="s">
        <v>1367</v>
      </c>
      <c r="H82" s="10"/>
      <c r="I82" s="10"/>
      <c r="J82" s="10"/>
      <c r="K82" s="10"/>
      <c r="L82" s="10"/>
      <c r="M82" s="10">
        <f t="shared" si="3"/>
        <v>0</v>
      </c>
      <c r="N82" s="38"/>
      <c r="O82" s="38"/>
      <c r="P82" s="38"/>
      <c r="Q82" s="27"/>
    </row>
    <row r="83" spans="1:17" customFormat="1" ht="15.75">
      <c r="A83" s="2">
        <v>200</v>
      </c>
      <c r="B83" s="30" t="str">
        <f>VLOOKUP(C83,Sheet1!$A$2:$B$1132,2,FALSE)</f>
        <v>IMPORTANT</v>
      </c>
      <c r="C83" s="51" t="s">
        <v>907</v>
      </c>
      <c r="D83" s="3" t="s">
        <v>108</v>
      </c>
      <c r="E83" s="1" t="s">
        <v>1372</v>
      </c>
      <c r="F83" s="8" t="s">
        <v>1400</v>
      </c>
      <c r="G83" s="8" t="s">
        <v>1367</v>
      </c>
      <c r="H83" s="10">
        <v>1</v>
      </c>
      <c r="I83" s="10">
        <v>1</v>
      </c>
      <c r="J83" s="10"/>
      <c r="K83" s="10"/>
      <c r="L83" s="10"/>
      <c r="M83" s="10">
        <f t="shared" si="3"/>
        <v>0.6</v>
      </c>
      <c r="N83" s="38"/>
      <c r="O83" s="38"/>
      <c r="P83" s="38"/>
      <c r="Q83" s="27"/>
    </row>
    <row r="84" spans="1:17" customFormat="1" ht="15.75">
      <c r="A84" s="2">
        <v>200</v>
      </c>
      <c r="B84" s="30" t="str">
        <f>VLOOKUP(C84,Sheet1!$A$2:$B$1132,2,FALSE)</f>
        <v>IMPORTANT</v>
      </c>
      <c r="C84" s="50" t="s">
        <v>908</v>
      </c>
      <c r="D84" s="5" t="s">
        <v>108</v>
      </c>
      <c r="E84" s="1" t="s">
        <v>1372</v>
      </c>
      <c r="F84" s="8" t="s">
        <v>1400</v>
      </c>
      <c r="G84" s="8" t="s">
        <v>1367</v>
      </c>
      <c r="H84" s="10">
        <v>1</v>
      </c>
      <c r="I84" s="10">
        <v>1</v>
      </c>
      <c r="J84" s="10"/>
      <c r="K84" s="10"/>
      <c r="L84" s="10"/>
      <c r="M84" s="10">
        <f t="shared" si="3"/>
        <v>0.6</v>
      </c>
      <c r="N84" s="38"/>
      <c r="O84" s="38"/>
      <c r="P84" s="38"/>
      <c r="Q84" s="27"/>
    </row>
    <row r="85" spans="1:17" customFormat="1" ht="15.75">
      <c r="A85" s="2">
        <v>200</v>
      </c>
      <c r="B85" s="30" t="str">
        <f>VLOOKUP(C85,Sheet1!$A$2:$B$1132,2,FALSE)</f>
        <v>IMPORTANT</v>
      </c>
      <c r="C85" s="50" t="s">
        <v>906</v>
      </c>
      <c r="D85" s="5" t="s">
        <v>209</v>
      </c>
      <c r="E85" s="1" t="s">
        <v>1372</v>
      </c>
      <c r="F85" s="8" t="s">
        <v>1400</v>
      </c>
      <c r="G85" s="8" t="s">
        <v>1367</v>
      </c>
      <c r="H85" s="10">
        <v>1</v>
      </c>
      <c r="I85" s="10">
        <v>1</v>
      </c>
      <c r="J85" s="10"/>
      <c r="K85" s="10"/>
      <c r="L85" s="10"/>
      <c r="M85" s="10">
        <f t="shared" si="3"/>
        <v>0.6</v>
      </c>
      <c r="N85" s="38"/>
      <c r="O85" s="38"/>
      <c r="P85" s="38"/>
      <c r="Q85" s="27"/>
    </row>
    <row r="86" spans="1:17" customFormat="1" ht="15.75">
      <c r="A86" s="2">
        <v>200</v>
      </c>
      <c r="B86" s="30" t="str">
        <f>VLOOKUP(C86,Sheet1!$A$2:$B$1132,2,FALSE)</f>
        <v>IMPORTANT</v>
      </c>
      <c r="C86" s="51" t="s">
        <v>909</v>
      </c>
      <c r="D86" s="3" t="s">
        <v>108</v>
      </c>
      <c r="E86" s="1" t="s">
        <v>1372</v>
      </c>
      <c r="F86" s="8" t="s">
        <v>1400</v>
      </c>
      <c r="G86" s="8" t="s">
        <v>1367</v>
      </c>
      <c r="H86" s="10">
        <v>1</v>
      </c>
      <c r="I86" s="10">
        <v>1</v>
      </c>
      <c r="J86" s="10"/>
      <c r="K86" s="10"/>
      <c r="L86" s="10"/>
      <c r="M86" s="10">
        <f t="shared" si="3"/>
        <v>0.6</v>
      </c>
      <c r="N86" s="38"/>
      <c r="O86" s="38"/>
      <c r="P86" s="38"/>
      <c r="Q86" s="27"/>
    </row>
    <row r="87" spans="1:17" customFormat="1" ht="15.75">
      <c r="A87" s="2">
        <v>200</v>
      </c>
      <c r="B87" s="30" t="str">
        <f>VLOOKUP(C87,Sheet1!$A$2:$B$1132,2,FALSE)</f>
        <v>IMPORTANT</v>
      </c>
      <c r="C87" s="50" t="s">
        <v>910</v>
      </c>
      <c r="D87" s="5" t="s">
        <v>108</v>
      </c>
      <c r="E87" s="1" t="s">
        <v>1372</v>
      </c>
      <c r="F87" s="8" t="s">
        <v>1400</v>
      </c>
      <c r="G87" s="8" t="s">
        <v>1367</v>
      </c>
      <c r="H87" s="10">
        <v>1</v>
      </c>
      <c r="I87" s="10">
        <v>1</v>
      </c>
      <c r="J87" s="10"/>
      <c r="K87" s="10"/>
      <c r="L87" s="10"/>
      <c r="M87" s="10">
        <f t="shared" si="3"/>
        <v>0.6</v>
      </c>
      <c r="N87" s="38"/>
      <c r="O87" s="38"/>
      <c r="P87" s="38"/>
      <c r="Q87" s="27"/>
    </row>
    <row r="88" spans="1:17" customFormat="1" ht="15.75">
      <c r="A88" s="2">
        <v>200</v>
      </c>
      <c r="B88" s="30" t="str">
        <f>VLOOKUP(C88,Sheet1!$A$2:$B$1132,2,FALSE)</f>
        <v>IMPORTANT</v>
      </c>
      <c r="C88" s="50" t="s">
        <v>953</v>
      </c>
      <c r="D88" s="5" t="s">
        <v>4</v>
      </c>
      <c r="E88" s="8" t="s">
        <v>1356</v>
      </c>
      <c r="F88" s="8" t="s">
        <v>1400</v>
      </c>
      <c r="G88" s="8" t="s">
        <v>1367</v>
      </c>
      <c r="H88" s="10"/>
      <c r="I88" s="10"/>
      <c r="J88" s="10"/>
      <c r="K88" s="10"/>
      <c r="L88" s="10"/>
      <c r="M88" s="10">
        <f t="shared" si="3"/>
        <v>0</v>
      </c>
      <c r="N88" s="38"/>
      <c r="O88" s="38"/>
      <c r="P88" s="38"/>
      <c r="Q88" s="27"/>
    </row>
    <row r="89" spans="1:17" customFormat="1" ht="15.75">
      <c r="A89" s="2">
        <v>200</v>
      </c>
      <c r="B89" s="30" t="str">
        <f>VLOOKUP(C89,Sheet1!$A$2:$B$1132,2,FALSE)</f>
        <v>IMPORTANT</v>
      </c>
      <c r="C89" s="51" t="s">
        <v>954</v>
      </c>
      <c r="D89" s="3" t="s">
        <v>4</v>
      </c>
      <c r="E89" s="8" t="s">
        <v>1356</v>
      </c>
      <c r="F89" s="8" t="s">
        <v>1400</v>
      </c>
      <c r="G89" s="8" t="s">
        <v>1367</v>
      </c>
      <c r="H89" s="10"/>
      <c r="I89" s="10"/>
      <c r="J89" s="10"/>
      <c r="K89" s="10"/>
      <c r="L89" s="10"/>
      <c r="M89" s="10">
        <f t="shared" si="3"/>
        <v>0</v>
      </c>
      <c r="N89" s="38"/>
      <c r="O89" s="38"/>
      <c r="P89" s="38"/>
      <c r="Q89" s="27"/>
    </row>
    <row r="90" spans="1:17" customFormat="1" ht="15.75">
      <c r="A90" s="2">
        <v>200</v>
      </c>
      <c r="B90" s="30" t="str">
        <f>VLOOKUP(C90,Sheet1!$A$2:$B$1132,2,FALSE)</f>
        <v>ESSENTIAL</v>
      </c>
      <c r="C90" s="50" t="s">
        <v>803</v>
      </c>
      <c r="D90" s="5" t="s">
        <v>216</v>
      </c>
      <c r="E90" s="1" t="s">
        <v>1362</v>
      </c>
      <c r="F90" s="8" t="s">
        <v>1400</v>
      </c>
      <c r="G90" s="8" t="s">
        <v>1367</v>
      </c>
      <c r="H90" s="10"/>
      <c r="I90" s="10"/>
      <c r="J90" s="10"/>
      <c r="K90" s="10"/>
      <c r="L90" s="10"/>
      <c r="M90" s="10">
        <f t="shared" si="3"/>
        <v>0</v>
      </c>
      <c r="N90" s="38"/>
      <c r="O90" s="38"/>
      <c r="P90" s="38"/>
      <c r="Q90" s="27"/>
    </row>
    <row r="91" spans="1:17" customFormat="1" ht="15.75">
      <c r="A91" s="2">
        <v>200</v>
      </c>
      <c r="B91" s="30" t="str">
        <f>VLOOKUP(C91,Sheet1!$A$2:$B$1132,2,FALSE)</f>
        <v>ESSENTIAL</v>
      </c>
      <c r="C91" s="51" t="s">
        <v>802</v>
      </c>
      <c r="D91" s="3" t="s">
        <v>155</v>
      </c>
      <c r="E91" s="1" t="s">
        <v>1356</v>
      </c>
      <c r="F91" s="8" t="s">
        <v>1400</v>
      </c>
      <c r="G91" s="8" t="s">
        <v>1367</v>
      </c>
      <c r="H91" s="10"/>
      <c r="I91" s="10"/>
      <c r="J91" s="10"/>
      <c r="K91" s="10"/>
      <c r="L91" s="10"/>
      <c r="M91" s="10">
        <f t="shared" si="3"/>
        <v>0</v>
      </c>
      <c r="N91" s="38"/>
      <c r="O91" s="38"/>
      <c r="P91" s="38"/>
      <c r="Q91" s="27"/>
    </row>
    <row r="92" spans="1:17" customFormat="1" ht="15.75">
      <c r="A92" s="2">
        <v>200</v>
      </c>
      <c r="B92" s="30" t="str">
        <f>VLOOKUP(C92,Sheet1!$A$2:$B$1132,2,FALSE)</f>
        <v>IMPORTANT</v>
      </c>
      <c r="C92" s="50" t="s">
        <v>957</v>
      </c>
      <c r="D92" s="5" t="s">
        <v>237</v>
      </c>
      <c r="E92" s="8" t="s">
        <v>1356</v>
      </c>
      <c r="F92" s="8" t="s">
        <v>1400</v>
      </c>
      <c r="G92" s="8" t="s">
        <v>1367</v>
      </c>
      <c r="H92" s="10">
        <v>1</v>
      </c>
      <c r="I92" s="10">
        <v>1</v>
      </c>
      <c r="J92" s="10"/>
      <c r="K92" s="10"/>
      <c r="L92" s="10"/>
      <c r="M92" s="10">
        <f t="shared" si="3"/>
        <v>0.6</v>
      </c>
      <c r="N92" s="38"/>
      <c r="O92" s="38"/>
      <c r="P92" s="38"/>
      <c r="Q92" s="27"/>
    </row>
    <row r="93" spans="1:17" customFormat="1" ht="15.75">
      <c r="A93" s="2">
        <v>300</v>
      </c>
      <c r="B93" s="30" t="str">
        <f>VLOOKUP(C93,Sheet1!$A$2:$B$1132,2,FALSE)</f>
        <v>ESSENTIAL</v>
      </c>
      <c r="C93" s="51" t="s">
        <v>773</v>
      </c>
      <c r="D93" s="3" t="s">
        <v>80</v>
      </c>
      <c r="E93" s="1" t="s">
        <v>1359</v>
      </c>
      <c r="F93" s="8" t="s">
        <v>1400</v>
      </c>
      <c r="G93" s="8" t="s">
        <v>1367</v>
      </c>
      <c r="H93" s="10"/>
      <c r="I93" s="10">
        <v>1</v>
      </c>
      <c r="J93" s="10"/>
      <c r="K93" s="10"/>
      <c r="L93" s="10"/>
      <c r="M93" s="10">
        <f t="shared" si="3"/>
        <v>0.45</v>
      </c>
      <c r="N93" s="38"/>
      <c r="O93" s="38"/>
      <c r="P93" s="38"/>
      <c r="Q93" s="27"/>
    </row>
    <row r="94" spans="1:17" customFormat="1" ht="15.75">
      <c r="A94" s="2">
        <v>300</v>
      </c>
      <c r="B94" s="30" t="str">
        <f>VLOOKUP(C94,Sheet1!$A$2:$B$1132,2,FALSE)</f>
        <v>ESSENTIAL</v>
      </c>
      <c r="C94" s="50" t="s">
        <v>883</v>
      </c>
      <c r="D94" s="5" t="s">
        <v>161</v>
      </c>
      <c r="E94" s="1" t="s">
        <v>1359</v>
      </c>
      <c r="F94" s="8" t="s">
        <v>1400</v>
      </c>
      <c r="G94" s="8" t="s">
        <v>1367</v>
      </c>
      <c r="H94" s="10"/>
      <c r="I94" s="10">
        <v>1</v>
      </c>
      <c r="J94" s="10"/>
      <c r="K94" s="10"/>
      <c r="L94" s="10"/>
      <c r="M94" s="10">
        <f t="shared" si="3"/>
        <v>0.45</v>
      </c>
      <c r="N94" s="38"/>
      <c r="O94" s="38"/>
      <c r="P94" s="38"/>
      <c r="Q94" s="27"/>
    </row>
    <row r="95" spans="1:17" customFormat="1" ht="15.75">
      <c r="A95" s="2">
        <v>300</v>
      </c>
      <c r="B95" s="30" t="str">
        <f>VLOOKUP(C95,Sheet1!$A$2:$B$1132,2,FALSE)</f>
        <v>ESSENTIAL</v>
      </c>
      <c r="C95" s="51" t="s">
        <v>884</v>
      </c>
      <c r="D95" s="3" t="s">
        <v>161</v>
      </c>
      <c r="E95" s="1" t="s">
        <v>1359</v>
      </c>
      <c r="F95" s="8" t="s">
        <v>1400</v>
      </c>
      <c r="G95" s="8" t="s">
        <v>1367</v>
      </c>
      <c r="H95" s="10"/>
      <c r="I95" s="10">
        <v>1</v>
      </c>
      <c r="J95" s="10"/>
      <c r="K95" s="10"/>
      <c r="L95" s="10"/>
      <c r="M95" s="10">
        <f t="shared" si="3"/>
        <v>0.45</v>
      </c>
      <c r="N95" s="38"/>
      <c r="O95" s="38"/>
      <c r="P95" s="38"/>
      <c r="Q95" s="27"/>
    </row>
    <row r="96" spans="1:17" customFormat="1" ht="15.75">
      <c r="A96" s="2">
        <v>300</v>
      </c>
      <c r="B96" s="30" t="str">
        <f>VLOOKUP(C96,Sheet1!$A$2:$B$1132,2,FALSE)</f>
        <v>ESSENTIAL</v>
      </c>
      <c r="C96" s="50" t="s">
        <v>885</v>
      </c>
      <c r="D96" s="5" t="s">
        <v>161</v>
      </c>
      <c r="E96" s="1" t="s">
        <v>1359</v>
      </c>
      <c r="F96" s="8" t="s">
        <v>1400</v>
      </c>
      <c r="G96" s="8" t="s">
        <v>1367</v>
      </c>
      <c r="H96" s="10"/>
      <c r="I96" s="10">
        <v>1</v>
      </c>
      <c r="J96" s="10"/>
      <c r="K96" s="10"/>
      <c r="L96" s="10"/>
      <c r="M96" s="10">
        <f t="shared" si="3"/>
        <v>0.45</v>
      </c>
      <c r="N96" s="38"/>
      <c r="O96" s="38"/>
      <c r="P96" s="38"/>
      <c r="Q96" s="27"/>
    </row>
    <row r="97" spans="1:17" customFormat="1" ht="15.75">
      <c r="A97" s="2">
        <v>300</v>
      </c>
      <c r="B97" s="30" t="str">
        <f>VLOOKUP(C97,Sheet1!$A$2:$B$1132,2,FALSE)</f>
        <v>IMPORTANT</v>
      </c>
      <c r="C97" s="51" t="s">
        <v>1089</v>
      </c>
      <c r="D97" s="3" t="s">
        <v>10</v>
      </c>
      <c r="E97" s="1" t="s">
        <v>1359</v>
      </c>
      <c r="F97" s="8" t="s">
        <v>1400</v>
      </c>
      <c r="G97" s="8" t="s">
        <v>1367</v>
      </c>
      <c r="H97" s="10"/>
      <c r="I97" s="10"/>
      <c r="J97" s="10"/>
      <c r="K97" s="10"/>
      <c r="L97" s="10"/>
      <c r="M97" s="10">
        <f t="shared" si="3"/>
        <v>0</v>
      </c>
      <c r="N97" s="38"/>
      <c r="O97" s="38"/>
      <c r="P97" s="38"/>
      <c r="Q97" s="27"/>
    </row>
    <row r="98" spans="1:17" customFormat="1" ht="15.75">
      <c r="A98" s="2">
        <v>300</v>
      </c>
      <c r="B98" s="30" t="str">
        <f>VLOOKUP(C98,Sheet1!$A$2:$B$1132,2,FALSE)</f>
        <v>IMPORTANT</v>
      </c>
      <c r="C98" s="50" t="s">
        <v>932</v>
      </c>
      <c r="D98" s="5" t="s">
        <v>10</v>
      </c>
      <c r="E98" s="1" t="s">
        <v>1359</v>
      </c>
      <c r="F98" s="8" t="s">
        <v>1400</v>
      </c>
      <c r="G98" s="8" t="s">
        <v>1367</v>
      </c>
      <c r="H98" s="10"/>
      <c r="I98" s="10"/>
      <c r="J98" s="10"/>
      <c r="K98" s="10"/>
      <c r="L98" s="10"/>
      <c r="M98" s="10">
        <f t="shared" si="3"/>
        <v>0</v>
      </c>
      <c r="N98" s="38"/>
      <c r="O98" s="38"/>
      <c r="P98" s="38"/>
      <c r="Q98" s="27"/>
    </row>
    <row r="99" spans="1:17" customFormat="1" ht="15.75">
      <c r="A99" s="2">
        <v>300</v>
      </c>
      <c r="B99" s="30" t="str">
        <f>VLOOKUP(C99,Sheet1!$A$2:$B$1132,2,FALSE)</f>
        <v>IMPORTANT</v>
      </c>
      <c r="C99" s="51" t="s">
        <v>964</v>
      </c>
      <c r="D99" s="3" t="s">
        <v>105</v>
      </c>
      <c r="E99" s="1" t="s">
        <v>1359</v>
      </c>
      <c r="F99" s="8" t="s">
        <v>1400</v>
      </c>
      <c r="G99" s="8" t="s">
        <v>1367</v>
      </c>
      <c r="H99" s="10"/>
      <c r="I99" s="10">
        <v>1</v>
      </c>
      <c r="J99" s="10"/>
      <c r="K99" s="10"/>
      <c r="L99" s="10"/>
      <c r="M99" s="10">
        <f t="shared" si="3"/>
        <v>0.45</v>
      </c>
      <c r="N99" s="38"/>
      <c r="O99" s="38"/>
      <c r="P99" s="38"/>
      <c r="Q99" s="27"/>
    </row>
    <row r="100" spans="1:17" customFormat="1" ht="15.75">
      <c r="A100" s="2">
        <v>300</v>
      </c>
      <c r="B100" s="30" t="str">
        <f>VLOOKUP(C100,Sheet1!$A$2:$B$1132,2,FALSE)</f>
        <v>IMPORTANT</v>
      </c>
      <c r="C100" s="50" t="s">
        <v>965</v>
      </c>
      <c r="D100" s="5" t="s">
        <v>105</v>
      </c>
      <c r="E100" s="1" t="s">
        <v>1359</v>
      </c>
      <c r="F100" s="8" t="s">
        <v>1400</v>
      </c>
      <c r="G100" s="8" t="s">
        <v>1367</v>
      </c>
      <c r="H100" s="10"/>
      <c r="I100" s="10">
        <v>1</v>
      </c>
      <c r="J100" s="10"/>
      <c r="K100" s="10"/>
      <c r="L100" s="10"/>
      <c r="M100" s="10">
        <f t="shared" si="3"/>
        <v>0.45</v>
      </c>
      <c r="N100" s="38"/>
      <c r="O100" s="38"/>
      <c r="P100" s="38"/>
      <c r="Q100" s="27"/>
    </row>
    <row r="101" spans="1:17" customFormat="1" ht="15.75">
      <c r="A101" s="2">
        <v>300</v>
      </c>
      <c r="B101" s="30" t="str">
        <f>VLOOKUP(C101,Sheet1!$A$2:$B$1132,2,FALSE)</f>
        <v>IMPORTANT</v>
      </c>
      <c r="C101" s="50" t="s">
        <v>1123</v>
      </c>
      <c r="D101" s="5" t="s">
        <v>108</v>
      </c>
      <c r="E101" s="1" t="s">
        <v>1372</v>
      </c>
      <c r="F101" s="8" t="s">
        <v>1400</v>
      </c>
      <c r="G101" s="8" t="s">
        <v>1367</v>
      </c>
      <c r="H101" s="10">
        <v>1</v>
      </c>
      <c r="I101" s="10">
        <v>1</v>
      </c>
      <c r="J101" s="10"/>
      <c r="K101" s="10"/>
      <c r="L101" s="10"/>
      <c r="M101" s="10">
        <f t="shared" si="3"/>
        <v>0.6</v>
      </c>
      <c r="N101" s="38"/>
      <c r="O101" s="38"/>
      <c r="P101" s="38"/>
      <c r="Q101" s="27"/>
    </row>
    <row r="102" spans="1:17" customFormat="1" ht="15.75">
      <c r="A102" s="2">
        <v>300</v>
      </c>
      <c r="B102" s="30" t="str">
        <f>VLOOKUP(C102,Sheet1!$A$2:$B$1132,2,FALSE)</f>
        <v>ESSENTIAL</v>
      </c>
      <c r="C102" s="50" t="s">
        <v>853</v>
      </c>
      <c r="D102" s="5" t="s">
        <v>4</v>
      </c>
      <c r="E102" s="1" t="s">
        <v>1359</v>
      </c>
      <c r="F102" s="8" t="s">
        <v>1400</v>
      </c>
      <c r="G102" s="8" t="s">
        <v>1367</v>
      </c>
      <c r="H102" s="10"/>
      <c r="I102" s="10">
        <v>1</v>
      </c>
      <c r="J102" s="10"/>
      <c r="K102" s="10"/>
      <c r="L102" s="10"/>
      <c r="M102" s="10">
        <f t="shared" si="3"/>
        <v>0.45</v>
      </c>
      <c r="N102" s="38"/>
      <c r="O102" s="38"/>
      <c r="P102" s="38"/>
      <c r="Q102" s="27"/>
    </row>
    <row r="103" spans="1:17" customFormat="1" ht="15.75">
      <c r="A103" s="2">
        <v>300</v>
      </c>
      <c r="B103" s="30" t="str">
        <f>VLOOKUP(C103,Sheet1!$A$2:$B$1132,2,FALSE)</f>
        <v>ESSENTIAL</v>
      </c>
      <c r="C103" s="51" t="s">
        <v>854</v>
      </c>
      <c r="D103" s="3" t="s">
        <v>4</v>
      </c>
      <c r="E103" s="1" t="s">
        <v>1359</v>
      </c>
      <c r="F103" s="8" t="s">
        <v>1400</v>
      </c>
      <c r="G103" s="8" t="s">
        <v>1367</v>
      </c>
      <c r="H103" s="10"/>
      <c r="I103" s="10">
        <v>1</v>
      </c>
      <c r="J103" s="10"/>
      <c r="K103" s="10"/>
      <c r="L103" s="10"/>
      <c r="M103" s="10">
        <f t="shared" si="3"/>
        <v>0.45</v>
      </c>
      <c r="N103" s="38"/>
      <c r="O103" s="38"/>
      <c r="P103" s="38"/>
      <c r="Q103" s="27"/>
    </row>
    <row r="104" spans="1:17" customFormat="1" ht="15.75">
      <c r="A104" s="2">
        <v>300</v>
      </c>
      <c r="B104" s="30" t="str">
        <f>VLOOKUP(C104,Sheet1!$A$2:$B$1132,2,FALSE)</f>
        <v>ESSENTIAL</v>
      </c>
      <c r="C104" s="50" t="s">
        <v>855</v>
      </c>
      <c r="D104" s="5" t="s">
        <v>4</v>
      </c>
      <c r="E104" s="1" t="s">
        <v>1359</v>
      </c>
      <c r="F104" s="8" t="s">
        <v>1400</v>
      </c>
      <c r="G104" s="8" t="s">
        <v>1367</v>
      </c>
      <c r="H104" s="10"/>
      <c r="I104" s="10">
        <v>1</v>
      </c>
      <c r="J104" s="10"/>
      <c r="K104" s="10"/>
      <c r="L104" s="10"/>
      <c r="M104" s="10">
        <f t="shared" si="3"/>
        <v>0.45</v>
      </c>
      <c r="N104" s="38"/>
      <c r="O104" s="38"/>
      <c r="P104" s="38"/>
      <c r="Q104" s="27"/>
    </row>
    <row r="105" spans="1:17" customFormat="1" ht="15.75">
      <c r="A105" s="2">
        <v>300</v>
      </c>
      <c r="B105" s="30" t="str">
        <f>VLOOKUP(C105,Sheet1!$A$2:$B$1132,2,FALSE)</f>
        <v>VITAL</v>
      </c>
      <c r="C105" s="51" t="s">
        <v>744</v>
      </c>
      <c r="D105" s="3" t="s">
        <v>212</v>
      </c>
      <c r="E105" s="1" t="s">
        <v>1359</v>
      </c>
      <c r="F105" s="8" t="s">
        <v>1400</v>
      </c>
      <c r="G105" s="8" t="s">
        <v>1367</v>
      </c>
      <c r="H105" s="10"/>
      <c r="I105" s="10">
        <v>1</v>
      </c>
      <c r="J105" s="10"/>
      <c r="K105" s="10"/>
      <c r="L105" s="10"/>
      <c r="M105" s="10">
        <f t="shared" si="3"/>
        <v>0.45</v>
      </c>
      <c r="N105" s="38"/>
      <c r="O105" s="38"/>
      <c r="P105" s="38"/>
      <c r="Q105" s="27"/>
    </row>
    <row r="106" spans="1:17" customFormat="1" ht="15.75">
      <c r="A106" s="2">
        <v>300</v>
      </c>
      <c r="B106" s="30" t="str">
        <f>VLOOKUP(C106,Sheet1!$A$2:$B$1132,2,FALSE)</f>
        <v>IMPORTANT</v>
      </c>
      <c r="C106" s="51" t="s">
        <v>974</v>
      </c>
      <c r="D106" s="3" t="s">
        <v>207</v>
      </c>
      <c r="E106" s="1" t="s">
        <v>1359</v>
      </c>
      <c r="F106" s="8" t="s">
        <v>1400</v>
      </c>
      <c r="G106" s="8" t="s">
        <v>1367</v>
      </c>
      <c r="H106" s="10"/>
      <c r="I106" s="10"/>
      <c r="J106" s="10"/>
      <c r="K106" s="10"/>
      <c r="L106" s="10"/>
      <c r="M106" s="10">
        <f t="shared" si="3"/>
        <v>0</v>
      </c>
      <c r="N106" s="38"/>
      <c r="O106" s="38"/>
      <c r="P106" s="38"/>
      <c r="Q106" s="27"/>
    </row>
    <row r="107" spans="1:17" customFormat="1" ht="15.75">
      <c r="A107" s="2">
        <v>300</v>
      </c>
      <c r="B107" s="30" t="str">
        <f>VLOOKUP(C107,Sheet1!$A$2:$B$1132,2,FALSE)</f>
        <v>IMPORTANT</v>
      </c>
      <c r="C107" s="50" t="s">
        <v>975</v>
      </c>
      <c r="D107" s="5" t="s">
        <v>207</v>
      </c>
      <c r="E107" s="1" t="s">
        <v>1359</v>
      </c>
      <c r="F107" s="8" t="s">
        <v>1400</v>
      </c>
      <c r="G107" s="8" t="s">
        <v>1367</v>
      </c>
      <c r="H107" s="10"/>
      <c r="I107" s="10"/>
      <c r="J107" s="10"/>
      <c r="K107" s="10"/>
      <c r="L107" s="10"/>
      <c r="M107" s="10">
        <f t="shared" si="3"/>
        <v>0</v>
      </c>
      <c r="N107" s="38"/>
      <c r="O107" s="38"/>
      <c r="P107" s="38"/>
      <c r="Q107" s="27"/>
    </row>
    <row r="108" spans="1:17" ht="15.75">
      <c r="A108" s="30">
        <v>500</v>
      </c>
      <c r="B108" s="30" t="str">
        <f>VLOOKUP(C108,Sheet1!$A$2:$B$1132,2,FALSE)</f>
        <v>VITAL</v>
      </c>
      <c r="C108" s="49" t="s">
        <v>699</v>
      </c>
      <c r="D108" s="31" t="s">
        <v>5</v>
      </c>
      <c r="E108" s="32" t="s">
        <v>1356</v>
      </c>
      <c r="F108" s="32" t="s">
        <v>1400</v>
      </c>
      <c r="G108" s="32" t="s">
        <v>1368</v>
      </c>
      <c r="H108" s="28">
        <v>1</v>
      </c>
      <c r="I108" s="28">
        <v>1</v>
      </c>
      <c r="J108" s="28">
        <v>1</v>
      </c>
      <c r="K108" s="28">
        <v>1</v>
      </c>
      <c r="L108" s="28">
        <v>1</v>
      </c>
      <c r="M108" s="28">
        <f t="shared" si="3"/>
        <v>1</v>
      </c>
    </row>
    <row r="109" spans="1:17" ht="15.75">
      <c r="A109" s="30">
        <v>500</v>
      </c>
      <c r="B109" s="30" t="str">
        <f>VLOOKUP(C109,Sheet1!$A$2:$B$1132,2,FALSE)</f>
        <v>VITAL</v>
      </c>
      <c r="C109" s="52" t="s">
        <v>700</v>
      </c>
      <c r="D109" s="34" t="s">
        <v>5</v>
      </c>
      <c r="E109" s="32" t="s">
        <v>1356</v>
      </c>
      <c r="F109" s="32" t="s">
        <v>1400</v>
      </c>
      <c r="G109" s="32" t="s">
        <v>1368</v>
      </c>
      <c r="H109" s="28">
        <v>1</v>
      </c>
      <c r="I109" s="28">
        <v>1</v>
      </c>
      <c r="J109" s="28">
        <v>1</v>
      </c>
      <c r="K109" s="28">
        <v>1</v>
      </c>
      <c r="L109" s="28">
        <v>1</v>
      </c>
      <c r="M109" s="28">
        <f t="shared" si="3"/>
        <v>1</v>
      </c>
    </row>
    <row r="110" spans="1:17" customFormat="1" ht="15.75">
      <c r="A110" s="2">
        <v>500</v>
      </c>
      <c r="B110" s="30" t="str">
        <f>VLOOKUP(C110,Sheet1!$A$2:$B$1132,2,FALSE)</f>
        <v>ESSENTIAL</v>
      </c>
      <c r="C110" s="50" t="s">
        <v>822</v>
      </c>
      <c r="D110" s="5" t="s">
        <v>106</v>
      </c>
      <c r="E110" s="8" t="s">
        <v>1356</v>
      </c>
      <c r="F110" s="8" t="s">
        <v>1400</v>
      </c>
      <c r="G110" s="8" t="s">
        <v>1368</v>
      </c>
      <c r="H110" s="10">
        <v>1</v>
      </c>
      <c r="I110" s="10">
        <v>1</v>
      </c>
      <c r="J110" s="10"/>
      <c r="K110" s="10"/>
      <c r="L110" s="10"/>
      <c r="M110" s="10">
        <f t="shared" si="3"/>
        <v>0.6</v>
      </c>
      <c r="N110" s="38"/>
      <c r="O110" s="38"/>
      <c r="P110" s="38"/>
      <c r="Q110" s="27"/>
    </row>
    <row r="111" spans="1:17" customFormat="1" ht="15.75">
      <c r="A111" s="2">
        <v>500</v>
      </c>
      <c r="B111" s="30" t="str">
        <f>VLOOKUP(C111,Sheet1!$A$2:$B$1132,2,FALSE)</f>
        <v>ESSENTIAL</v>
      </c>
      <c r="C111" s="51" t="s">
        <v>823</v>
      </c>
      <c r="D111" s="3" t="s">
        <v>106</v>
      </c>
      <c r="E111" s="8" t="s">
        <v>1356</v>
      </c>
      <c r="F111" s="8" t="s">
        <v>1400</v>
      </c>
      <c r="G111" s="8" t="s">
        <v>1368</v>
      </c>
      <c r="H111" s="10">
        <v>1</v>
      </c>
      <c r="I111" s="10">
        <v>1</v>
      </c>
      <c r="J111" s="10"/>
      <c r="K111" s="10"/>
      <c r="L111" s="10"/>
      <c r="M111" s="10">
        <f t="shared" si="3"/>
        <v>0.6</v>
      </c>
      <c r="N111" s="38"/>
      <c r="O111" s="38"/>
      <c r="P111" s="38"/>
      <c r="Q111" s="27"/>
    </row>
    <row r="112" spans="1:17" customFormat="1" ht="15.75">
      <c r="A112" s="2">
        <v>500</v>
      </c>
      <c r="B112" s="30" t="str">
        <f>VLOOKUP(C112,Sheet1!$A$2:$B$1132,2,FALSE)</f>
        <v>ESSENTIAL</v>
      </c>
      <c r="C112" s="50" t="s">
        <v>824</v>
      </c>
      <c r="D112" s="5" t="s">
        <v>106</v>
      </c>
      <c r="E112" s="8" t="s">
        <v>1356</v>
      </c>
      <c r="F112" s="8" t="s">
        <v>1400</v>
      </c>
      <c r="G112" s="8" t="s">
        <v>1368</v>
      </c>
      <c r="H112" s="10">
        <v>1</v>
      </c>
      <c r="I112" s="10">
        <v>1</v>
      </c>
      <c r="J112" s="10">
        <v>1</v>
      </c>
      <c r="K112" s="28">
        <v>1</v>
      </c>
      <c r="L112" s="28">
        <v>1</v>
      </c>
      <c r="M112" s="10">
        <f t="shared" si="3"/>
        <v>1</v>
      </c>
      <c r="N112" s="38"/>
      <c r="O112" s="38"/>
      <c r="P112" s="38"/>
      <c r="Q112" s="27"/>
    </row>
    <row r="113" spans="1:17" customFormat="1" ht="15.75">
      <c r="A113" s="2">
        <v>500</v>
      </c>
      <c r="B113" s="30" t="str">
        <f>VLOOKUP(C113,Sheet1!$A$2:$B$1132,2,FALSE)</f>
        <v>ESSENTIAL</v>
      </c>
      <c r="C113" s="51" t="s">
        <v>825</v>
      </c>
      <c r="D113" s="3" t="s">
        <v>106</v>
      </c>
      <c r="E113" s="8" t="s">
        <v>1356</v>
      </c>
      <c r="F113" s="8" t="s">
        <v>1400</v>
      </c>
      <c r="G113" s="8" t="s">
        <v>1368</v>
      </c>
      <c r="H113" s="10">
        <v>1</v>
      </c>
      <c r="I113" s="10">
        <v>1</v>
      </c>
      <c r="J113" s="10">
        <v>1</v>
      </c>
      <c r="K113" s="28">
        <v>1</v>
      </c>
      <c r="L113" s="28">
        <v>1</v>
      </c>
      <c r="M113" s="10">
        <f t="shared" si="3"/>
        <v>1</v>
      </c>
      <c r="N113" s="38"/>
      <c r="O113" s="38"/>
      <c r="P113" s="38"/>
      <c r="Q113" s="27"/>
    </row>
    <row r="114" spans="1:17" customFormat="1" ht="15.75">
      <c r="A114" s="2">
        <v>500</v>
      </c>
      <c r="B114" s="30" t="str">
        <f>VLOOKUP(C114,Sheet1!$A$2:$B$1132,2,FALSE)</f>
        <v>ESSENTIAL</v>
      </c>
      <c r="C114" s="50" t="s">
        <v>826</v>
      </c>
      <c r="D114" s="5" t="s">
        <v>106</v>
      </c>
      <c r="E114" s="8" t="s">
        <v>1356</v>
      </c>
      <c r="F114" s="8" t="s">
        <v>1400</v>
      </c>
      <c r="G114" s="8" t="s">
        <v>1368</v>
      </c>
      <c r="H114" s="10">
        <v>1</v>
      </c>
      <c r="I114" s="10">
        <v>1</v>
      </c>
      <c r="J114" s="10">
        <v>1</v>
      </c>
      <c r="K114" s="28">
        <v>1</v>
      </c>
      <c r="L114" s="28">
        <v>1</v>
      </c>
      <c r="M114" s="10">
        <f t="shared" si="3"/>
        <v>1</v>
      </c>
      <c r="N114" s="38"/>
      <c r="O114" s="38"/>
      <c r="P114" s="38"/>
      <c r="Q114" s="27"/>
    </row>
    <row r="115" spans="1:17" customFormat="1" ht="15.75">
      <c r="A115" s="2">
        <v>500</v>
      </c>
      <c r="B115" s="30" t="str">
        <f>VLOOKUP(C115,Sheet1!$A$2:$B$1132,2,FALSE)</f>
        <v>ESSENTIAL</v>
      </c>
      <c r="C115" s="51" t="s">
        <v>827</v>
      </c>
      <c r="D115" s="3" t="s">
        <v>106</v>
      </c>
      <c r="E115" s="8" t="s">
        <v>1356</v>
      </c>
      <c r="F115" s="8" t="s">
        <v>1400</v>
      </c>
      <c r="G115" s="8" t="s">
        <v>1368</v>
      </c>
      <c r="H115" s="10">
        <v>1</v>
      </c>
      <c r="I115" s="10">
        <v>1</v>
      </c>
      <c r="J115" s="10">
        <v>1</v>
      </c>
      <c r="K115" s="28">
        <v>1</v>
      </c>
      <c r="L115" s="28">
        <v>1</v>
      </c>
      <c r="M115" s="10">
        <f t="shared" si="3"/>
        <v>1</v>
      </c>
      <c r="N115" s="38"/>
      <c r="O115" s="38"/>
      <c r="P115" s="38"/>
      <c r="Q115" s="27"/>
    </row>
    <row r="116" spans="1:17" customFormat="1" ht="15.75">
      <c r="A116" s="2">
        <v>500</v>
      </c>
      <c r="B116" s="30" t="str">
        <f>VLOOKUP(C116,Sheet1!$A$2:$B$1132,2,FALSE)</f>
        <v>NORMAL</v>
      </c>
      <c r="C116" s="50" t="s">
        <v>1132</v>
      </c>
      <c r="D116" s="5" t="s">
        <v>4</v>
      </c>
      <c r="E116" s="8" t="s">
        <v>1356</v>
      </c>
      <c r="F116" s="8" t="s">
        <v>1400</v>
      </c>
      <c r="G116" s="8" t="s">
        <v>1368</v>
      </c>
      <c r="H116" s="10"/>
      <c r="I116" s="10"/>
      <c r="J116" s="10"/>
      <c r="K116" s="10"/>
      <c r="L116" s="10"/>
      <c r="M116" s="10">
        <f t="shared" si="3"/>
        <v>0</v>
      </c>
      <c r="N116" s="38"/>
      <c r="O116" s="38"/>
      <c r="P116" s="38"/>
      <c r="Q116" s="27"/>
    </row>
    <row r="117" spans="1:17" customFormat="1" ht="15.75">
      <c r="A117" s="2">
        <v>500</v>
      </c>
      <c r="B117" s="30" t="str">
        <f>VLOOKUP(C117,Sheet1!$A$2:$B$1132,2,FALSE)</f>
        <v>NORMAL</v>
      </c>
      <c r="C117" s="51" t="s">
        <v>1133</v>
      </c>
      <c r="D117" s="3" t="s">
        <v>4</v>
      </c>
      <c r="E117" s="8" t="s">
        <v>1356</v>
      </c>
      <c r="F117" s="8" t="s">
        <v>1400</v>
      </c>
      <c r="G117" s="8" t="s">
        <v>1368</v>
      </c>
      <c r="H117" s="10"/>
      <c r="I117" s="10"/>
      <c r="J117" s="10"/>
      <c r="K117" s="10"/>
      <c r="L117" s="10"/>
      <c r="M117" s="10">
        <f t="shared" si="3"/>
        <v>0</v>
      </c>
      <c r="N117" s="38"/>
      <c r="O117" s="38"/>
      <c r="P117" s="38"/>
      <c r="Q117" s="27"/>
    </row>
    <row r="118" spans="1:17" customFormat="1" ht="15.75">
      <c r="A118" s="2">
        <v>500</v>
      </c>
      <c r="B118" s="30" t="str">
        <f>VLOOKUP(C118,Sheet1!$A$2:$B$1132,2,FALSE)</f>
        <v>NORMAL</v>
      </c>
      <c r="C118" s="50" t="s">
        <v>1134</v>
      </c>
      <c r="D118" s="5" t="s">
        <v>4</v>
      </c>
      <c r="E118" s="8" t="s">
        <v>1356</v>
      </c>
      <c r="F118" s="8" t="s">
        <v>1400</v>
      </c>
      <c r="G118" s="8" t="s">
        <v>1368</v>
      </c>
      <c r="H118" s="10"/>
      <c r="I118" s="10"/>
      <c r="J118" s="10"/>
      <c r="K118" s="10"/>
      <c r="L118" s="10"/>
      <c r="M118" s="10">
        <f t="shared" si="3"/>
        <v>0</v>
      </c>
      <c r="N118" s="38"/>
      <c r="O118" s="38"/>
      <c r="P118" s="38"/>
      <c r="Q118" s="27"/>
    </row>
    <row r="119" spans="1:17" customFormat="1" ht="15.75">
      <c r="A119" s="2">
        <v>500</v>
      </c>
      <c r="B119" s="30" t="str">
        <f>VLOOKUP(C119,Sheet1!$A$2:$B$1132,2,FALSE)</f>
        <v>NORMAL</v>
      </c>
      <c r="C119" s="51" t="s">
        <v>1135</v>
      </c>
      <c r="D119" s="3" t="s">
        <v>4</v>
      </c>
      <c r="E119" s="8" t="s">
        <v>1356</v>
      </c>
      <c r="F119" s="8" t="s">
        <v>1400</v>
      </c>
      <c r="G119" s="8" t="s">
        <v>1368</v>
      </c>
      <c r="H119" s="10"/>
      <c r="I119" s="10"/>
      <c r="J119" s="10"/>
      <c r="K119" s="10"/>
      <c r="L119" s="10"/>
      <c r="M119" s="10">
        <f t="shared" si="3"/>
        <v>0</v>
      </c>
      <c r="N119" s="38"/>
      <c r="O119" s="38"/>
      <c r="P119" s="38"/>
      <c r="Q119" s="27"/>
    </row>
    <row r="120" spans="1:17" customFormat="1" ht="15.75">
      <c r="A120" s="2">
        <v>500</v>
      </c>
      <c r="B120" s="30" t="str">
        <f>VLOOKUP(C120,Sheet1!$A$2:$B$1132,2,FALSE)</f>
        <v>NORMAL</v>
      </c>
      <c r="C120" s="50" t="s">
        <v>1136</v>
      </c>
      <c r="D120" s="5" t="s">
        <v>4</v>
      </c>
      <c r="E120" s="8" t="s">
        <v>1356</v>
      </c>
      <c r="F120" s="8" t="s">
        <v>1400</v>
      </c>
      <c r="G120" s="8" t="s">
        <v>1368</v>
      </c>
      <c r="H120" s="10"/>
      <c r="I120" s="10"/>
      <c r="J120" s="10"/>
      <c r="K120" s="10"/>
      <c r="L120" s="10"/>
      <c r="M120" s="10">
        <f t="shared" si="3"/>
        <v>0</v>
      </c>
      <c r="N120" s="38"/>
      <c r="O120" s="38"/>
      <c r="P120" s="38"/>
      <c r="Q120" s="27"/>
    </row>
    <row r="121" spans="1:17" customFormat="1" ht="15.75">
      <c r="A121" s="2">
        <v>500</v>
      </c>
      <c r="B121" s="30" t="str">
        <f>VLOOKUP(C121,Sheet1!$A$2:$B$1132,2,FALSE)</f>
        <v>NORMAL</v>
      </c>
      <c r="C121" s="51" t="s">
        <v>1137</v>
      </c>
      <c r="D121" s="3" t="s">
        <v>4</v>
      </c>
      <c r="E121" s="8" t="s">
        <v>1356</v>
      </c>
      <c r="F121" s="8" t="s">
        <v>1400</v>
      </c>
      <c r="G121" s="8" t="s">
        <v>1368</v>
      </c>
      <c r="H121" s="10"/>
      <c r="I121" s="10"/>
      <c r="J121" s="10"/>
      <c r="K121" s="10"/>
      <c r="L121" s="10"/>
      <c r="M121" s="10">
        <f t="shared" si="3"/>
        <v>0</v>
      </c>
      <c r="N121" s="38"/>
      <c r="O121" s="38"/>
      <c r="P121" s="38"/>
      <c r="Q121" s="27"/>
    </row>
    <row r="122" spans="1:17" customFormat="1" ht="15.75">
      <c r="A122" s="2">
        <v>500</v>
      </c>
      <c r="B122" s="30" t="str">
        <f>VLOOKUP(C122,Sheet1!$A$2:$B$1132,2,FALSE)</f>
        <v>NORMAL</v>
      </c>
      <c r="C122" s="50" t="s">
        <v>1138</v>
      </c>
      <c r="D122" s="5" t="s">
        <v>4</v>
      </c>
      <c r="E122" s="8" t="s">
        <v>1356</v>
      </c>
      <c r="F122" s="8" t="s">
        <v>1400</v>
      </c>
      <c r="G122" s="8" t="s">
        <v>1368</v>
      </c>
      <c r="H122" s="10"/>
      <c r="I122" s="10"/>
      <c r="J122" s="10"/>
      <c r="K122" s="10"/>
      <c r="L122" s="10"/>
      <c r="M122" s="10">
        <f t="shared" si="3"/>
        <v>0</v>
      </c>
      <c r="N122" s="38"/>
      <c r="O122" s="38"/>
      <c r="P122" s="38"/>
      <c r="Q122" s="27"/>
    </row>
    <row r="123" spans="1:17" customFormat="1" ht="15.75">
      <c r="A123" s="2">
        <v>500</v>
      </c>
      <c r="B123" s="30" t="str">
        <f>VLOOKUP(C123,Sheet1!$A$2:$B$1132,2,FALSE)</f>
        <v>NORMAL</v>
      </c>
      <c r="C123" s="51" t="s">
        <v>1139</v>
      </c>
      <c r="D123" s="3" t="s">
        <v>4</v>
      </c>
      <c r="E123" s="8" t="s">
        <v>1356</v>
      </c>
      <c r="F123" s="8" t="s">
        <v>1400</v>
      </c>
      <c r="G123" s="8" t="s">
        <v>1368</v>
      </c>
      <c r="H123" s="10"/>
      <c r="I123" s="10"/>
      <c r="J123" s="10"/>
      <c r="K123" s="10"/>
      <c r="L123" s="10"/>
      <c r="M123" s="10">
        <f t="shared" si="3"/>
        <v>0</v>
      </c>
      <c r="N123" s="38"/>
      <c r="O123" s="38"/>
      <c r="P123" s="38"/>
      <c r="Q123" s="27"/>
    </row>
    <row r="124" spans="1:17" customFormat="1" ht="15.75">
      <c r="A124" s="2">
        <v>500</v>
      </c>
      <c r="B124" s="30" t="str">
        <f>VLOOKUP(C124,Sheet1!$A$2:$B$1132,2,FALSE)</f>
        <v>ESSENTIAL</v>
      </c>
      <c r="C124" s="51" t="s">
        <v>864</v>
      </c>
      <c r="D124" s="3" t="s">
        <v>237</v>
      </c>
      <c r="E124" s="8" t="s">
        <v>1356</v>
      </c>
      <c r="F124" s="8" t="s">
        <v>1400</v>
      </c>
      <c r="G124" s="8" t="s">
        <v>1368</v>
      </c>
      <c r="H124" s="10">
        <v>1</v>
      </c>
      <c r="I124" s="10">
        <v>1</v>
      </c>
      <c r="J124" s="10">
        <v>1</v>
      </c>
      <c r="K124" s="28">
        <v>1</v>
      </c>
      <c r="L124" s="28">
        <v>1</v>
      </c>
      <c r="M124" s="10">
        <f t="shared" si="3"/>
        <v>1</v>
      </c>
      <c r="N124" s="38"/>
      <c r="O124" s="38"/>
      <c r="P124" s="38"/>
      <c r="Q124" s="27"/>
    </row>
    <row r="125" spans="1:17" customFormat="1" ht="15.75">
      <c r="A125" s="2">
        <v>500</v>
      </c>
      <c r="B125" s="30" t="str">
        <f>VLOOKUP(C125,Sheet1!$A$2:$B$1132,2,FALSE)</f>
        <v>ESSENTIAL</v>
      </c>
      <c r="C125" s="50" t="s">
        <v>865</v>
      </c>
      <c r="D125" s="5" t="s">
        <v>237</v>
      </c>
      <c r="E125" s="8" t="s">
        <v>1356</v>
      </c>
      <c r="F125" s="8" t="s">
        <v>1400</v>
      </c>
      <c r="G125" s="8" t="s">
        <v>1368</v>
      </c>
      <c r="H125" s="10">
        <v>1</v>
      </c>
      <c r="I125" s="10">
        <v>1</v>
      </c>
      <c r="J125" s="10">
        <v>1</v>
      </c>
      <c r="K125" s="28">
        <v>1</v>
      </c>
      <c r="L125" s="28">
        <v>1</v>
      </c>
      <c r="M125" s="10">
        <f t="shared" si="3"/>
        <v>1</v>
      </c>
      <c r="N125" s="38"/>
      <c r="O125" s="38"/>
      <c r="P125" s="38"/>
      <c r="Q125" s="27"/>
    </row>
    <row r="126" spans="1:17" customFormat="1" ht="15.75">
      <c r="A126" s="2">
        <v>500</v>
      </c>
      <c r="B126" s="30" t="str">
        <f>VLOOKUP(C126,Sheet1!$A$2:$B$1132,2,FALSE)</f>
        <v>ESSENTIAL</v>
      </c>
      <c r="C126" s="51" t="s">
        <v>866</v>
      </c>
      <c r="D126" s="3" t="s">
        <v>237</v>
      </c>
      <c r="E126" s="8" t="s">
        <v>1356</v>
      </c>
      <c r="F126" s="8" t="s">
        <v>1400</v>
      </c>
      <c r="G126" s="8" t="s">
        <v>1368</v>
      </c>
      <c r="H126" s="10">
        <v>1</v>
      </c>
      <c r="I126" s="10">
        <v>1</v>
      </c>
      <c r="J126" s="10">
        <v>1</v>
      </c>
      <c r="K126" s="28">
        <v>1</v>
      </c>
      <c r="L126" s="28">
        <v>1</v>
      </c>
      <c r="M126" s="10">
        <f t="shared" si="3"/>
        <v>1</v>
      </c>
      <c r="N126" s="38"/>
      <c r="O126" s="38"/>
      <c r="P126" s="38"/>
      <c r="Q126" s="27"/>
    </row>
    <row r="127" spans="1:17" customFormat="1" ht="15.75">
      <c r="A127" s="2">
        <v>500</v>
      </c>
      <c r="B127" s="30" t="str">
        <f>VLOOKUP(C127,Sheet1!$A$2:$B$1132,2,FALSE)</f>
        <v>ESSENTIAL</v>
      </c>
      <c r="C127" s="50" t="s">
        <v>867</v>
      </c>
      <c r="D127" s="5" t="s">
        <v>237</v>
      </c>
      <c r="E127" s="8" t="s">
        <v>1356</v>
      </c>
      <c r="F127" s="8" t="s">
        <v>1400</v>
      </c>
      <c r="G127" s="8" t="s">
        <v>1368</v>
      </c>
      <c r="H127" s="10">
        <v>1</v>
      </c>
      <c r="I127" s="10">
        <v>1</v>
      </c>
      <c r="J127" s="10">
        <v>1</v>
      </c>
      <c r="K127" s="28">
        <v>1</v>
      </c>
      <c r="L127" s="28">
        <v>1</v>
      </c>
      <c r="M127" s="10">
        <f t="shared" si="3"/>
        <v>1</v>
      </c>
      <c r="N127" s="38"/>
      <c r="O127" s="38"/>
      <c r="P127" s="38"/>
      <c r="Q127" s="27"/>
    </row>
    <row r="128" spans="1:17" customFormat="1" ht="15.75">
      <c r="A128" s="2">
        <v>500</v>
      </c>
      <c r="B128" s="30" t="str">
        <f>VLOOKUP(C128,Sheet1!$A$2:$B$1132,2,FALSE)</f>
        <v>ESSENTIAL</v>
      </c>
      <c r="C128" s="51" t="s">
        <v>783</v>
      </c>
      <c r="D128" s="3" t="s">
        <v>237</v>
      </c>
      <c r="E128" s="8" t="s">
        <v>1356</v>
      </c>
      <c r="F128" s="8" t="s">
        <v>1400</v>
      </c>
      <c r="G128" s="8" t="s">
        <v>1368</v>
      </c>
      <c r="H128" s="10">
        <v>1</v>
      </c>
      <c r="I128" s="10">
        <v>1</v>
      </c>
      <c r="J128" s="10">
        <v>1</v>
      </c>
      <c r="K128" s="28">
        <v>1</v>
      </c>
      <c r="L128" s="28">
        <v>1</v>
      </c>
      <c r="M128" s="10">
        <f t="shared" si="3"/>
        <v>1</v>
      </c>
      <c r="N128" s="38"/>
      <c r="O128" s="38"/>
      <c r="P128" s="38"/>
      <c r="Q128" s="27"/>
    </row>
    <row r="129" spans="1:17" customFormat="1" ht="15.75">
      <c r="A129" s="2">
        <v>500</v>
      </c>
      <c r="B129" s="30" t="str">
        <f>VLOOKUP(C129,Sheet1!$A$2:$B$1132,2,FALSE)</f>
        <v>ESSENTIAL</v>
      </c>
      <c r="C129" s="50" t="s">
        <v>784</v>
      </c>
      <c r="D129" s="5" t="s">
        <v>237</v>
      </c>
      <c r="E129" s="8" t="s">
        <v>1356</v>
      </c>
      <c r="F129" s="8" t="s">
        <v>1400</v>
      </c>
      <c r="G129" s="8" t="s">
        <v>1368</v>
      </c>
      <c r="H129" s="10">
        <v>1</v>
      </c>
      <c r="I129" s="10">
        <v>1</v>
      </c>
      <c r="J129" s="10">
        <v>1</v>
      </c>
      <c r="K129" s="28">
        <v>1</v>
      </c>
      <c r="L129" s="28">
        <v>1</v>
      </c>
      <c r="M129" s="10">
        <f t="shared" si="3"/>
        <v>1</v>
      </c>
      <c r="N129" s="38"/>
      <c r="O129" s="38"/>
      <c r="P129" s="38"/>
      <c r="Q129" s="27"/>
    </row>
    <row r="130" spans="1:17" ht="15.75">
      <c r="A130" s="30">
        <v>500</v>
      </c>
      <c r="B130" s="30" t="str">
        <f>VLOOKUP(C130,Sheet1!$A$2:$B$1132,2,FALSE)</f>
        <v>VITAL</v>
      </c>
      <c r="C130" s="49" t="s">
        <v>732</v>
      </c>
      <c r="D130" s="31" t="s">
        <v>237</v>
      </c>
      <c r="E130" s="32" t="s">
        <v>1356</v>
      </c>
      <c r="F130" s="32" t="s">
        <v>1400</v>
      </c>
      <c r="G130" s="32" t="s">
        <v>1368</v>
      </c>
      <c r="H130" s="28">
        <v>1</v>
      </c>
      <c r="I130" s="28">
        <v>1</v>
      </c>
      <c r="J130" s="28"/>
      <c r="K130" s="28"/>
      <c r="L130" s="28"/>
      <c r="M130" s="28">
        <f t="shared" si="3"/>
        <v>0.6</v>
      </c>
    </row>
    <row r="131" spans="1:17" ht="15.75">
      <c r="A131" s="30">
        <v>500</v>
      </c>
      <c r="B131" s="30" t="str">
        <f>VLOOKUP(C131,Sheet1!$A$2:$B$1132,2,FALSE)</f>
        <v>VITAL</v>
      </c>
      <c r="C131" s="52" t="s">
        <v>733</v>
      </c>
      <c r="D131" s="34" t="s">
        <v>237</v>
      </c>
      <c r="E131" s="32" t="s">
        <v>1356</v>
      </c>
      <c r="F131" s="32" t="s">
        <v>1400</v>
      </c>
      <c r="G131" s="32" t="s">
        <v>1368</v>
      </c>
      <c r="H131" s="28">
        <v>1</v>
      </c>
      <c r="I131" s="28">
        <v>1</v>
      </c>
      <c r="J131" s="28"/>
      <c r="K131" s="28"/>
      <c r="L131" s="28"/>
      <c r="M131" s="28">
        <f t="shared" si="3"/>
        <v>0.6</v>
      </c>
    </row>
    <row r="132" spans="1:17" customFormat="1" ht="15.75">
      <c r="A132" s="2">
        <v>500</v>
      </c>
      <c r="B132" s="30" t="str">
        <f>VLOOKUP(C132,Sheet1!$A$2:$B$1132,2,FALSE)</f>
        <v>IMPORTANT</v>
      </c>
      <c r="C132" s="50" t="s">
        <v>897</v>
      </c>
      <c r="D132" s="5" t="s">
        <v>237</v>
      </c>
      <c r="E132" s="8" t="s">
        <v>1356</v>
      </c>
      <c r="F132" s="8" t="s">
        <v>1400</v>
      </c>
      <c r="G132" s="8" t="s">
        <v>1368</v>
      </c>
      <c r="H132" s="10"/>
      <c r="I132" s="10"/>
      <c r="J132" s="10"/>
      <c r="K132" s="10"/>
      <c r="L132" s="10"/>
      <c r="M132" s="10">
        <f t="shared" si="3"/>
        <v>0</v>
      </c>
      <c r="N132" s="38"/>
      <c r="O132" s="38"/>
      <c r="P132" s="38"/>
      <c r="Q132" s="27"/>
    </row>
    <row r="133" spans="1:17" customFormat="1" ht="15.75">
      <c r="A133" s="2">
        <v>500</v>
      </c>
      <c r="B133" s="30" t="str">
        <f>VLOOKUP(C133,Sheet1!$A$2:$B$1132,2,FALSE)</f>
        <v>IMPORTANT</v>
      </c>
      <c r="C133" s="51" t="s">
        <v>898</v>
      </c>
      <c r="D133" s="3" t="s">
        <v>237</v>
      </c>
      <c r="E133" s="8" t="s">
        <v>1356</v>
      </c>
      <c r="F133" s="8" t="s">
        <v>1400</v>
      </c>
      <c r="G133" s="8" t="s">
        <v>1368</v>
      </c>
      <c r="H133" s="10"/>
      <c r="I133" s="10"/>
      <c r="J133" s="10"/>
      <c r="K133" s="10"/>
      <c r="L133" s="10"/>
      <c r="M133" s="10">
        <f t="shared" si="3"/>
        <v>0</v>
      </c>
      <c r="N133" s="38"/>
      <c r="O133" s="38"/>
      <c r="P133" s="38"/>
      <c r="Q133" s="27"/>
    </row>
    <row r="134" spans="1:17" ht="15.75">
      <c r="A134" s="30">
        <v>500</v>
      </c>
      <c r="B134" s="30" t="str">
        <f>VLOOKUP(C134,Sheet1!$A$2:$B$1132,2,FALSE)</f>
        <v>VITAL</v>
      </c>
      <c r="C134" s="49" t="s">
        <v>701</v>
      </c>
      <c r="D134" s="31" t="s">
        <v>5</v>
      </c>
      <c r="E134" s="32" t="s">
        <v>1356</v>
      </c>
      <c r="F134" s="32" t="s">
        <v>1400</v>
      </c>
      <c r="G134" s="32" t="s">
        <v>1368</v>
      </c>
      <c r="H134" s="28">
        <v>1</v>
      </c>
      <c r="I134" s="28">
        <v>1</v>
      </c>
      <c r="J134" s="28">
        <v>1</v>
      </c>
      <c r="K134" s="28">
        <v>1</v>
      </c>
      <c r="L134" s="28">
        <v>1</v>
      </c>
      <c r="M134" s="28">
        <f t="shared" si="3"/>
        <v>1</v>
      </c>
    </row>
    <row r="135" spans="1:17" ht="15.75">
      <c r="A135" s="30">
        <v>500</v>
      </c>
      <c r="B135" s="30" t="str">
        <f>VLOOKUP(C135,Sheet1!$A$2:$B$1132,2,FALSE)</f>
        <v>VITAL</v>
      </c>
      <c r="C135" s="49" t="s">
        <v>691</v>
      </c>
      <c r="D135" s="31" t="s">
        <v>5</v>
      </c>
      <c r="E135" s="32" t="s">
        <v>1356</v>
      </c>
      <c r="F135" s="32" t="s">
        <v>1400</v>
      </c>
      <c r="G135" s="32" t="s">
        <v>1368</v>
      </c>
      <c r="H135" s="28">
        <v>1</v>
      </c>
      <c r="I135" s="28">
        <v>1</v>
      </c>
      <c r="J135" s="28">
        <v>1</v>
      </c>
      <c r="K135" s="28">
        <v>1</v>
      </c>
      <c r="L135" s="28">
        <v>1</v>
      </c>
      <c r="M135" s="28">
        <f t="shared" si="3"/>
        <v>1</v>
      </c>
    </row>
    <row r="136" spans="1:17" ht="15.75">
      <c r="A136" s="30">
        <v>500</v>
      </c>
      <c r="B136" s="30" t="str">
        <f>VLOOKUP(C136,Sheet1!$A$2:$B$1132,2,FALSE)</f>
        <v>VITAL</v>
      </c>
      <c r="C136" s="52" t="s">
        <v>702</v>
      </c>
      <c r="D136" s="34" t="s">
        <v>5</v>
      </c>
      <c r="E136" s="32" t="s">
        <v>1356</v>
      </c>
      <c r="F136" s="32" t="s">
        <v>1400</v>
      </c>
      <c r="G136" s="32" t="s">
        <v>1368</v>
      </c>
      <c r="H136" s="28">
        <v>1</v>
      </c>
      <c r="I136" s="28">
        <v>1</v>
      </c>
      <c r="J136" s="28">
        <v>1</v>
      </c>
      <c r="K136" s="28">
        <v>1</v>
      </c>
      <c r="L136" s="28">
        <v>1</v>
      </c>
      <c r="M136" s="28">
        <f t="shared" ref="M136:M199" si="4">SUMPRODUCT(H136:L136,$AA$2:$AE$2)</f>
        <v>1</v>
      </c>
    </row>
    <row r="137" spans="1:17" ht="15.75">
      <c r="A137" s="30">
        <v>500</v>
      </c>
      <c r="B137" s="30" t="str">
        <f>VLOOKUP(C137,Sheet1!$A$2:$B$1132,2,FALSE)</f>
        <v>VITAL</v>
      </c>
      <c r="C137" s="52" t="s">
        <v>694</v>
      </c>
      <c r="D137" s="34" t="s">
        <v>5</v>
      </c>
      <c r="E137" s="32" t="s">
        <v>1356</v>
      </c>
      <c r="F137" s="32" t="s">
        <v>1400</v>
      </c>
      <c r="G137" s="32" t="s">
        <v>1368</v>
      </c>
      <c r="H137" s="28">
        <v>1</v>
      </c>
      <c r="I137" s="28">
        <v>1</v>
      </c>
      <c r="J137" s="28">
        <v>1</v>
      </c>
      <c r="K137" s="28">
        <v>1</v>
      </c>
      <c r="L137" s="28">
        <v>1</v>
      </c>
      <c r="M137" s="28">
        <f t="shared" si="4"/>
        <v>1</v>
      </c>
    </row>
    <row r="138" spans="1:17" ht="15.75">
      <c r="A138" s="30">
        <v>500</v>
      </c>
      <c r="B138" s="30" t="str">
        <f>VLOOKUP(C138,Sheet1!$A$2:$B$1132,2,FALSE)</f>
        <v>VITAL</v>
      </c>
      <c r="C138" s="52" t="s">
        <v>698</v>
      </c>
      <c r="D138" s="34" t="s">
        <v>5</v>
      </c>
      <c r="E138" s="32" t="s">
        <v>1356</v>
      </c>
      <c r="F138" s="32" t="s">
        <v>1400</v>
      </c>
      <c r="G138" s="32" t="s">
        <v>1368</v>
      </c>
      <c r="H138" s="28">
        <v>1</v>
      </c>
      <c r="I138" s="28">
        <v>1</v>
      </c>
      <c r="J138" s="28">
        <v>1</v>
      </c>
      <c r="K138" s="28">
        <v>1</v>
      </c>
      <c r="L138" s="28">
        <v>1</v>
      </c>
      <c r="M138" s="28">
        <f t="shared" si="4"/>
        <v>1</v>
      </c>
    </row>
    <row r="139" spans="1:17" customFormat="1" ht="15.75">
      <c r="A139" s="2">
        <v>500</v>
      </c>
      <c r="B139" s="30" t="str">
        <f>VLOOKUP(C139,Sheet1!$A$2:$B$1132,2,FALSE)</f>
        <v>IMPORTANT</v>
      </c>
      <c r="C139" s="51" t="s">
        <v>1108</v>
      </c>
      <c r="D139" s="3" t="s">
        <v>238</v>
      </c>
      <c r="E139" s="8" t="s">
        <v>1356</v>
      </c>
      <c r="F139" s="8" t="s">
        <v>1400</v>
      </c>
      <c r="G139" s="8" t="s">
        <v>1368</v>
      </c>
      <c r="H139" s="10"/>
      <c r="I139" s="10"/>
      <c r="J139" s="10"/>
      <c r="K139" s="10"/>
      <c r="L139" s="10"/>
      <c r="M139" s="10">
        <f t="shared" si="4"/>
        <v>0</v>
      </c>
      <c r="N139" s="38"/>
      <c r="O139" s="38"/>
      <c r="P139" s="38"/>
      <c r="Q139" s="27"/>
    </row>
    <row r="140" spans="1:17" customFormat="1" ht="15.75">
      <c r="A140" s="2">
        <v>500</v>
      </c>
      <c r="B140" s="30" t="str">
        <f>VLOOKUP(C140,Sheet1!$A$2:$B$1132,2,FALSE)</f>
        <v>IMPORTANT</v>
      </c>
      <c r="C140" s="51" t="s">
        <v>1124</v>
      </c>
      <c r="D140" s="3" t="s">
        <v>108</v>
      </c>
      <c r="E140" s="1" t="s">
        <v>1372</v>
      </c>
      <c r="F140" s="8" t="s">
        <v>1400</v>
      </c>
      <c r="G140" s="8" t="s">
        <v>1368</v>
      </c>
      <c r="H140" s="10">
        <v>1</v>
      </c>
      <c r="I140" s="10">
        <v>1</v>
      </c>
      <c r="J140" s="10">
        <v>1</v>
      </c>
      <c r="K140" s="28">
        <v>1</v>
      </c>
      <c r="L140" s="28">
        <v>1</v>
      </c>
      <c r="M140" s="10">
        <f t="shared" si="4"/>
        <v>1</v>
      </c>
      <c r="N140" s="38"/>
      <c r="O140" s="38"/>
      <c r="P140" s="38"/>
      <c r="Q140" s="27"/>
    </row>
    <row r="141" spans="1:17" ht="15.75">
      <c r="A141" s="30">
        <v>500</v>
      </c>
      <c r="B141" s="30" t="str">
        <f>VLOOKUP(C141,Sheet1!$A$2:$B$1132,2,FALSE)</f>
        <v>VITAL</v>
      </c>
      <c r="C141" s="52" t="s">
        <v>684</v>
      </c>
      <c r="D141" s="34" t="s">
        <v>225</v>
      </c>
      <c r="E141" s="32" t="s">
        <v>1356</v>
      </c>
      <c r="F141" s="32" t="s">
        <v>1400</v>
      </c>
      <c r="G141" s="32" t="s">
        <v>1368</v>
      </c>
      <c r="H141" s="28">
        <v>1</v>
      </c>
      <c r="I141" s="28">
        <v>1</v>
      </c>
      <c r="J141" s="28">
        <v>1</v>
      </c>
      <c r="K141" s="28">
        <v>1</v>
      </c>
      <c r="L141" s="28">
        <v>1</v>
      </c>
      <c r="M141" s="28">
        <f t="shared" si="4"/>
        <v>1</v>
      </c>
    </row>
    <row r="142" spans="1:17" ht="15.75">
      <c r="A142" s="30">
        <v>500</v>
      </c>
      <c r="B142" s="30" t="str">
        <f>VLOOKUP(C142,Sheet1!$A$2:$B$1132,2,FALSE)</f>
        <v>VITAL</v>
      </c>
      <c r="C142" s="49" t="s">
        <v>685</v>
      </c>
      <c r="D142" s="31" t="s">
        <v>225</v>
      </c>
      <c r="E142" s="32" t="s">
        <v>1356</v>
      </c>
      <c r="F142" s="32" t="s">
        <v>1400</v>
      </c>
      <c r="G142" s="32" t="s">
        <v>1368</v>
      </c>
      <c r="H142" s="28">
        <v>1</v>
      </c>
      <c r="I142" s="28">
        <v>1</v>
      </c>
      <c r="J142" s="28">
        <v>1</v>
      </c>
      <c r="K142" s="28">
        <v>1</v>
      </c>
      <c r="L142" s="28">
        <v>1</v>
      </c>
      <c r="M142" s="28">
        <f t="shared" si="4"/>
        <v>1</v>
      </c>
    </row>
    <row r="143" spans="1:17" customFormat="1" ht="15.75">
      <c r="A143" s="2">
        <v>500</v>
      </c>
      <c r="B143" s="30" t="str">
        <f>VLOOKUP(C143,Sheet1!$A$2:$B$1132,2,FALSE)</f>
        <v>NORMAL</v>
      </c>
      <c r="C143" s="50" t="s">
        <v>1091</v>
      </c>
      <c r="D143" s="5" t="s">
        <v>243</v>
      </c>
      <c r="E143" s="8" t="s">
        <v>1362</v>
      </c>
      <c r="F143" s="8" t="s">
        <v>1400</v>
      </c>
      <c r="G143" s="8" t="s">
        <v>1368</v>
      </c>
      <c r="H143" s="10"/>
      <c r="I143" s="10"/>
      <c r="J143" s="10"/>
      <c r="K143" s="10"/>
      <c r="L143" s="10"/>
      <c r="M143" s="10">
        <f t="shared" si="4"/>
        <v>0</v>
      </c>
      <c r="N143" s="38"/>
      <c r="O143" s="38"/>
      <c r="P143" s="38"/>
      <c r="Q143" s="27"/>
    </row>
    <row r="144" spans="1:17" customFormat="1" ht="15.75">
      <c r="A144" s="2">
        <v>500</v>
      </c>
      <c r="B144" s="30" t="str">
        <f>VLOOKUP(C144,Sheet1!$A$2:$B$1132,2,FALSE)</f>
        <v>ESSENTIAL</v>
      </c>
      <c r="C144" s="50" t="s">
        <v>838</v>
      </c>
      <c r="D144" s="5" t="s">
        <v>9</v>
      </c>
      <c r="E144" s="8" t="s">
        <v>1356</v>
      </c>
      <c r="F144" s="8" t="s">
        <v>1400</v>
      </c>
      <c r="G144" s="8" t="s">
        <v>1368</v>
      </c>
      <c r="H144" s="10"/>
      <c r="I144" s="10">
        <v>1</v>
      </c>
      <c r="J144" s="10"/>
      <c r="K144" s="10"/>
      <c r="L144" s="10"/>
      <c r="M144" s="10">
        <f t="shared" si="4"/>
        <v>0.45</v>
      </c>
      <c r="N144" s="38"/>
      <c r="O144" s="38"/>
      <c r="P144" s="38"/>
      <c r="Q144" s="27"/>
    </row>
    <row r="145" spans="1:17" customFormat="1" ht="15.75">
      <c r="A145" s="2">
        <v>500</v>
      </c>
      <c r="B145" s="30" t="str">
        <f>VLOOKUP(C145,Sheet1!$A$2:$B$1132,2,FALSE)</f>
        <v>ESSENTIAL</v>
      </c>
      <c r="C145" s="51" t="s">
        <v>839</v>
      </c>
      <c r="D145" s="3" t="s">
        <v>9</v>
      </c>
      <c r="E145" s="8" t="s">
        <v>1356</v>
      </c>
      <c r="F145" s="8" t="s">
        <v>1400</v>
      </c>
      <c r="G145" s="8" t="s">
        <v>1368</v>
      </c>
      <c r="H145" s="10"/>
      <c r="I145" s="10">
        <v>1</v>
      </c>
      <c r="J145" s="10"/>
      <c r="K145" s="10"/>
      <c r="L145" s="10"/>
      <c r="M145" s="10">
        <f t="shared" si="4"/>
        <v>0.45</v>
      </c>
      <c r="N145" s="38"/>
      <c r="O145" s="38"/>
      <c r="P145" s="38"/>
      <c r="Q145" s="27"/>
    </row>
    <row r="146" spans="1:17" customFormat="1" ht="15.75">
      <c r="A146" s="2">
        <v>500</v>
      </c>
      <c r="B146" s="30" t="str">
        <f>VLOOKUP(C146,Sheet1!$A$2:$B$1132,2,FALSE)</f>
        <v>ESSENTIAL</v>
      </c>
      <c r="C146" s="50" t="s">
        <v>840</v>
      </c>
      <c r="D146" s="5" t="s">
        <v>9</v>
      </c>
      <c r="E146" s="8" t="s">
        <v>1356</v>
      </c>
      <c r="F146" s="8" t="s">
        <v>1400</v>
      </c>
      <c r="G146" s="8" t="s">
        <v>1368</v>
      </c>
      <c r="H146" s="10"/>
      <c r="I146" s="10">
        <v>1</v>
      </c>
      <c r="J146" s="10"/>
      <c r="K146" s="10"/>
      <c r="L146" s="10"/>
      <c r="M146" s="10">
        <f t="shared" si="4"/>
        <v>0.45</v>
      </c>
      <c r="N146" s="38"/>
      <c r="O146" s="38"/>
      <c r="P146" s="38"/>
      <c r="Q146" s="27"/>
    </row>
    <row r="147" spans="1:17" customFormat="1" ht="15.75">
      <c r="A147" s="2">
        <v>500</v>
      </c>
      <c r="B147" s="30" t="str">
        <f>VLOOKUP(C147,Sheet1!$A$2:$B$1132,2,FALSE)</f>
        <v>ESSENTIAL</v>
      </c>
      <c r="C147" s="51" t="s">
        <v>841</v>
      </c>
      <c r="D147" s="3" t="s">
        <v>9</v>
      </c>
      <c r="E147" s="8" t="s">
        <v>1356</v>
      </c>
      <c r="F147" s="8" t="s">
        <v>1400</v>
      </c>
      <c r="G147" s="8" t="s">
        <v>1368</v>
      </c>
      <c r="H147" s="10"/>
      <c r="I147" s="10">
        <v>1</v>
      </c>
      <c r="J147" s="10"/>
      <c r="K147" s="10"/>
      <c r="L147" s="10"/>
      <c r="M147" s="10">
        <f t="shared" si="4"/>
        <v>0.45</v>
      </c>
      <c r="N147" s="38"/>
      <c r="O147" s="38"/>
      <c r="P147" s="38"/>
      <c r="Q147" s="27"/>
    </row>
    <row r="148" spans="1:17" customFormat="1" ht="15.75">
      <c r="A148" s="2">
        <v>500</v>
      </c>
      <c r="B148" s="30" t="str">
        <f>VLOOKUP(C148,Sheet1!$A$2:$B$1132,2,FALSE)</f>
        <v>ESSENTIAL</v>
      </c>
      <c r="C148" s="50" t="s">
        <v>842</v>
      </c>
      <c r="D148" s="5" t="s">
        <v>9</v>
      </c>
      <c r="E148" s="8" t="s">
        <v>1356</v>
      </c>
      <c r="F148" s="8" t="s">
        <v>1400</v>
      </c>
      <c r="G148" s="8" t="s">
        <v>1368</v>
      </c>
      <c r="H148" s="10"/>
      <c r="I148" s="10">
        <v>1</v>
      </c>
      <c r="J148" s="10"/>
      <c r="K148" s="10"/>
      <c r="L148" s="10"/>
      <c r="M148" s="10">
        <f t="shared" si="4"/>
        <v>0.45</v>
      </c>
      <c r="N148" s="38"/>
      <c r="O148" s="38"/>
      <c r="P148" s="38"/>
      <c r="Q148" s="27"/>
    </row>
    <row r="149" spans="1:17" customFormat="1" ht="15.75">
      <c r="A149" s="2">
        <v>500</v>
      </c>
      <c r="B149" s="30" t="str">
        <f>VLOOKUP(C149,Sheet1!$A$2:$B$1132,2,FALSE)</f>
        <v>ESSENTIAL</v>
      </c>
      <c r="C149" s="51" t="s">
        <v>843</v>
      </c>
      <c r="D149" s="3" t="s">
        <v>9</v>
      </c>
      <c r="E149" s="8" t="s">
        <v>1356</v>
      </c>
      <c r="F149" s="8" t="s">
        <v>1400</v>
      </c>
      <c r="G149" s="8" t="s">
        <v>1368</v>
      </c>
      <c r="H149" s="10"/>
      <c r="I149" s="10">
        <v>1</v>
      </c>
      <c r="J149" s="10"/>
      <c r="K149" s="10"/>
      <c r="L149" s="10"/>
      <c r="M149" s="10">
        <f t="shared" si="4"/>
        <v>0.45</v>
      </c>
      <c r="N149" s="38"/>
      <c r="O149" s="38"/>
      <c r="P149" s="38"/>
      <c r="Q149" s="27"/>
    </row>
    <row r="150" spans="1:17" ht="15.75">
      <c r="A150" s="30">
        <v>500</v>
      </c>
      <c r="B150" s="30" t="str">
        <f>VLOOKUP(C150,Sheet1!$A$2:$B$1132,2,FALSE)</f>
        <v>VITAL</v>
      </c>
      <c r="C150" s="49" t="s">
        <v>711</v>
      </c>
      <c r="D150" s="31" t="s">
        <v>2</v>
      </c>
      <c r="E150" s="35" t="s">
        <v>1372</v>
      </c>
      <c r="F150" s="32" t="s">
        <v>1400</v>
      </c>
      <c r="G150" s="32" t="s">
        <v>1368</v>
      </c>
      <c r="H150" s="28">
        <v>1</v>
      </c>
      <c r="I150" s="28">
        <v>1</v>
      </c>
      <c r="J150" s="28"/>
      <c r="K150" s="28"/>
      <c r="L150" s="28"/>
      <c r="M150" s="28">
        <f t="shared" si="4"/>
        <v>0.6</v>
      </c>
    </row>
    <row r="151" spans="1:17" customFormat="1" ht="15.75">
      <c r="A151" s="2">
        <v>600</v>
      </c>
      <c r="B151" s="30" t="str">
        <f>VLOOKUP(C151,Sheet1!$A$2:$B$1132,2,FALSE)</f>
        <v>ESSENTIAL</v>
      </c>
      <c r="C151" s="51" t="s">
        <v>804</v>
      </c>
      <c r="D151" s="3" t="s">
        <v>5</v>
      </c>
      <c r="E151" s="1" t="s">
        <v>1358</v>
      </c>
      <c r="F151" s="8" t="s">
        <v>1400</v>
      </c>
      <c r="G151" s="8" t="s">
        <v>1368</v>
      </c>
      <c r="H151" s="10">
        <v>1</v>
      </c>
      <c r="I151" s="10">
        <v>1</v>
      </c>
      <c r="J151" s="10">
        <v>1</v>
      </c>
      <c r="K151" s="28">
        <v>1</v>
      </c>
      <c r="L151" s="28">
        <v>1</v>
      </c>
      <c r="M151" s="10">
        <f t="shared" si="4"/>
        <v>1</v>
      </c>
      <c r="N151" s="38"/>
      <c r="O151" s="38"/>
      <c r="P151" s="38"/>
      <c r="Q151" s="27"/>
    </row>
    <row r="152" spans="1:17" customFormat="1" ht="15.75">
      <c r="A152" s="2">
        <v>600</v>
      </c>
      <c r="B152" s="30" t="str">
        <f>VLOOKUP(C152,Sheet1!$A$2:$B$1132,2,FALSE)</f>
        <v>ESSENTIAL</v>
      </c>
      <c r="C152" s="50" t="s">
        <v>805</v>
      </c>
      <c r="D152" s="5" t="s">
        <v>5</v>
      </c>
      <c r="E152" s="1" t="s">
        <v>1358</v>
      </c>
      <c r="F152" s="8" t="s">
        <v>1400</v>
      </c>
      <c r="G152" s="8" t="s">
        <v>1368</v>
      </c>
      <c r="H152" s="10">
        <v>1</v>
      </c>
      <c r="I152" s="10">
        <v>1</v>
      </c>
      <c r="J152" s="10">
        <v>1</v>
      </c>
      <c r="K152" s="28">
        <v>1</v>
      </c>
      <c r="L152" s="28">
        <v>1</v>
      </c>
      <c r="M152" s="10">
        <f t="shared" si="4"/>
        <v>1</v>
      </c>
      <c r="N152" s="38"/>
      <c r="O152" s="38"/>
      <c r="P152" s="38"/>
      <c r="Q152" s="27"/>
    </row>
    <row r="153" spans="1:17" customFormat="1" ht="15.75">
      <c r="A153" s="2">
        <v>600</v>
      </c>
      <c r="B153" s="30" t="str">
        <f>VLOOKUP(C153,Sheet1!$A$2:$B$1132,2,FALSE)</f>
        <v>ESSENTIAL</v>
      </c>
      <c r="C153" s="51" t="s">
        <v>806</v>
      </c>
      <c r="D153" s="3" t="s">
        <v>5</v>
      </c>
      <c r="E153" s="1" t="s">
        <v>1358</v>
      </c>
      <c r="F153" s="8" t="s">
        <v>1400</v>
      </c>
      <c r="G153" s="8" t="s">
        <v>1368</v>
      </c>
      <c r="H153" s="10">
        <v>1</v>
      </c>
      <c r="I153" s="10">
        <v>1</v>
      </c>
      <c r="J153" s="10">
        <v>1</v>
      </c>
      <c r="K153" s="28">
        <v>1</v>
      </c>
      <c r="L153" s="28">
        <v>1</v>
      </c>
      <c r="M153" s="10">
        <f t="shared" si="4"/>
        <v>1</v>
      </c>
      <c r="N153" s="38"/>
      <c r="O153" s="38"/>
      <c r="P153" s="38"/>
      <c r="Q153" s="27"/>
    </row>
    <row r="154" spans="1:17" customFormat="1" ht="15.75">
      <c r="A154" s="2">
        <v>600</v>
      </c>
      <c r="B154" s="30" t="str">
        <f>VLOOKUP(C154,Sheet1!$A$2:$B$1132,2,FALSE)</f>
        <v>ESSENTIAL</v>
      </c>
      <c r="C154" s="50" t="s">
        <v>807</v>
      </c>
      <c r="D154" s="5" t="s">
        <v>5</v>
      </c>
      <c r="E154" s="1" t="s">
        <v>1358</v>
      </c>
      <c r="F154" s="8" t="s">
        <v>1400</v>
      </c>
      <c r="G154" s="8" t="s">
        <v>1368</v>
      </c>
      <c r="H154" s="10">
        <v>1</v>
      </c>
      <c r="I154" s="10">
        <v>1</v>
      </c>
      <c r="J154" s="10">
        <v>1</v>
      </c>
      <c r="K154" s="28">
        <v>1</v>
      </c>
      <c r="L154" s="28">
        <v>1</v>
      </c>
      <c r="M154" s="10">
        <f t="shared" si="4"/>
        <v>1</v>
      </c>
      <c r="N154" s="38"/>
      <c r="O154" s="38"/>
      <c r="P154" s="38"/>
      <c r="Q154" s="27"/>
    </row>
    <row r="155" spans="1:17" customFormat="1" ht="15.75">
      <c r="A155" s="2">
        <v>600</v>
      </c>
      <c r="B155" s="30" t="str">
        <f>VLOOKUP(C155,Sheet1!$A$2:$B$1132,2,FALSE)</f>
        <v>ESSENTIAL</v>
      </c>
      <c r="C155" s="51" t="s">
        <v>808</v>
      </c>
      <c r="D155" s="3" t="s">
        <v>5</v>
      </c>
      <c r="E155" s="1" t="s">
        <v>1358</v>
      </c>
      <c r="F155" s="8" t="s">
        <v>1400</v>
      </c>
      <c r="G155" s="8" t="s">
        <v>1368</v>
      </c>
      <c r="H155" s="10">
        <v>1</v>
      </c>
      <c r="I155" s="10">
        <v>1</v>
      </c>
      <c r="J155" s="10">
        <v>1</v>
      </c>
      <c r="K155" s="28">
        <v>1</v>
      </c>
      <c r="L155" s="28">
        <v>1</v>
      </c>
      <c r="M155" s="10">
        <f t="shared" si="4"/>
        <v>1</v>
      </c>
      <c r="N155" s="38"/>
      <c r="O155" s="38"/>
      <c r="P155" s="38"/>
      <c r="Q155" s="27"/>
    </row>
    <row r="156" spans="1:17" customFormat="1" ht="15.75">
      <c r="A156" s="2">
        <v>600</v>
      </c>
      <c r="B156" s="30" t="str">
        <f>VLOOKUP(C156,Sheet1!$A$2:$B$1132,2,FALSE)</f>
        <v>ESSENTIAL</v>
      </c>
      <c r="C156" s="50" t="s">
        <v>809</v>
      </c>
      <c r="D156" s="5" t="s">
        <v>5</v>
      </c>
      <c r="E156" s="1" t="s">
        <v>1358</v>
      </c>
      <c r="F156" s="8" t="s">
        <v>1400</v>
      </c>
      <c r="G156" s="8" t="s">
        <v>1368</v>
      </c>
      <c r="H156" s="10">
        <v>1</v>
      </c>
      <c r="I156" s="10">
        <v>1</v>
      </c>
      <c r="J156" s="10">
        <v>1</v>
      </c>
      <c r="K156" s="28">
        <v>1</v>
      </c>
      <c r="L156" s="28">
        <v>1</v>
      </c>
      <c r="M156" s="10">
        <f t="shared" si="4"/>
        <v>1</v>
      </c>
      <c r="N156" s="38"/>
      <c r="O156" s="38"/>
      <c r="P156" s="38"/>
      <c r="Q156" s="27"/>
    </row>
    <row r="157" spans="1:17" customFormat="1" ht="15.75">
      <c r="A157" s="2">
        <v>600</v>
      </c>
      <c r="B157" s="30" t="str">
        <f>VLOOKUP(C157,Sheet1!$A$2:$B$1132,2,FALSE)</f>
        <v>ESSENTIAL</v>
      </c>
      <c r="C157" s="50" t="s">
        <v>794</v>
      </c>
      <c r="D157" s="5" t="s">
        <v>5</v>
      </c>
      <c r="E157" s="1" t="s">
        <v>1358</v>
      </c>
      <c r="F157" s="8" t="s">
        <v>1400</v>
      </c>
      <c r="G157" s="8" t="s">
        <v>1368</v>
      </c>
      <c r="H157" s="10">
        <v>1</v>
      </c>
      <c r="I157" s="10">
        <v>1</v>
      </c>
      <c r="J157" s="10">
        <v>1</v>
      </c>
      <c r="K157" s="28">
        <v>1</v>
      </c>
      <c r="L157" s="28">
        <v>1</v>
      </c>
      <c r="M157" s="10">
        <f t="shared" si="4"/>
        <v>1</v>
      </c>
      <c r="N157" s="38"/>
      <c r="O157" s="38"/>
      <c r="P157" s="38"/>
      <c r="Q157" s="27"/>
    </row>
    <row r="158" spans="1:17" customFormat="1" ht="15.75">
      <c r="A158" s="2">
        <v>600</v>
      </c>
      <c r="B158" s="30" t="str">
        <f>VLOOKUP(C158,Sheet1!$A$2:$B$1132,2,FALSE)</f>
        <v>ESSENTIAL</v>
      </c>
      <c r="C158" s="51" t="s">
        <v>795</v>
      </c>
      <c r="D158" s="3" t="s">
        <v>5</v>
      </c>
      <c r="E158" s="1" t="s">
        <v>1358</v>
      </c>
      <c r="F158" s="8" t="s">
        <v>1400</v>
      </c>
      <c r="G158" s="8" t="s">
        <v>1368</v>
      </c>
      <c r="H158" s="10">
        <v>1</v>
      </c>
      <c r="I158" s="10">
        <v>1</v>
      </c>
      <c r="J158" s="10">
        <v>1</v>
      </c>
      <c r="K158" s="28">
        <v>1</v>
      </c>
      <c r="L158" s="28">
        <v>1</v>
      </c>
      <c r="M158" s="10">
        <f t="shared" si="4"/>
        <v>1</v>
      </c>
      <c r="N158" s="38"/>
      <c r="O158" s="38"/>
      <c r="P158" s="38"/>
      <c r="Q158" s="27"/>
    </row>
    <row r="159" spans="1:17" customFormat="1" ht="15.75">
      <c r="A159" s="2">
        <v>600</v>
      </c>
      <c r="B159" s="30" t="str">
        <f>VLOOKUP(C159,Sheet1!$A$2:$B$1132,2,FALSE)</f>
        <v>ESSENTIAL</v>
      </c>
      <c r="C159" s="50" t="s">
        <v>796</v>
      </c>
      <c r="D159" s="5" t="s">
        <v>5</v>
      </c>
      <c r="E159" s="1" t="s">
        <v>1358</v>
      </c>
      <c r="F159" s="8" t="s">
        <v>1400</v>
      </c>
      <c r="G159" s="8" t="s">
        <v>1368</v>
      </c>
      <c r="H159" s="10">
        <v>1</v>
      </c>
      <c r="I159" s="10">
        <v>1</v>
      </c>
      <c r="J159" s="10">
        <v>1</v>
      </c>
      <c r="K159" s="28">
        <v>1</v>
      </c>
      <c r="L159" s="28">
        <v>1</v>
      </c>
      <c r="M159" s="10">
        <f t="shared" si="4"/>
        <v>1</v>
      </c>
      <c r="N159" s="38"/>
      <c r="O159" s="38"/>
      <c r="P159" s="38"/>
      <c r="Q159" s="27"/>
    </row>
    <row r="160" spans="1:17" customFormat="1" ht="15.75">
      <c r="A160" s="2">
        <v>600</v>
      </c>
      <c r="B160" s="30" t="str">
        <f>VLOOKUP(C160,Sheet1!$A$2:$B$1132,2,FALSE)</f>
        <v>ESSENTIAL</v>
      </c>
      <c r="C160" s="51" t="s">
        <v>797</v>
      </c>
      <c r="D160" s="3" t="s">
        <v>5</v>
      </c>
      <c r="E160" s="1" t="s">
        <v>1358</v>
      </c>
      <c r="F160" s="8" t="s">
        <v>1400</v>
      </c>
      <c r="G160" s="8" t="s">
        <v>1368</v>
      </c>
      <c r="H160" s="10">
        <v>1</v>
      </c>
      <c r="I160" s="10">
        <v>1</v>
      </c>
      <c r="J160" s="10">
        <v>1</v>
      </c>
      <c r="K160" s="28">
        <v>1</v>
      </c>
      <c r="L160" s="28">
        <v>1</v>
      </c>
      <c r="M160" s="10">
        <f t="shared" si="4"/>
        <v>1</v>
      </c>
      <c r="N160" s="38"/>
      <c r="O160" s="38"/>
      <c r="P160" s="38"/>
      <c r="Q160" s="27"/>
    </row>
    <row r="161" spans="1:17" customFormat="1" ht="15.75">
      <c r="A161" s="2">
        <v>600</v>
      </c>
      <c r="B161" s="30" t="str">
        <f>VLOOKUP(C161,Sheet1!$A$2:$B$1132,2,FALSE)</f>
        <v>ESSENTIAL</v>
      </c>
      <c r="C161" s="50" t="s">
        <v>798</v>
      </c>
      <c r="D161" s="5" t="s">
        <v>5</v>
      </c>
      <c r="E161" s="1" t="s">
        <v>1358</v>
      </c>
      <c r="F161" s="8" t="s">
        <v>1400</v>
      </c>
      <c r="G161" s="8" t="s">
        <v>1368</v>
      </c>
      <c r="H161" s="10">
        <v>1</v>
      </c>
      <c r="I161" s="10">
        <v>1</v>
      </c>
      <c r="J161" s="10">
        <v>1</v>
      </c>
      <c r="K161" s="28">
        <v>1</v>
      </c>
      <c r="L161" s="28">
        <v>1</v>
      </c>
      <c r="M161" s="10">
        <f t="shared" si="4"/>
        <v>1</v>
      </c>
      <c r="N161" s="38"/>
      <c r="O161" s="38"/>
      <c r="P161" s="38"/>
      <c r="Q161" s="27"/>
    </row>
    <row r="162" spans="1:17" customFormat="1" ht="15.75">
      <c r="A162" s="2">
        <v>600</v>
      </c>
      <c r="B162" s="30" t="str">
        <f>VLOOKUP(C162,Sheet1!$A$2:$B$1132,2,FALSE)</f>
        <v>ESSENTIAL</v>
      </c>
      <c r="C162" s="51" t="s">
        <v>799</v>
      </c>
      <c r="D162" s="3" t="s">
        <v>5</v>
      </c>
      <c r="E162" s="1" t="s">
        <v>1358</v>
      </c>
      <c r="F162" s="8" t="s">
        <v>1400</v>
      </c>
      <c r="G162" s="8" t="s">
        <v>1368</v>
      </c>
      <c r="H162" s="10">
        <v>1</v>
      </c>
      <c r="I162" s="10">
        <v>1</v>
      </c>
      <c r="J162" s="10">
        <v>1</v>
      </c>
      <c r="K162" s="28">
        <v>1</v>
      </c>
      <c r="L162" s="28">
        <v>1</v>
      </c>
      <c r="M162" s="10">
        <f t="shared" si="4"/>
        <v>1</v>
      </c>
      <c r="N162" s="38"/>
      <c r="O162" s="38"/>
      <c r="P162" s="38"/>
      <c r="Q162" s="27"/>
    </row>
    <row r="163" spans="1:17" customFormat="1" ht="15.75">
      <c r="A163" s="2">
        <v>600</v>
      </c>
      <c r="B163" s="30" t="str">
        <f>VLOOKUP(C163,Sheet1!$A$2:$B$1132,2,FALSE)</f>
        <v>VITAL</v>
      </c>
      <c r="C163" s="50" t="s">
        <v>753</v>
      </c>
      <c r="D163" s="5" t="s">
        <v>5</v>
      </c>
      <c r="E163" s="1" t="s">
        <v>1358</v>
      </c>
      <c r="F163" s="8" t="s">
        <v>1400</v>
      </c>
      <c r="G163" s="8" t="s">
        <v>1368</v>
      </c>
      <c r="H163" s="10">
        <v>1</v>
      </c>
      <c r="I163" s="10">
        <v>1</v>
      </c>
      <c r="J163" s="10">
        <v>1</v>
      </c>
      <c r="K163" s="28">
        <v>1</v>
      </c>
      <c r="L163" s="28">
        <v>1</v>
      </c>
      <c r="M163" s="10">
        <f t="shared" si="4"/>
        <v>1</v>
      </c>
      <c r="N163" s="38"/>
      <c r="O163" s="38"/>
      <c r="P163" s="38"/>
      <c r="Q163" s="27"/>
    </row>
    <row r="164" spans="1:17" customFormat="1" ht="15.75">
      <c r="A164" s="2">
        <v>600</v>
      </c>
      <c r="B164" s="30" t="str">
        <f>VLOOKUP(C164,Sheet1!$A$2:$B$1132,2,FALSE)</f>
        <v>VITAL</v>
      </c>
      <c r="C164" s="51" t="s">
        <v>754</v>
      </c>
      <c r="D164" s="3" t="s">
        <v>5</v>
      </c>
      <c r="E164" s="1" t="s">
        <v>1358</v>
      </c>
      <c r="F164" s="8" t="s">
        <v>1400</v>
      </c>
      <c r="G164" s="8" t="s">
        <v>1368</v>
      </c>
      <c r="H164" s="10">
        <v>1</v>
      </c>
      <c r="I164" s="10">
        <v>1</v>
      </c>
      <c r="J164" s="10">
        <v>1</v>
      </c>
      <c r="K164" s="28">
        <v>1</v>
      </c>
      <c r="L164" s="28">
        <v>1</v>
      </c>
      <c r="M164" s="10">
        <f t="shared" si="4"/>
        <v>1</v>
      </c>
      <c r="N164" s="38"/>
      <c r="O164" s="38"/>
      <c r="P164" s="38"/>
      <c r="Q164" s="27"/>
    </row>
    <row r="165" spans="1:17" customFormat="1" ht="15.75">
      <c r="A165" s="2">
        <v>600</v>
      </c>
      <c r="B165" s="30" t="str">
        <f>VLOOKUP(C165,Sheet1!$A$2:$B$1132,2,FALSE)</f>
        <v>IMPORTANT</v>
      </c>
      <c r="C165" s="50" t="s">
        <v>933</v>
      </c>
      <c r="D165" s="5" t="s">
        <v>106</v>
      </c>
      <c r="E165" s="1" t="s">
        <v>1358</v>
      </c>
      <c r="F165" s="8" t="s">
        <v>1400</v>
      </c>
      <c r="G165" s="8" t="s">
        <v>1368</v>
      </c>
      <c r="H165" s="10">
        <v>1</v>
      </c>
      <c r="I165" s="10"/>
      <c r="J165" s="10">
        <v>1</v>
      </c>
      <c r="K165" s="10"/>
      <c r="L165" s="10"/>
      <c r="M165" s="10">
        <f t="shared" si="4"/>
        <v>0.43000000000000005</v>
      </c>
      <c r="N165" s="38"/>
      <c r="O165" s="38"/>
      <c r="P165" s="38"/>
      <c r="Q165" s="27"/>
    </row>
    <row r="166" spans="1:17" customFormat="1" ht="15.75">
      <c r="A166" s="2">
        <v>600</v>
      </c>
      <c r="B166" s="30" t="str">
        <f>VLOOKUP(C166,Sheet1!$A$2:$B$1132,2,FALSE)</f>
        <v>IMPORTANT</v>
      </c>
      <c r="C166" s="51" t="s">
        <v>934</v>
      </c>
      <c r="D166" s="3" t="s">
        <v>106</v>
      </c>
      <c r="E166" s="1" t="s">
        <v>1358</v>
      </c>
      <c r="F166" s="8" t="s">
        <v>1400</v>
      </c>
      <c r="G166" s="8" t="s">
        <v>1368</v>
      </c>
      <c r="H166" s="10">
        <v>1</v>
      </c>
      <c r="I166" s="10"/>
      <c r="J166" s="10">
        <v>1</v>
      </c>
      <c r="K166" s="10"/>
      <c r="L166" s="10"/>
      <c r="M166" s="10">
        <f t="shared" si="4"/>
        <v>0.43000000000000005</v>
      </c>
      <c r="N166" s="38"/>
      <c r="O166" s="38"/>
      <c r="P166" s="38"/>
      <c r="Q166" s="27"/>
    </row>
    <row r="167" spans="1:17" customFormat="1" ht="15.75">
      <c r="A167" s="2">
        <v>600</v>
      </c>
      <c r="B167" s="30" t="str">
        <f>VLOOKUP(C167,Sheet1!$A$2:$B$1132,2,FALSE)</f>
        <v>IMPORTANT</v>
      </c>
      <c r="C167" s="50" t="s">
        <v>935</v>
      </c>
      <c r="D167" s="5" t="s">
        <v>106</v>
      </c>
      <c r="E167" s="1" t="s">
        <v>1358</v>
      </c>
      <c r="F167" s="8" t="s">
        <v>1400</v>
      </c>
      <c r="G167" s="8" t="s">
        <v>1368</v>
      </c>
      <c r="H167" s="10">
        <v>1</v>
      </c>
      <c r="I167" s="10"/>
      <c r="J167" s="10">
        <v>1</v>
      </c>
      <c r="K167" s="10"/>
      <c r="L167" s="10"/>
      <c r="M167" s="10">
        <f t="shared" si="4"/>
        <v>0.43000000000000005</v>
      </c>
      <c r="N167" s="38"/>
      <c r="O167" s="38"/>
      <c r="P167" s="38"/>
      <c r="Q167" s="27"/>
    </row>
    <row r="168" spans="1:17" customFormat="1" ht="15.75">
      <c r="A168" s="2">
        <v>600</v>
      </c>
      <c r="B168" s="30" t="str">
        <f>VLOOKUP(C168,Sheet1!$A$2:$B$1132,2,FALSE)</f>
        <v>IMPORTANT</v>
      </c>
      <c r="C168" s="51" t="s">
        <v>936</v>
      </c>
      <c r="D168" s="3" t="s">
        <v>106</v>
      </c>
      <c r="E168" s="1" t="s">
        <v>1358</v>
      </c>
      <c r="F168" s="8" t="s">
        <v>1400</v>
      </c>
      <c r="G168" s="8" t="s">
        <v>1368</v>
      </c>
      <c r="H168" s="10">
        <v>1</v>
      </c>
      <c r="I168" s="10"/>
      <c r="J168" s="10">
        <v>1</v>
      </c>
      <c r="K168" s="10"/>
      <c r="L168" s="10"/>
      <c r="M168" s="10">
        <f t="shared" si="4"/>
        <v>0.43000000000000005</v>
      </c>
      <c r="N168" s="38"/>
      <c r="O168" s="38"/>
      <c r="P168" s="38"/>
      <c r="Q168" s="27"/>
    </row>
    <row r="169" spans="1:17" customFormat="1" ht="15.75">
      <c r="A169" s="2">
        <v>600</v>
      </c>
      <c r="B169" s="30" t="str">
        <f>VLOOKUP(C169,Sheet1!$A$2:$B$1132,2,FALSE)</f>
        <v>IMPORTANT</v>
      </c>
      <c r="C169" s="50" t="s">
        <v>937</v>
      </c>
      <c r="D169" s="5" t="s">
        <v>106</v>
      </c>
      <c r="E169" s="1" t="s">
        <v>1358</v>
      </c>
      <c r="F169" s="8" t="s">
        <v>1400</v>
      </c>
      <c r="G169" s="8" t="s">
        <v>1368</v>
      </c>
      <c r="H169" s="10">
        <v>1</v>
      </c>
      <c r="I169" s="10"/>
      <c r="J169" s="10">
        <v>1</v>
      </c>
      <c r="K169" s="10"/>
      <c r="L169" s="10"/>
      <c r="M169" s="10">
        <f t="shared" si="4"/>
        <v>0.43000000000000005</v>
      </c>
      <c r="N169" s="38"/>
      <c r="O169" s="38"/>
      <c r="P169" s="38"/>
      <c r="Q169" s="27"/>
    </row>
    <row r="170" spans="1:17" customFormat="1" ht="15.75">
      <c r="A170" s="2">
        <v>600</v>
      </c>
      <c r="B170" s="30" t="str">
        <f>VLOOKUP(C170,Sheet1!$A$2:$B$1132,2,FALSE)</f>
        <v>IMPORTANT</v>
      </c>
      <c r="C170" s="51" t="s">
        <v>938</v>
      </c>
      <c r="D170" s="3" t="s">
        <v>106</v>
      </c>
      <c r="E170" s="1" t="s">
        <v>1358</v>
      </c>
      <c r="F170" s="8" t="s">
        <v>1400</v>
      </c>
      <c r="G170" s="8" t="s">
        <v>1368</v>
      </c>
      <c r="H170" s="10">
        <v>1</v>
      </c>
      <c r="I170" s="10"/>
      <c r="J170" s="10">
        <v>1</v>
      </c>
      <c r="K170" s="10"/>
      <c r="L170" s="10"/>
      <c r="M170" s="10">
        <f t="shared" si="4"/>
        <v>0.43000000000000005</v>
      </c>
      <c r="N170" s="38"/>
      <c r="O170" s="38"/>
      <c r="P170" s="38"/>
      <c r="Q170" s="27"/>
    </row>
    <row r="171" spans="1:17" customFormat="1" ht="15.75">
      <c r="A171" s="2">
        <v>600</v>
      </c>
      <c r="B171" s="30" t="str">
        <f>VLOOKUP(C171,Sheet1!$A$2:$B$1132,2,FALSE)</f>
        <v>NORMAL</v>
      </c>
      <c r="C171" s="50" t="s">
        <v>1068</v>
      </c>
      <c r="D171" s="5" t="s">
        <v>162</v>
      </c>
      <c r="E171" s="1" t="s">
        <v>1358</v>
      </c>
      <c r="F171" s="8" t="s">
        <v>1400</v>
      </c>
      <c r="G171" s="8" t="s">
        <v>1368</v>
      </c>
      <c r="H171" s="10">
        <v>1</v>
      </c>
      <c r="I171" s="10">
        <v>1</v>
      </c>
      <c r="J171" s="10">
        <v>1</v>
      </c>
      <c r="K171" s="28">
        <v>1</v>
      </c>
      <c r="L171" s="28">
        <v>1</v>
      </c>
      <c r="M171" s="10">
        <f t="shared" si="4"/>
        <v>1</v>
      </c>
      <c r="N171" s="38"/>
      <c r="O171" s="38"/>
      <c r="P171" s="38"/>
      <c r="Q171" s="27"/>
    </row>
    <row r="172" spans="1:17" customFormat="1" ht="15.75">
      <c r="A172" s="2">
        <v>600</v>
      </c>
      <c r="B172" s="30" t="str">
        <f>VLOOKUP(C172,Sheet1!$A$2:$B$1132,2,FALSE)</f>
        <v>NORMAL</v>
      </c>
      <c r="C172" s="51" t="s">
        <v>1069</v>
      </c>
      <c r="D172" s="3" t="s">
        <v>162</v>
      </c>
      <c r="E172" s="1" t="s">
        <v>1358</v>
      </c>
      <c r="F172" s="8" t="s">
        <v>1400</v>
      </c>
      <c r="G172" s="8" t="s">
        <v>1368</v>
      </c>
      <c r="H172" s="10">
        <v>1</v>
      </c>
      <c r="I172" s="10">
        <v>1</v>
      </c>
      <c r="J172" s="10">
        <v>1</v>
      </c>
      <c r="K172" s="28">
        <v>1</v>
      </c>
      <c r="L172" s="28">
        <v>1</v>
      </c>
      <c r="M172" s="10">
        <f t="shared" si="4"/>
        <v>1</v>
      </c>
      <c r="N172" s="38"/>
      <c r="O172" s="38"/>
      <c r="P172" s="38"/>
      <c r="Q172" s="27"/>
    </row>
    <row r="173" spans="1:17" customFormat="1" ht="15.75">
      <c r="A173" s="2">
        <v>600</v>
      </c>
      <c r="B173" s="30" t="str">
        <f>VLOOKUP(C173,Sheet1!$A$2:$B$1132,2,FALSE)</f>
        <v>NORMAL</v>
      </c>
      <c r="C173" s="50" t="s">
        <v>1070</v>
      </c>
      <c r="D173" s="5" t="s">
        <v>162</v>
      </c>
      <c r="E173" s="1" t="s">
        <v>1358</v>
      </c>
      <c r="F173" s="8" t="s">
        <v>1400</v>
      </c>
      <c r="G173" s="8" t="s">
        <v>1368</v>
      </c>
      <c r="H173" s="10">
        <v>1</v>
      </c>
      <c r="I173" s="10">
        <v>1</v>
      </c>
      <c r="J173" s="10">
        <v>1</v>
      </c>
      <c r="K173" s="28">
        <v>1</v>
      </c>
      <c r="L173" s="28">
        <v>1</v>
      </c>
      <c r="M173" s="10">
        <f t="shared" si="4"/>
        <v>1</v>
      </c>
      <c r="N173" s="38"/>
      <c r="O173" s="38"/>
      <c r="P173" s="38"/>
      <c r="Q173" s="27"/>
    </row>
    <row r="174" spans="1:17" customFormat="1" ht="15.75">
      <c r="A174" s="2">
        <v>600</v>
      </c>
      <c r="B174" s="30" t="str">
        <f>VLOOKUP(C174,Sheet1!$A$2:$B$1132,2,FALSE)</f>
        <v>NORMAL</v>
      </c>
      <c r="C174" s="51" t="s">
        <v>1071</v>
      </c>
      <c r="D174" s="3" t="s">
        <v>162</v>
      </c>
      <c r="E174" s="1" t="s">
        <v>1358</v>
      </c>
      <c r="F174" s="8" t="s">
        <v>1400</v>
      </c>
      <c r="G174" s="8" t="s">
        <v>1368</v>
      </c>
      <c r="H174" s="10">
        <v>1</v>
      </c>
      <c r="I174" s="10">
        <v>1</v>
      </c>
      <c r="J174" s="10">
        <v>1</v>
      </c>
      <c r="K174" s="28">
        <v>1</v>
      </c>
      <c r="L174" s="28">
        <v>1</v>
      </c>
      <c r="M174" s="10">
        <f t="shared" si="4"/>
        <v>1</v>
      </c>
      <c r="N174" s="38"/>
      <c r="O174" s="38"/>
      <c r="P174" s="38"/>
      <c r="Q174" s="27"/>
    </row>
    <row r="175" spans="1:17" customFormat="1" ht="15.75">
      <c r="A175" s="2">
        <v>600</v>
      </c>
      <c r="B175" s="30" t="str">
        <f>VLOOKUP(C175,Sheet1!$A$2:$B$1132,2,FALSE)</f>
        <v>NORMAL</v>
      </c>
      <c r="C175" s="50" t="s">
        <v>1072</v>
      </c>
      <c r="D175" s="5" t="s">
        <v>162</v>
      </c>
      <c r="E175" s="1" t="s">
        <v>1358</v>
      </c>
      <c r="F175" s="8" t="s">
        <v>1400</v>
      </c>
      <c r="G175" s="8" t="s">
        <v>1368</v>
      </c>
      <c r="H175" s="10">
        <v>1</v>
      </c>
      <c r="I175" s="10">
        <v>1</v>
      </c>
      <c r="J175" s="10">
        <v>1</v>
      </c>
      <c r="K175" s="28">
        <v>1</v>
      </c>
      <c r="L175" s="28">
        <v>1</v>
      </c>
      <c r="M175" s="10">
        <f t="shared" si="4"/>
        <v>1</v>
      </c>
      <c r="N175" s="38"/>
      <c r="O175" s="38"/>
      <c r="P175" s="38"/>
      <c r="Q175" s="27"/>
    </row>
    <row r="176" spans="1:17" customFormat="1" ht="15.75">
      <c r="A176" s="2">
        <v>600</v>
      </c>
      <c r="B176" s="30" t="str">
        <f>VLOOKUP(C176,Sheet1!$A$2:$B$1132,2,FALSE)</f>
        <v>NORMAL</v>
      </c>
      <c r="C176" s="51" t="s">
        <v>1073</v>
      </c>
      <c r="D176" s="3" t="s">
        <v>162</v>
      </c>
      <c r="E176" s="1" t="s">
        <v>1358</v>
      </c>
      <c r="F176" s="8" t="s">
        <v>1400</v>
      </c>
      <c r="G176" s="8" t="s">
        <v>1368</v>
      </c>
      <c r="H176" s="10">
        <v>1</v>
      </c>
      <c r="I176" s="10">
        <v>1</v>
      </c>
      <c r="J176" s="10">
        <v>1</v>
      </c>
      <c r="K176" s="28">
        <v>1</v>
      </c>
      <c r="L176" s="28">
        <v>1</v>
      </c>
      <c r="M176" s="10">
        <f t="shared" si="4"/>
        <v>1</v>
      </c>
      <c r="N176" s="38"/>
      <c r="O176" s="38"/>
      <c r="P176" s="38"/>
      <c r="Q176" s="27"/>
    </row>
    <row r="177" spans="1:17" customFormat="1" ht="15.75">
      <c r="A177" s="2">
        <v>600</v>
      </c>
      <c r="B177" s="30" t="str">
        <f>VLOOKUP(C177,Sheet1!$A$2:$B$1132,2,FALSE)</f>
        <v>NORMAL</v>
      </c>
      <c r="C177" s="50" t="s">
        <v>1074</v>
      </c>
      <c r="D177" s="5" t="s">
        <v>162</v>
      </c>
      <c r="E177" s="1" t="s">
        <v>1358</v>
      </c>
      <c r="F177" s="8" t="s">
        <v>1400</v>
      </c>
      <c r="G177" s="8" t="s">
        <v>1368</v>
      </c>
      <c r="H177" s="10">
        <v>1</v>
      </c>
      <c r="I177" s="10">
        <v>1</v>
      </c>
      <c r="J177" s="10">
        <v>1</v>
      </c>
      <c r="K177" s="28">
        <v>1</v>
      </c>
      <c r="L177" s="28">
        <v>1</v>
      </c>
      <c r="M177" s="10">
        <f t="shared" si="4"/>
        <v>1</v>
      </c>
      <c r="N177" s="38"/>
      <c r="O177" s="38"/>
      <c r="P177" s="38"/>
      <c r="Q177" s="27"/>
    </row>
    <row r="178" spans="1:17" customFormat="1" ht="15.75">
      <c r="A178" s="2">
        <v>600</v>
      </c>
      <c r="B178" s="30" t="str">
        <f>VLOOKUP(C178,Sheet1!$A$2:$B$1132,2,FALSE)</f>
        <v>NORMAL</v>
      </c>
      <c r="C178" s="51" t="s">
        <v>1075</v>
      </c>
      <c r="D178" s="3" t="s">
        <v>162</v>
      </c>
      <c r="E178" s="1" t="s">
        <v>1358</v>
      </c>
      <c r="F178" s="8" t="s">
        <v>1400</v>
      </c>
      <c r="G178" s="8" t="s">
        <v>1368</v>
      </c>
      <c r="H178" s="10">
        <v>1</v>
      </c>
      <c r="I178" s="10">
        <v>1</v>
      </c>
      <c r="J178" s="10">
        <v>1</v>
      </c>
      <c r="K178" s="28">
        <v>1</v>
      </c>
      <c r="L178" s="28">
        <v>1</v>
      </c>
      <c r="M178" s="10">
        <f t="shared" si="4"/>
        <v>1</v>
      </c>
      <c r="N178" s="38"/>
      <c r="O178" s="38"/>
      <c r="P178" s="38"/>
      <c r="Q178" s="27"/>
    </row>
    <row r="179" spans="1:17" ht="15.75">
      <c r="A179" s="30">
        <v>600</v>
      </c>
      <c r="B179" s="30" t="str">
        <f>VLOOKUP(C179,Sheet1!$A$2:$B$1132,2,FALSE)</f>
        <v>VITAL</v>
      </c>
      <c r="C179" s="52" t="s">
        <v>718</v>
      </c>
      <c r="D179" s="34" t="s">
        <v>157</v>
      </c>
      <c r="E179" s="35" t="s">
        <v>1358</v>
      </c>
      <c r="F179" s="32" t="s">
        <v>1400</v>
      </c>
      <c r="G179" s="32" t="s">
        <v>1368</v>
      </c>
      <c r="H179" s="28">
        <v>1</v>
      </c>
      <c r="I179" s="28">
        <v>1</v>
      </c>
      <c r="J179" s="28">
        <v>1</v>
      </c>
      <c r="K179" s="28">
        <v>1</v>
      </c>
      <c r="L179" s="28">
        <v>1</v>
      </c>
      <c r="M179" s="28">
        <f t="shared" si="4"/>
        <v>1</v>
      </c>
    </row>
    <row r="180" spans="1:17" ht="15.75">
      <c r="A180" s="30">
        <v>600</v>
      </c>
      <c r="B180" s="30" t="str">
        <f>VLOOKUP(C180,Sheet1!$A$2:$B$1132,2,FALSE)</f>
        <v>VITAL</v>
      </c>
      <c r="C180" s="49" t="s">
        <v>719</v>
      </c>
      <c r="D180" s="31" t="s">
        <v>157</v>
      </c>
      <c r="E180" s="35" t="s">
        <v>1358</v>
      </c>
      <c r="F180" s="32" t="s">
        <v>1400</v>
      </c>
      <c r="G180" s="32" t="s">
        <v>1368</v>
      </c>
      <c r="H180" s="28">
        <v>1</v>
      </c>
      <c r="I180" s="28">
        <v>1</v>
      </c>
      <c r="J180" s="28">
        <v>1</v>
      </c>
      <c r="K180" s="28">
        <v>1</v>
      </c>
      <c r="L180" s="28">
        <v>1</v>
      </c>
      <c r="M180" s="28">
        <f t="shared" si="4"/>
        <v>1</v>
      </c>
    </row>
    <row r="181" spans="1:17" ht="15.75">
      <c r="A181" s="30">
        <v>600</v>
      </c>
      <c r="B181" s="30" t="str">
        <f>VLOOKUP(C181,Sheet1!$A$2:$B$1132,2,FALSE)</f>
        <v>VITAL</v>
      </c>
      <c r="C181" s="52" t="s">
        <v>720</v>
      </c>
      <c r="D181" s="34" t="s">
        <v>157</v>
      </c>
      <c r="E181" s="35" t="s">
        <v>1358</v>
      </c>
      <c r="F181" s="32" t="s">
        <v>1400</v>
      </c>
      <c r="G181" s="32" t="s">
        <v>1368</v>
      </c>
      <c r="H181" s="28">
        <v>1</v>
      </c>
      <c r="I181" s="28">
        <v>1</v>
      </c>
      <c r="J181" s="28">
        <v>1</v>
      </c>
      <c r="K181" s="28">
        <v>1</v>
      </c>
      <c r="L181" s="28">
        <v>1</v>
      </c>
      <c r="M181" s="28">
        <f t="shared" si="4"/>
        <v>1</v>
      </c>
    </row>
    <row r="182" spans="1:17" ht="15.75">
      <c r="A182" s="30">
        <v>600</v>
      </c>
      <c r="B182" s="30" t="str">
        <f>VLOOKUP(C182,Sheet1!$A$2:$B$1132,2,FALSE)</f>
        <v>VITAL</v>
      </c>
      <c r="C182" s="49" t="s">
        <v>721</v>
      </c>
      <c r="D182" s="31" t="s">
        <v>157</v>
      </c>
      <c r="E182" s="35" t="s">
        <v>1358</v>
      </c>
      <c r="F182" s="32" t="s">
        <v>1400</v>
      </c>
      <c r="G182" s="32" t="s">
        <v>1368</v>
      </c>
      <c r="H182" s="28">
        <v>1</v>
      </c>
      <c r="I182" s="28">
        <v>1</v>
      </c>
      <c r="J182" s="28">
        <v>1</v>
      </c>
      <c r="K182" s="28">
        <v>1</v>
      </c>
      <c r="L182" s="28">
        <v>1</v>
      </c>
      <c r="M182" s="28">
        <f t="shared" si="4"/>
        <v>1</v>
      </c>
    </row>
    <row r="183" spans="1:17" ht="15.75">
      <c r="A183" s="30">
        <v>600</v>
      </c>
      <c r="B183" s="30" t="str">
        <f>VLOOKUP(C183,Sheet1!$A$2:$B$1132,2,FALSE)</f>
        <v>VITAL</v>
      </c>
      <c r="C183" s="52" t="s">
        <v>722</v>
      </c>
      <c r="D183" s="34" t="s">
        <v>157</v>
      </c>
      <c r="E183" s="35" t="s">
        <v>1358</v>
      </c>
      <c r="F183" s="32" t="s">
        <v>1400</v>
      </c>
      <c r="G183" s="32" t="s">
        <v>1368</v>
      </c>
      <c r="H183" s="28">
        <v>1</v>
      </c>
      <c r="I183" s="28">
        <v>1</v>
      </c>
      <c r="J183" s="28">
        <v>1</v>
      </c>
      <c r="K183" s="28">
        <v>1</v>
      </c>
      <c r="L183" s="28">
        <v>1</v>
      </c>
      <c r="M183" s="28">
        <f t="shared" si="4"/>
        <v>1</v>
      </c>
    </row>
    <row r="184" spans="1:17" ht="15.75">
      <c r="A184" s="30">
        <v>600</v>
      </c>
      <c r="B184" s="30" t="str">
        <f>VLOOKUP(C184,Sheet1!$A$2:$B$1132,2,FALSE)</f>
        <v>VITAL</v>
      </c>
      <c r="C184" s="49" t="s">
        <v>723</v>
      </c>
      <c r="D184" s="31" t="s">
        <v>157</v>
      </c>
      <c r="E184" s="35" t="s">
        <v>1358</v>
      </c>
      <c r="F184" s="32" t="s">
        <v>1400</v>
      </c>
      <c r="G184" s="32" t="s">
        <v>1368</v>
      </c>
      <c r="H184" s="28">
        <v>1</v>
      </c>
      <c r="I184" s="28">
        <v>1</v>
      </c>
      <c r="J184" s="28">
        <v>1</v>
      </c>
      <c r="K184" s="28">
        <v>1</v>
      </c>
      <c r="L184" s="28">
        <v>1</v>
      </c>
      <c r="M184" s="28">
        <f t="shared" si="4"/>
        <v>1</v>
      </c>
    </row>
    <row r="185" spans="1:17" ht="15.75">
      <c r="A185" s="30">
        <v>600</v>
      </c>
      <c r="B185" s="30" t="str">
        <f>VLOOKUP(C185,Sheet1!$A$2:$B$1132,2,FALSE)</f>
        <v>VITAL</v>
      </c>
      <c r="C185" s="49" t="s">
        <v>673</v>
      </c>
      <c r="D185" s="31" t="s">
        <v>228</v>
      </c>
      <c r="E185" s="35" t="s">
        <v>1358</v>
      </c>
      <c r="F185" s="32" t="s">
        <v>1400</v>
      </c>
      <c r="G185" s="32" t="s">
        <v>1368</v>
      </c>
      <c r="H185" s="28">
        <v>1</v>
      </c>
      <c r="I185" s="28">
        <v>1</v>
      </c>
      <c r="J185" s="28">
        <v>1</v>
      </c>
      <c r="K185" s="28">
        <v>1</v>
      </c>
      <c r="L185" s="28">
        <v>1</v>
      </c>
      <c r="M185" s="28">
        <f t="shared" si="4"/>
        <v>1</v>
      </c>
    </row>
    <row r="186" spans="1:17" ht="15.75">
      <c r="A186" s="30">
        <v>600</v>
      </c>
      <c r="B186" s="30" t="str">
        <f>VLOOKUP(C186,Sheet1!$A$2:$B$1132,2,FALSE)</f>
        <v>VITAL</v>
      </c>
      <c r="C186" s="49" t="s">
        <v>669</v>
      </c>
      <c r="D186" s="31" t="s">
        <v>197</v>
      </c>
      <c r="E186" s="35" t="s">
        <v>1358</v>
      </c>
      <c r="F186" s="32" t="s">
        <v>1400</v>
      </c>
      <c r="G186" s="32" t="s">
        <v>1368</v>
      </c>
      <c r="H186" s="28">
        <v>1</v>
      </c>
      <c r="I186" s="28">
        <v>1</v>
      </c>
      <c r="J186" s="28">
        <v>1</v>
      </c>
      <c r="K186" s="28">
        <v>1</v>
      </c>
      <c r="L186" s="28">
        <v>1</v>
      </c>
      <c r="M186" s="28">
        <f t="shared" si="4"/>
        <v>1</v>
      </c>
    </row>
    <row r="187" spans="1:17" ht="15.75">
      <c r="A187" s="30">
        <v>600</v>
      </c>
      <c r="B187" s="30" t="str">
        <f>VLOOKUP(C187,Sheet1!$A$2:$B$1132,2,FALSE)</f>
        <v>VITAL</v>
      </c>
      <c r="C187" s="52" t="s">
        <v>1371</v>
      </c>
      <c r="D187" s="34" t="s">
        <v>198</v>
      </c>
      <c r="E187" s="35" t="s">
        <v>1358</v>
      </c>
      <c r="F187" s="32" t="s">
        <v>1400</v>
      </c>
      <c r="G187" s="32" t="s">
        <v>1368</v>
      </c>
      <c r="H187" s="28">
        <v>1</v>
      </c>
      <c r="I187" s="28">
        <v>1</v>
      </c>
      <c r="J187" s="28">
        <v>1</v>
      </c>
      <c r="K187" s="28">
        <v>1</v>
      </c>
      <c r="L187" s="28">
        <v>1</v>
      </c>
      <c r="M187" s="28">
        <f t="shared" si="4"/>
        <v>1</v>
      </c>
    </row>
    <row r="188" spans="1:17" ht="15.75">
      <c r="A188" s="30">
        <v>600</v>
      </c>
      <c r="B188" s="30" t="str">
        <f>VLOOKUP(C188,Sheet1!$A$2:$B$1132,2,FALSE)</f>
        <v>VITAL</v>
      </c>
      <c r="C188" s="52" t="s">
        <v>725</v>
      </c>
      <c r="D188" s="34" t="s">
        <v>198</v>
      </c>
      <c r="E188" s="35" t="s">
        <v>1358</v>
      </c>
      <c r="F188" s="32" t="s">
        <v>1400</v>
      </c>
      <c r="G188" s="32" t="s">
        <v>1368</v>
      </c>
      <c r="H188" s="28">
        <v>1</v>
      </c>
      <c r="I188" s="28">
        <v>1</v>
      </c>
      <c r="J188" s="28">
        <v>1</v>
      </c>
      <c r="K188" s="28">
        <v>1</v>
      </c>
      <c r="L188" s="28">
        <v>1</v>
      </c>
      <c r="M188" s="28">
        <f t="shared" si="4"/>
        <v>1</v>
      </c>
    </row>
    <row r="189" spans="1:17" ht="15.75">
      <c r="A189" s="30">
        <v>600</v>
      </c>
      <c r="B189" s="30" t="str">
        <f>VLOOKUP(C189,Sheet1!$A$2:$B$1132,2,FALSE)</f>
        <v>VITAL</v>
      </c>
      <c r="C189" s="49" t="s">
        <v>726</v>
      </c>
      <c r="D189" s="31" t="s">
        <v>198</v>
      </c>
      <c r="E189" s="35" t="s">
        <v>1358</v>
      </c>
      <c r="F189" s="32" t="s">
        <v>1400</v>
      </c>
      <c r="G189" s="32" t="s">
        <v>1368</v>
      </c>
      <c r="H189" s="28">
        <v>1</v>
      </c>
      <c r="I189" s="28">
        <v>1</v>
      </c>
      <c r="J189" s="28">
        <v>1</v>
      </c>
      <c r="K189" s="28">
        <v>1</v>
      </c>
      <c r="L189" s="28">
        <v>1</v>
      </c>
      <c r="M189" s="28">
        <f t="shared" si="4"/>
        <v>1</v>
      </c>
    </row>
    <row r="190" spans="1:17" ht="15.75">
      <c r="A190" s="30">
        <v>600</v>
      </c>
      <c r="B190" s="30" t="str">
        <f>VLOOKUP(C190,Sheet1!$A$2:$B$1132,2,FALSE)</f>
        <v>VITAL</v>
      </c>
      <c r="C190" s="52" t="s">
        <v>727</v>
      </c>
      <c r="D190" s="34" t="s">
        <v>198</v>
      </c>
      <c r="E190" s="35" t="s">
        <v>1358</v>
      </c>
      <c r="F190" s="32" t="s">
        <v>1400</v>
      </c>
      <c r="G190" s="32" t="s">
        <v>1368</v>
      </c>
      <c r="H190" s="28">
        <v>1</v>
      </c>
      <c r="I190" s="28">
        <v>1</v>
      </c>
      <c r="J190" s="28">
        <v>1</v>
      </c>
      <c r="K190" s="28">
        <v>1</v>
      </c>
      <c r="L190" s="28">
        <v>1</v>
      </c>
      <c r="M190" s="28">
        <f t="shared" si="4"/>
        <v>1</v>
      </c>
    </row>
    <row r="191" spans="1:17" ht="15.75">
      <c r="A191" s="30">
        <v>600</v>
      </c>
      <c r="B191" s="30" t="str">
        <f>VLOOKUP(C191,Sheet1!$A$2:$B$1132,2,FALSE)</f>
        <v>VITAL</v>
      </c>
      <c r="C191" s="49" t="s">
        <v>728</v>
      </c>
      <c r="D191" s="31" t="s">
        <v>198</v>
      </c>
      <c r="E191" s="35" t="s">
        <v>1358</v>
      </c>
      <c r="F191" s="32" t="s">
        <v>1400</v>
      </c>
      <c r="G191" s="32" t="s">
        <v>1368</v>
      </c>
      <c r="H191" s="28">
        <v>1</v>
      </c>
      <c r="I191" s="28">
        <v>1</v>
      </c>
      <c r="J191" s="28">
        <v>1</v>
      </c>
      <c r="K191" s="28">
        <v>1</v>
      </c>
      <c r="L191" s="28">
        <v>1</v>
      </c>
      <c r="M191" s="28">
        <f t="shared" si="4"/>
        <v>1</v>
      </c>
    </row>
    <row r="192" spans="1:17" ht="15.75">
      <c r="A192" s="30">
        <v>600</v>
      </c>
      <c r="B192" s="30" t="str">
        <f>VLOOKUP(C192,Sheet1!$A$2:$B$1132,2,FALSE)</f>
        <v>VITAL</v>
      </c>
      <c r="C192" s="52" t="s">
        <v>729</v>
      </c>
      <c r="D192" s="34" t="s">
        <v>198</v>
      </c>
      <c r="E192" s="35" t="s">
        <v>1358</v>
      </c>
      <c r="F192" s="32" t="s">
        <v>1400</v>
      </c>
      <c r="G192" s="32" t="s">
        <v>1368</v>
      </c>
      <c r="H192" s="28">
        <v>1</v>
      </c>
      <c r="I192" s="28">
        <v>1</v>
      </c>
      <c r="J192" s="28">
        <v>1</v>
      </c>
      <c r="K192" s="28">
        <v>1</v>
      </c>
      <c r="L192" s="28">
        <v>1</v>
      </c>
      <c r="M192" s="28">
        <f t="shared" si="4"/>
        <v>1</v>
      </c>
    </row>
    <row r="193" spans="1:17" ht="15.75">
      <c r="A193" s="30">
        <v>600</v>
      </c>
      <c r="B193" s="30" t="str">
        <f>VLOOKUP(C193,Sheet1!$A$2:$B$1132,2,FALSE)</f>
        <v>VITAL</v>
      </c>
      <c r="C193" s="49" t="s">
        <v>765</v>
      </c>
      <c r="D193" s="31" t="s">
        <v>229</v>
      </c>
      <c r="E193" s="35" t="s">
        <v>1358</v>
      </c>
      <c r="F193" s="32" t="s">
        <v>1400</v>
      </c>
      <c r="G193" s="32" t="s">
        <v>1368</v>
      </c>
      <c r="H193" s="28">
        <v>1</v>
      </c>
      <c r="I193" s="28">
        <v>1</v>
      </c>
      <c r="J193" s="28">
        <v>1</v>
      </c>
      <c r="K193" s="28">
        <v>1</v>
      </c>
      <c r="L193" s="28">
        <v>1</v>
      </c>
      <c r="M193" s="28">
        <f t="shared" si="4"/>
        <v>1</v>
      </c>
    </row>
    <row r="194" spans="1:17" ht="15.75">
      <c r="A194" s="30">
        <v>600</v>
      </c>
      <c r="B194" s="30" t="str">
        <f>VLOOKUP(C194,Sheet1!$A$2:$B$1132,2,FALSE)</f>
        <v>VITAL</v>
      </c>
      <c r="C194" s="52" t="s">
        <v>696</v>
      </c>
      <c r="D194" s="34" t="s">
        <v>5</v>
      </c>
      <c r="E194" s="35" t="s">
        <v>1358</v>
      </c>
      <c r="F194" s="32" t="s">
        <v>1400</v>
      </c>
      <c r="G194" s="32" t="s">
        <v>1368</v>
      </c>
      <c r="H194" s="28">
        <v>1</v>
      </c>
      <c r="I194" s="28">
        <v>1</v>
      </c>
      <c r="J194" s="28">
        <v>1</v>
      </c>
      <c r="K194" s="28">
        <v>1</v>
      </c>
      <c r="L194" s="28">
        <v>1</v>
      </c>
      <c r="M194" s="28">
        <f t="shared" si="4"/>
        <v>1</v>
      </c>
    </row>
    <row r="195" spans="1:17" ht="15.75">
      <c r="A195" s="30">
        <v>600</v>
      </c>
      <c r="B195" s="30" t="str">
        <f>VLOOKUP(C195,Sheet1!$A$2:$B$1132,2,FALSE)</f>
        <v>VITAL</v>
      </c>
      <c r="C195" s="52" t="s">
        <v>716</v>
      </c>
      <c r="D195" s="34" t="s">
        <v>5</v>
      </c>
      <c r="E195" s="35" t="s">
        <v>1358</v>
      </c>
      <c r="F195" s="32" t="s">
        <v>1400</v>
      </c>
      <c r="G195" s="32" t="s">
        <v>1368</v>
      </c>
      <c r="H195" s="28">
        <v>1</v>
      </c>
      <c r="I195" s="28">
        <v>1</v>
      </c>
      <c r="J195" s="28">
        <v>1</v>
      </c>
      <c r="K195" s="28">
        <v>1</v>
      </c>
      <c r="L195" s="28">
        <v>1</v>
      </c>
      <c r="M195" s="28">
        <f t="shared" si="4"/>
        <v>1</v>
      </c>
    </row>
    <row r="196" spans="1:17" ht="15.75">
      <c r="A196" s="30">
        <v>600</v>
      </c>
      <c r="B196" s="30" t="str">
        <f>VLOOKUP(C196,Sheet1!$A$2:$B$1132,2,FALSE)</f>
        <v>VITAL</v>
      </c>
      <c r="C196" s="49" t="s">
        <v>703</v>
      </c>
      <c r="D196" s="31" t="s">
        <v>5</v>
      </c>
      <c r="E196" s="35" t="s">
        <v>1358</v>
      </c>
      <c r="F196" s="32" t="s">
        <v>1400</v>
      </c>
      <c r="G196" s="32" t="s">
        <v>1368</v>
      </c>
      <c r="H196" s="28">
        <v>1</v>
      </c>
      <c r="I196" s="28">
        <v>1</v>
      </c>
      <c r="J196" s="28">
        <v>1</v>
      </c>
      <c r="K196" s="28">
        <v>1</v>
      </c>
      <c r="L196" s="28">
        <v>1</v>
      </c>
      <c r="M196" s="28">
        <f t="shared" si="4"/>
        <v>1</v>
      </c>
    </row>
    <row r="197" spans="1:17" ht="15.75">
      <c r="A197" s="30">
        <v>600</v>
      </c>
      <c r="B197" s="30" t="str">
        <f>VLOOKUP(C197,Sheet1!$A$2:$B$1132,2,FALSE)</f>
        <v>VITAL</v>
      </c>
      <c r="C197" s="49" t="s">
        <v>717</v>
      </c>
      <c r="D197" s="31" t="s">
        <v>5</v>
      </c>
      <c r="E197" s="35" t="s">
        <v>1358</v>
      </c>
      <c r="F197" s="32" t="s">
        <v>1400</v>
      </c>
      <c r="G197" s="32" t="s">
        <v>1368</v>
      </c>
      <c r="H197" s="28">
        <v>1</v>
      </c>
      <c r="I197" s="28">
        <v>1</v>
      </c>
      <c r="J197" s="28">
        <v>1</v>
      </c>
      <c r="K197" s="28">
        <v>1</v>
      </c>
      <c r="L197" s="28">
        <v>1</v>
      </c>
      <c r="M197" s="28">
        <f t="shared" si="4"/>
        <v>1</v>
      </c>
    </row>
    <row r="198" spans="1:17" customFormat="1" ht="15.75">
      <c r="A198" s="2">
        <v>600</v>
      </c>
      <c r="B198" s="30" t="str">
        <f>VLOOKUP(C198,Sheet1!$A$2:$B$1132,2,FALSE)</f>
        <v>NORMAL</v>
      </c>
      <c r="C198" s="50" t="s">
        <v>1076</v>
      </c>
      <c r="D198" s="5" t="s">
        <v>162</v>
      </c>
      <c r="E198" s="1" t="s">
        <v>1358</v>
      </c>
      <c r="F198" s="8" t="s">
        <v>1400</v>
      </c>
      <c r="G198" s="8" t="s">
        <v>1368</v>
      </c>
      <c r="H198" s="10">
        <v>1</v>
      </c>
      <c r="I198" s="10">
        <v>1</v>
      </c>
      <c r="J198" s="10">
        <v>1</v>
      </c>
      <c r="K198" s="28">
        <v>1</v>
      </c>
      <c r="L198" s="28">
        <v>1</v>
      </c>
      <c r="M198" s="10">
        <f t="shared" si="4"/>
        <v>1</v>
      </c>
      <c r="N198" s="38"/>
      <c r="O198" s="38"/>
      <c r="P198" s="38"/>
      <c r="Q198" s="27"/>
    </row>
    <row r="199" spans="1:17" customFormat="1" ht="15.75">
      <c r="A199" s="2">
        <v>600</v>
      </c>
      <c r="B199" s="30" t="str">
        <f>VLOOKUP(C199,Sheet1!$A$2:$B$1132,2,FALSE)</f>
        <v>IMPORTANT</v>
      </c>
      <c r="C199" s="50" t="s">
        <v>1109</v>
      </c>
      <c r="D199" s="5" t="s">
        <v>238</v>
      </c>
      <c r="E199" s="1" t="s">
        <v>1358</v>
      </c>
      <c r="F199" s="8" t="s">
        <v>1400</v>
      </c>
      <c r="G199" s="8" t="s">
        <v>1368</v>
      </c>
      <c r="H199" s="10"/>
      <c r="I199" s="10"/>
      <c r="J199" s="10"/>
      <c r="K199" s="10"/>
      <c r="L199" s="10"/>
      <c r="M199" s="10">
        <f t="shared" si="4"/>
        <v>0</v>
      </c>
      <c r="N199" s="38"/>
      <c r="O199" s="38"/>
      <c r="P199" s="38"/>
      <c r="Q199" s="27"/>
    </row>
    <row r="200" spans="1:17" ht="15.75">
      <c r="A200" s="30">
        <v>700</v>
      </c>
      <c r="B200" s="30" t="str">
        <f>VLOOKUP(C200,Sheet1!$A$2:$B$1132,2,FALSE)</f>
        <v>VITAL</v>
      </c>
      <c r="C200" s="49" t="s">
        <v>697</v>
      </c>
      <c r="D200" s="31" t="s">
        <v>80</v>
      </c>
      <c r="E200" s="32" t="s">
        <v>1357</v>
      </c>
      <c r="F200" s="32" t="s">
        <v>1400</v>
      </c>
      <c r="G200" s="32" t="s">
        <v>1366</v>
      </c>
      <c r="H200" s="28">
        <v>1</v>
      </c>
      <c r="I200" s="28">
        <v>1</v>
      </c>
      <c r="J200" s="28">
        <v>1</v>
      </c>
      <c r="K200" s="28">
        <v>1</v>
      </c>
      <c r="L200" s="28">
        <v>1</v>
      </c>
      <c r="M200" s="28">
        <f t="shared" ref="M200:M263" si="5">SUMPRODUCT(H200:L200,$AA$2:$AE$2)</f>
        <v>1</v>
      </c>
    </row>
    <row r="201" spans="1:17" customFormat="1" ht="15.75">
      <c r="A201" s="2">
        <v>700</v>
      </c>
      <c r="B201" s="30" t="str">
        <f>VLOOKUP(C201,Sheet1!$A$2:$B$1132,2,FALSE)</f>
        <v>IMPORTANT</v>
      </c>
      <c r="C201" s="51" t="s">
        <v>1110</v>
      </c>
      <c r="D201" s="3" t="s">
        <v>238</v>
      </c>
      <c r="E201" s="8" t="s">
        <v>1357</v>
      </c>
      <c r="F201" s="8" t="s">
        <v>1400</v>
      </c>
      <c r="G201" s="8" t="s">
        <v>1366</v>
      </c>
      <c r="H201" s="10"/>
      <c r="I201" s="10"/>
      <c r="J201" s="10"/>
      <c r="K201" s="10"/>
      <c r="L201" s="10"/>
      <c r="M201" s="10">
        <f t="shared" si="5"/>
        <v>0</v>
      </c>
      <c r="N201" s="38"/>
      <c r="O201" s="38"/>
      <c r="P201" s="38"/>
      <c r="Q201" s="27"/>
    </row>
    <row r="202" spans="1:17" ht="15.75">
      <c r="A202" s="30">
        <v>700</v>
      </c>
      <c r="B202" s="30" t="str">
        <f>VLOOKUP(C202,Sheet1!$A$2:$B$1132,2,FALSE)</f>
        <v>VITAL</v>
      </c>
      <c r="C202" s="52" t="s">
        <v>674</v>
      </c>
      <c r="D202" s="34" t="s">
        <v>200</v>
      </c>
      <c r="E202" s="32" t="s">
        <v>1357</v>
      </c>
      <c r="F202" s="32" t="s">
        <v>1400</v>
      </c>
      <c r="G202" s="32" t="s">
        <v>1366</v>
      </c>
      <c r="H202" s="28">
        <v>1</v>
      </c>
      <c r="I202" s="28">
        <v>1</v>
      </c>
      <c r="J202" s="28">
        <v>1</v>
      </c>
      <c r="K202" s="28">
        <v>1</v>
      </c>
      <c r="L202" s="28">
        <v>1</v>
      </c>
      <c r="M202" s="28">
        <f t="shared" si="5"/>
        <v>1</v>
      </c>
    </row>
    <row r="203" spans="1:17" ht="15.75">
      <c r="A203" s="30">
        <v>700</v>
      </c>
      <c r="B203" s="30" t="str">
        <f>VLOOKUP(C203,Sheet1!$A$2:$B$1132,2,FALSE)</f>
        <v>VITAL</v>
      </c>
      <c r="C203" s="49" t="s">
        <v>675</v>
      </c>
      <c r="D203" s="31" t="s">
        <v>200</v>
      </c>
      <c r="E203" s="32" t="s">
        <v>1357</v>
      </c>
      <c r="F203" s="32" t="s">
        <v>1400</v>
      </c>
      <c r="G203" s="32" t="s">
        <v>1366</v>
      </c>
      <c r="H203" s="28">
        <v>1</v>
      </c>
      <c r="I203" s="28">
        <v>1</v>
      </c>
      <c r="J203" s="28">
        <v>1</v>
      </c>
      <c r="K203" s="28">
        <v>1</v>
      </c>
      <c r="L203" s="28">
        <v>1</v>
      </c>
      <c r="M203" s="28">
        <f t="shared" si="5"/>
        <v>1</v>
      </c>
    </row>
    <row r="204" spans="1:17" customFormat="1" ht="15.75">
      <c r="A204" s="2">
        <v>700</v>
      </c>
      <c r="B204" s="30" t="str">
        <f>VLOOKUP(C204,Sheet1!$A$2:$B$1132,2,FALSE)</f>
        <v>ESSENTIAL</v>
      </c>
      <c r="C204" s="50" t="s">
        <v>788</v>
      </c>
      <c r="D204" s="5" t="s">
        <v>7</v>
      </c>
      <c r="E204" s="8" t="s">
        <v>1360</v>
      </c>
      <c r="F204" s="8" t="s">
        <v>1400</v>
      </c>
      <c r="G204" s="8" t="s">
        <v>1366</v>
      </c>
      <c r="H204" s="10">
        <v>1</v>
      </c>
      <c r="I204" s="10">
        <v>1</v>
      </c>
      <c r="J204" s="10">
        <v>1</v>
      </c>
      <c r="K204" s="28">
        <v>1</v>
      </c>
      <c r="L204" s="28">
        <v>1</v>
      </c>
      <c r="M204" s="10">
        <f t="shared" si="5"/>
        <v>1</v>
      </c>
      <c r="N204" s="38"/>
      <c r="O204" s="38"/>
      <c r="P204" s="38"/>
      <c r="Q204" s="27"/>
    </row>
    <row r="205" spans="1:17" customFormat="1" ht="15.75">
      <c r="A205" s="2">
        <v>700</v>
      </c>
      <c r="B205" s="30" t="str">
        <f>VLOOKUP(C205,Sheet1!$A$2:$B$1132,2,FALSE)</f>
        <v>ESSENTIAL</v>
      </c>
      <c r="C205" s="51" t="s">
        <v>789</v>
      </c>
      <c r="D205" s="3" t="s">
        <v>7</v>
      </c>
      <c r="E205" s="8" t="s">
        <v>1360</v>
      </c>
      <c r="F205" s="8" t="s">
        <v>1400</v>
      </c>
      <c r="G205" s="8" t="s">
        <v>1366</v>
      </c>
      <c r="H205" s="10">
        <v>1</v>
      </c>
      <c r="I205" s="10">
        <v>1</v>
      </c>
      <c r="J205" s="10">
        <v>1</v>
      </c>
      <c r="K205" s="28">
        <v>1</v>
      </c>
      <c r="L205" s="28">
        <v>1</v>
      </c>
      <c r="M205" s="10">
        <f t="shared" si="5"/>
        <v>1</v>
      </c>
      <c r="N205" s="38"/>
      <c r="O205" s="38"/>
      <c r="P205" s="38"/>
      <c r="Q205" s="27"/>
    </row>
    <row r="206" spans="1:17" customFormat="1" ht="15.75">
      <c r="A206" s="2">
        <v>700</v>
      </c>
      <c r="B206" s="30" t="str">
        <f>VLOOKUP(C206,Sheet1!$A$2:$B$1132,2,FALSE)</f>
        <v>ESSENTIAL</v>
      </c>
      <c r="C206" s="50" t="s">
        <v>828</v>
      </c>
      <c r="D206" s="5" t="s">
        <v>7</v>
      </c>
      <c r="E206" s="8" t="s">
        <v>1360</v>
      </c>
      <c r="F206" s="8" t="s">
        <v>1400</v>
      </c>
      <c r="G206" s="8" t="s">
        <v>1366</v>
      </c>
      <c r="H206" s="10">
        <v>1</v>
      </c>
      <c r="I206" s="10">
        <v>1</v>
      </c>
      <c r="J206" s="10">
        <v>1</v>
      </c>
      <c r="K206" s="28">
        <v>1</v>
      </c>
      <c r="L206" s="28">
        <v>1</v>
      </c>
      <c r="M206" s="10">
        <f t="shared" si="5"/>
        <v>1</v>
      </c>
      <c r="N206" s="38"/>
      <c r="O206" s="38"/>
      <c r="P206" s="38"/>
      <c r="Q206" s="27"/>
    </row>
    <row r="207" spans="1:17" customFormat="1" ht="15.75">
      <c r="A207" s="2">
        <v>700</v>
      </c>
      <c r="B207" s="30" t="str">
        <f>VLOOKUP(C207,Sheet1!$A$2:$B$1132,2,FALSE)</f>
        <v>ESSENTIAL</v>
      </c>
      <c r="C207" s="51" t="s">
        <v>829</v>
      </c>
      <c r="D207" s="3" t="s">
        <v>7</v>
      </c>
      <c r="E207" s="8" t="s">
        <v>1360</v>
      </c>
      <c r="F207" s="8" t="s">
        <v>1400</v>
      </c>
      <c r="G207" s="8" t="s">
        <v>1366</v>
      </c>
      <c r="H207" s="10">
        <v>1</v>
      </c>
      <c r="I207" s="10">
        <v>1</v>
      </c>
      <c r="J207" s="10">
        <v>1</v>
      </c>
      <c r="K207" s="28">
        <v>1</v>
      </c>
      <c r="L207" s="28">
        <v>1</v>
      </c>
      <c r="M207" s="10">
        <f t="shared" si="5"/>
        <v>1</v>
      </c>
      <c r="N207" s="38"/>
      <c r="O207" s="38"/>
      <c r="P207" s="38"/>
      <c r="Q207" s="27"/>
    </row>
    <row r="208" spans="1:17" customFormat="1" ht="15.75">
      <c r="A208" s="2">
        <v>700</v>
      </c>
      <c r="B208" s="30" t="str">
        <f>VLOOKUP(C208,Sheet1!$A$2:$B$1132,2,FALSE)</f>
        <v>ESSENTIAL</v>
      </c>
      <c r="C208" s="50" t="s">
        <v>830</v>
      </c>
      <c r="D208" s="5" t="s">
        <v>7</v>
      </c>
      <c r="E208" s="8" t="s">
        <v>1360</v>
      </c>
      <c r="F208" s="8" t="s">
        <v>1400</v>
      </c>
      <c r="G208" s="8" t="s">
        <v>1366</v>
      </c>
      <c r="H208" s="10">
        <v>1</v>
      </c>
      <c r="I208" s="10">
        <v>1</v>
      </c>
      <c r="J208" s="10">
        <v>1</v>
      </c>
      <c r="K208" s="28">
        <v>1</v>
      </c>
      <c r="L208" s="28">
        <v>1</v>
      </c>
      <c r="M208" s="10">
        <f t="shared" si="5"/>
        <v>1</v>
      </c>
      <c r="N208" s="38"/>
      <c r="O208" s="38"/>
      <c r="P208" s="38"/>
      <c r="Q208" s="27"/>
    </row>
    <row r="209" spans="1:17" customFormat="1" ht="15.75">
      <c r="A209" s="2">
        <v>700</v>
      </c>
      <c r="B209" s="30" t="str">
        <f>VLOOKUP(C209,Sheet1!$A$2:$B$1132,2,FALSE)</f>
        <v>VITAL</v>
      </c>
      <c r="C209" s="51" t="s">
        <v>742</v>
      </c>
      <c r="D209" s="3" t="s">
        <v>7</v>
      </c>
      <c r="E209" s="8" t="s">
        <v>1360</v>
      </c>
      <c r="F209" s="8" t="s">
        <v>1400</v>
      </c>
      <c r="G209" s="8" t="s">
        <v>1366</v>
      </c>
      <c r="H209" s="10">
        <v>1</v>
      </c>
      <c r="I209" s="10">
        <v>1</v>
      </c>
      <c r="J209" s="10">
        <v>1</v>
      </c>
      <c r="K209" s="28">
        <v>1</v>
      </c>
      <c r="L209" s="28">
        <v>1</v>
      </c>
      <c r="M209" s="10">
        <f t="shared" si="5"/>
        <v>1</v>
      </c>
      <c r="N209" s="38"/>
      <c r="O209" s="38"/>
      <c r="P209" s="38"/>
      <c r="Q209" s="27"/>
    </row>
    <row r="210" spans="1:17" customFormat="1" ht="15.75">
      <c r="A210" s="2">
        <v>700</v>
      </c>
      <c r="B210" s="30" t="str">
        <f>VLOOKUP(C210,Sheet1!$A$2:$B$1132,2,FALSE)</f>
        <v>VITAL</v>
      </c>
      <c r="C210" s="50" t="s">
        <v>743</v>
      </c>
      <c r="D210" s="5" t="s">
        <v>7</v>
      </c>
      <c r="E210" s="8" t="s">
        <v>1360</v>
      </c>
      <c r="F210" s="8" t="s">
        <v>1400</v>
      </c>
      <c r="G210" s="8" t="s">
        <v>1366</v>
      </c>
      <c r="H210" s="10">
        <v>1</v>
      </c>
      <c r="I210" s="10">
        <v>1</v>
      </c>
      <c r="J210" s="10">
        <v>1</v>
      </c>
      <c r="K210" s="28">
        <v>1</v>
      </c>
      <c r="L210" s="28">
        <v>1</v>
      </c>
      <c r="M210" s="10">
        <f t="shared" si="5"/>
        <v>1</v>
      </c>
      <c r="N210" s="38"/>
      <c r="O210" s="38"/>
      <c r="P210" s="38"/>
      <c r="Q210" s="27"/>
    </row>
    <row r="211" spans="1:17" customFormat="1" ht="15.75">
      <c r="A211" s="2">
        <v>700</v>
      </c>
      <c r="B211" s="30" t="str">
        <f>VLOOKUP(C211,Sheet1!$A$2:$B$1132,2,FALSE)</f>
        <v>VITAL</v>
      </c>
      <c r="C211" s="51" t="s">
        <v>757</v>
      </c>
      <c r="D211" s="3" t="s">
        <v>208</v>
      </c>
      <c r="E211" s="8" t="s">
        <v>1356</v>
      </c>
      <c r="F211" s="8" t="s">
        <v>1400</v>
      </c>
      <c r="G211" s="8" t="s">
        <v>1366</v>
      </c>
      <c r="H211" s="10">
        <v>1</v>
      </c>
      <c r="I211" s="10">
        <v>1</v>
      </c>
      <c r="J211" s="10">
        <v>1</v>
      </c>
      <c r="K211" s="28">
        <v>1</v>
      </c>
      <c r="L211" s="28">
        <v>1</v>
      </c>
      <c r="M211" s="10">
        <f t="shared" si="5"/>
        <v>1</v>
      </c>
      <c r="N211" s="38"/>
      <c r="O211" s="38"/>
      <c r="P211" s="38"/>
      <c r="Q211" s="27"/>
    </row>
    <row r="212" spans="1:17" customFormat="1" ht="15.75">
      <c r="A212" s="2">
        <v>700</v>
      </c>
      <c r="B212" s="30" t="str">
        <f>VLOOKUP(C212,Sheet1!$A$2:$B$1132,2,FALSE)</f>
        <v>VITAL</v>
      </c>
      <c r="C212" s="51" t="s">
        <v>759</v>
      </c>
      <c r="D212" s="3" t="s">
        <v>208</v>
      </c>
      <c r="E212" s="8" t="s">
        <v>1356</v>
      </c>
      <c r="F212" s="8" t="s">
        <v>1400</v>
      </c>
      <c r="G212" s="8" t="s">
        <v>1366</v>
      </c>
      <c r="H212" s="10">
        <v>1</v>
      </c>
      <c r="I212" s="10">
        <v>1</v>
      </c>
      <c r="J212" s="10">
        <v>1</v>
      </c>
      <c r="K212" s="28">
        <v>1</v>
      </c>
      <c r="L212" s="28">
        <v>1</v>
      </c>
      <c r="M212" s="10">
        <f t="shared" si="5"/>
        <v>1</v>
      </c>
      <c r="N212" s="38"/>
      <c r="O212" s="38"/>
      <c r="P212" s="38"/>
      <c r="Q212" s="27"/>
    </row>
    <row r="213" spans="1:17" ht="15.75">
      <c r="A213" s="30">
        <v>700</v>
      </c>
      <c r="B213" s="30" t="str">
        <f>VLOOKUP(C213,Sheet1!$A$2:$B$1132,2,FALSE)</f>
        <v>VITAL</v>
      </c>
      <c r="C213" s="49" t="s">
        <v>663</v>
      </c>
      <c r="D213" s="31" t="s">
        <v>6</v>
      </c>
      <c r="E213" s="35" t="s">
        <v>1372</v>
      </c>
      <c r="F213" s="32" t="s">
        <v>1400</v>
      </c>
      <c r="G213" s="32" t="s">
        <v>1366</v>
      </c>
      <c r="H213" s="28">
        <v>1</v>
      </c>
      <c r="I213" s="28">
        <v>1</v>
      </c>
      <c r="J213" s="28">
        <v>1</v>
      </c>
      <c r="K213" s="28">
        <v>1</v>
      </c>
      <c r="L213" s="28">
        <v>1</v>
      </c>
      <c r="M213" s="28">
        <f t="shared" si="5"/>
        <v>1</v>
      </c>
    </row>
    <row r="214" spans="1:17" ht="15.75">
      <c r="A214" s="30">
        <v>700</v>
      </c>
      <c r="B214" s="30" t="str">
        <f>VLOOKUP(C214,Sheet1!$A$2:$B$1132,2,FALSE)</f>
        <v>VITAL</v>
      </c>
      <c r="C214" s="52" t="s">
        <v>664</v>
      </c>
      <c r="D214" s="34" t="s">
        <v>6</v>
      </c>
      <c r="E214" s="35" t="s">
        <v>1372</v>
      </c>
      <c r="F214" s="32" t="s">
        <v>1400</v>
      </c>
      <c r="G214" s="32" t="s">
        <v>1366</v>
      </c>
      <c r="H214" s="28">
        <v>1</v>
      </c>
      <c r="I214" s="28">
        <v>1</v>
      </c>
      <c r="J214" s="28">
        <v>1</v>
      </c>
      <c r="K214" s="28">
        <v>1</v>
      </c>
      <c r="L214" s="28">
        <v>1</v>
      </c>
      <c r="M214" s="28">
        <f t="shared" si="5"/>
        <v>1</v>
      </c>
    </row>
    <row r="215" spans="1:17" ht="15.75">
      <c r="A215" s="30">
        <v>700</v>
      </c>
      <c r="B215" s="30" t="str">
        <f>VLOOKUP(C215,Sheet1!$A$2:$B$1132,2,FALSE)</f>
        <v>VITAL</v>
      </c>
      <c r="C215" s="52" t="s">
        <v>666</v>
      </c>
      <c r="D215" s="34" t="s">
        <v>6</v>
      </c>
      <c r="E215" s="35" t="s">
        <v>1372</v>
      </c>
      <c r="F215" s="32" t="s">
        <v>1400</v>
      </c>
      <c r="G215" s="32" t="s">
        <v>1366</v>
      </c>
      <c r="H215" s="28">
        <v>1</v>
      </c>
      <c r="I215" s="28">
        <v>1</v>
      </c>
      <c r="J215" s="28">
        <v>1</v>
      </c>
      <c r="K215" s="28">
        <v>1</v>
      </c>
      <c r="L215" s="28">
        <v>1</v>
      </c>
      <c r="M215" s="28">
        <f t="shared" si="5"/>
        <v>1</v>
      </c>
    </row>
    <row r="216" spans="1:17" ht="15.75">
      <c r="A216" s="30">
        <v>700</v>
      </c>
      <c r="B216" s="30" t="str">
        <f>VLOOKUP(C216,Sheet1!$A$2:$B$1132,2,FALSE)</f>
        <v>VITAL</v>
      </c>
      <c r="C216" s="49" t="s">
        <v>665</v>
      </c>
      <c r="D216" s="31" t="s">
        <v>6</v>
      </c>
      <c r="E216" s="35" t="s">
        <v>1372</v>
      </c>
      <c r="F216" s="32" t="s">
        <v>1400</v>
      </c>
      <c r="G216" s="32" t="s">
        <v>1366</v>
      </c>
      <c r="H216" s="28">
        <v>1</v>
      </c>
      <c r="I216" s="28">
        <v>1</v>
      </c>
      <c r="J216" s="28">
        <v>1</v>
      </c>
      <c r="K216" s="28">
        <v>1</v>
      </c>
      <c r="L216" s="28">
        <v>1</v>
      </c>
      <c r="M216" s="28">
        <f t="shared" si="5"/>
        <v>1</v>
      </c>
    </row>
    <row r="217" spans="1:17" ht="15.75">
      <c r="A217" s="30">
        <v>700</v>
      </c>
      <c r="B217" s="30" t="str">
        <f>VLOOKUP(C217,Sheet1!$A$2:$B$1132,2,FALSE)</f>
        <v>VITAL</v>
      </c>
      <c r="C217" s="49" t="s">
        <v>667</v>
      </c>
      <c r="D217" s="31" t="s">
        <v>6</v>
      </c>
      <c r="E217" s="35" t="s">
        <v>1372</v>
      </c>
      <c r="F217" s="32" t="s">
        <v>1400</v>
      </c>
      <c r="G217" s="32" t="s">
        <v>1366</v>
      </c>
      <c r="H217" s="28">
        <v>1</v>
      </c>
      <c r="I217" s="28">
        <v>1</v>
      </c>
      <c r="J217" s="28">
        <v>1</v>
      </c>
      <c r="K217" s="28">
        <v>1</v>
      </c>
      <c r="L217" s="28">
        <v>1</v>
      </c>
      <c r="M217" s="28">
        <f t="shared" si="5"/>
        <v>1</v>
      </c>
    </row>
    <row r="218" spans="1:17" ht="15.75">
      <c r="A218" s="30">
        <v>700</v>
      </c>
      <c r="B218" s="30" t="str">
        <f>VLOOKUP(C218,Sheet1!$A$2:$B$1132,2,FALSE)</f>
        <v>VITAL</v>
      </c>
      <c r="C218" s="52" t="s">
        <v>668</v>
      </c>
      <c r="D218" s="34" t="s">
        <v>6</v>
      </c>
      <c r="E218" s="35" t="s">
        <v>1372</v>
      </c>
      <c r="F218" s="32" t="s">
        <v>1400</v>
      </c>
      <c r="G218" s="32" t="s">
        <v>1366</v>
      </c>
      <c r="H218" s="28">
        <v>1</v>
      </c>
      <c r="I218" s="28">
        <v>1</v>
      </c>
      <c r="J218" s="28">
        <v>1</v>
      </c>
      <c r="K218" s="28">
        <v>1</v>
      </c>
      <c r="L218" s="28">
        <v>1</v>
      </c>
      <c r="M218" s="28">
        <f t="shared" si="5"/>
        <v>1</v>
      </c>
    </row>
    <row r="219" spans="1:17" ht="15.75">
      <c r="A219" s="30">
        <v>700</v>
      </c>
      <c r="B219" s="30" t="str">
        <f>VLOOKUP(C219,Sheet1!$A$2:$B$1132,2,FALSE)</f>
        <v>VITAL</v>
      </c>
      <c r="C219" s="52" t="s">
        <v>678</v>
      </c>
      <c r="D219" s="34" t="s">
        <v>209</v>
      </c>
      <c r="E219" s="35" t="s">
        <v>1372</v>
      </c>
      <c r="F219" s="32" t="s">
        <v>1400</v>
      </c>
      <c r="G219" s="32" t="s">
        <v>1366</v>
      </c>
      <c r="H219" s="28">
        <v>1</v>
      </c>
      <c r="I219" s="28">
        <v>1</v>
      </c>
      <c r="J219" s="28">
        <v>1</v>
      </c>
      <c r="K219" s="28">
        <v>1</v>
      </c>
      <c r="L219" s="28">
        <v>1</v>
      </c>
      <c r="M219" s="28">
        <f t="shared" si="5"/>
        <v>1</v>
      </c>
    </row>
    <row r="220" spans="1:17" ht="15.75">
      <c r="A220" s="30">
        <v>700</v>
      </c>
      <c r="B220" s="30" t="str">
        <f>VLOOKUP(C220,Sheet1!$A$2:$B$1132,2,FALSE)</f>
        <v>VITAL</v>
      </c>
      <c r="C220" s="49" t="s">
        <v>679</v>
      </c>
      <c r="D220" s="31" t="s">
        <v>209</v>
      </c>
      <c r="E220" s="35" t="s">
        <v>1372</v>
      </c>
      <c r="F220" s="32" t="s">
        <v>1400</v>
      </c>
      <c r="G220" s="32" t="s">
        <v>1366</v>
      </c>
      <c r="H220" s="28">
        <v>1</v>
      </c>
      <c r="I220" s="28">
        <v>1</v>
      </c>
      <c r="J220" s="28">
        <v>1</v>
      </c>
      <c r="K220" s="28">
        <v>1</v>
      </c>
      <c r="L220" s="28">
        <v>1</v>
      </c>
      <c r="M220" s="28">
        <f t="shared" si="5"/>
        <v>1</v>
      </c>
    </row>
    <row r="221" spans="1:17" customFormat="1" ht="15.75">
      <c r="A221" s="2">
        <v>700</v>
      </c>
      <c r="B221" s="30" t="str">
        <f>VLOOKUP(C221,Sheet1!$A$2:$B$1132,2,FALSE)</f>
        <v>ESSENTIAL</v>
      </c>
      <c r="C221" s="50" t="s">
        <v>768</v>
      </c>
      <c r="D221" s="5" t="s">
        <v>210</v>
      </c>
      <c r="E221" s="1" t="s">
        <v>1372</v>
      </c>
      <c r="F221" s="8" t="s">
        <v>1400</v>
      </c>
      <c r="G221" s="8" t="s">
        <v>1366</v>
      </c>
      <c r="H221" s="10">
        <v>1</v>
      </c>
      <c r="I221" s="10">
        <v>1</v>
      </c>
      <c r="J221" s="10">
        <v>1</v>
      </c>
      <c r="K221" s="28">
        <v>1</v>
      </c>
      <c r="L221" s="28">
        <v>1</v>
      </c>
      <c r="M221" s="10">
        <f t="shared" si="5"/>
        <v>1</v>
      </c>
      <c r="N221" s="38"/>
      <c r="O221" s="38"/>
      <c r="P221" s="38"/>
      <c r="Q221" s="27"/>
    </row>
    <row r="222" spans="1:17" customFormat="1" ht="15.75">
      <c r="A222" s="2">
        <v>700</v>
      </c>
      <c r="B222" s="30" t="str">
        <f>VLOOKUP(C222,Sheet1!$A$2:$B$1132,2,FALSE)</f>
        <v>ESSENTIAL</v>
      </c>
      <c r="C222" s="51" t="s">
        <v>769</v>
      </c>
      <c r="D222" s="3" t="s">
        <v>210</v>
      </c>
      <c r="E222" s="1" t="s">
        <v>1372</v>
      </c>
      <c r="F222" s="8" t="s">
        <v>1400</v>
      </c>
      <c r="G222" s="8" t="s">
        <v>1366</v>
      </c>
      <c r="H222" s="10">
        <v>1</v>
      </c>
      <c r="I222" s="10">
        <v>1</v>
      </c>
      <c r="J222" s="10">
        <v>1</v>
      </c>
      <c r="K222" s="28">
        <v>1</v>
      </c>
      <c r="L222" s="28">
        <v>1</v>
      </c>
      <c r="M222" s="10">
        <f t="shared" si="5"/>
        <v>1</v>
      </c>
      <c r="N222" s="38"/>
      <c r="O222" s="38"/>
      <c r="P222" s="38"/>
      <c r="Q222" s="27"/>
    </row>
    <row r="223" spans="1:17" customFormat="1" ht="15.75">
      <c r="A223" s="2">
        <v>700</v>
      </c>
      <c r="B223" s="30" t="str">
        <f>VLOOKUP(C223,Sheet1!$A$2:$B$1132,2,FALSE)</f>
        <v>IMPORTANT</v>
      </c>
      <c r="C223" s="50" t="s">
        <v>1125</v>
      </c>
      <c r="D223" s="5" t="s">
        <v>108</v>
      </c>
      <c r="E223" s="1" t="s">
        <v>1372</v>
      </c>
      <c r="F223" s="8" t="s">
        <v>1400</v>
      </c>
      <c r="G223" s="8" t="s">
        <v>1366</v>
      </c>
      <c r="H223" s="10">
        <v>1</v>
      </c>
      <c r="I223" s="10">
        <v>1</v>
      </c>
      <c r="J223" s="10">
        <v>1</v>
      </c>
      <c r="K223" s="28">
        <v>1</v>
      </c>
      <c r="L223" s="28">
        <v>1</v>
      </c>
      <c r="M223" s="10">
        <f t="shared" si="5"/>
        <v>1</v>
      </c>
      <c r="N223" s="38"/>
      <c r="O223" s="38"/>
      <c r="P223" s="38"/>
      <c r="Q223" s="27"/>
    </row>
    <row r="224" spans="1:17" customFormat="1" ht="15.75">
      <c r="A224" s="2">
        <v>700</v>
      </c>
      <c r="B224" s="30" t="str">
        <f>VLOOKUP(C224,Sheet1!$A$2:$B$1132,2,FALSE)</f>
        <v>ESSENTIAL</v>
      </c>
      <c r="C224" s="50" t="s">
        <v>770</v>
      </c>
      <c r="D224" s="5" t="s">
        <v>217</v>
      </c>
      <c r="E224" s="8" t="s">
        <v>1361</v>
      </c>
      <c r="F224" s="8" t="s">
        <v>1400</v>
      </c>
      <c r="G224" s="8" t="s">
        <v>1366</v>
      </c>
      <c r="H224" s="10">
        <v>1</v>
      </c>
      <c r="I224" s="10"/>
      <c r="J224" s="10">
        <v>1</v>
      </c>
      <c r="K224" s="10"/>
      <c r="L224" s="10"/>
      <c r="M224" s="10">
        <f t="shared" si="5"/>
        <v>0.43000000000000005</v>
      </c>
      <c r="N224" s="38"/>
      <c r="O224" s="38"/>
      <c r="P224" s="38"/>
      <c r="Q224" s="27"/>
    </row>
    <row r="225" spans="1:17" ht="15.75">
      <c r="A225" s="30">
        <v>700</v>
      </c>
      <c r="B225" s="30" t="str">
        <f>VLOOKUP(C225,Sheet1!$A$2:$B$1132,2,FALSE)</f>
        <v>VITAL</v>
      </c>
      <c r="C225" s="49" t="s">
        <v>730</v>
      </c>
      <c r="D225" s="31" t="s">
        <v>224</v>
      </c>
      <c r="E225" s="32" t="s">
        <v>1357</v>
      </c>
      <c r="F225" s="32" t="s">
        <v>1400</v>
      </c>
      <c r="G225" s="32" t="s">
        <v>1366</v>
      </c>
      <c r="H225" s="28">
        <v>1</v>
      </c>
      <c r="I225" s="28">
        <v>1</v>
      </c>
      <c r="J225" s="28">
        <v>1</v>
      </c>
      <c r="K225" s="28">
        <v>1</v>
      </c>
      <c r="L225" s="28">
        <v>1</v>
      </c>
      <c r="M225" s="28">
        <f t="shared" si="5"/>
        <v>1</v>
      </c>
    </row>
    <row r="226" spans="1:17" ht="15.75">
      <c r="A226" s="30">
        <v>700</v>
      </c>
      <c r="B226" s="30" t="str">
        <f>VLOOKUP(C226,Sheet1!$A$2:$B$1132,2,FALSE)</f>
        <v>VITAL</v>
      </c>
      <c r="C226" s="52" t="s">
        <v>731</v>
      </c>
      <c r="D226" s="34" t="s">
        <v>224</v>
      </c>
      <c r="E226" s="32" t="s">
        <v>1357</v>
      </c>
      <c r="F226" s="32" t="s">
        <v>1400</v>
      </c>
      <c r="G226" s="32" t="s">
        <v>1366</v>
      </c>
      <c r="H226" s="28">
        <v>1</v>
      </c>
      <c r="I226" s="28">
        <v>1</v>
      </c>
      <c r="J226" s="28">
        <v>1</v>
      </c>
      <c r="K226" s="28">
        <v>1</v>
      </c>
      <c r="L226" s="28">
        <v>1</v>
      </c>
      <c r="M226" s="28">
        <f t="shared" si="5"/>
        <v>1</v>
      </c>
    </row>
    <row r="227" spans="1:17" customFormat="1" ht="15.75">
      <c r="A227" s="2">
        <v>700</v>
      </c>
      <c r="B227" s="30" t="str">
        <f>VLOOKUP(C227,Sheet1!$A$2:$B$1132,2,FALSE)</f>
        <v>IMPORTANT</v>
      </c>
      <c r="C227" s="51" t="s">
        <v>896</v>
      </c>
      <c r="D227" s="3" t="s">
        <v>146</v>
      </c>
      <c r="E227" s="8" t="s">
        <v>1357</v>
      </c>
      <c r="F227" s="8" t="s">
        <v>1400</v>
      </c>
      <c r="G227" s="8" t="s">
        <v>1366</v>
      </c>
      <c r="H227" s="10">
        <v>1</v>
      </c>
      <c r="I227" s="10">
        <v>1</v>
      </c>
      <c r="J227" s="10">
        <v>1</v>
      </c>
      <c r="K227" s="28">
        <v>1</v>
      </c>
      <c r="L227" s="28">
        <v>1</v>
      </c>
      <c r="M227" s="10">
        <f t="shared" si="5"/>
        <v>1</v>
      </c>
      <c r="N227" s="38"/>
      <c r="O227" s="38"/>
      <c r="P227" s="38"/>
      <c r="Q227" s="27"/>
    </row>
    <row r="228" spans="1:17" ht="15.75">
      <c r="A228" s="30">
        <v>700</v>
      </c>
      <c r="B228" s="30" t="str">
        <f>VLOOKUP(C228,Sheet1!$A$2:$B$1132,2,FALSE)</f>
        <v>VITAL</v>
      </c>
      <c r="C228" s="49" t="s">
        <v>661</v>
      </c>
      <c r="D228" s="31" t="s">
        <v>174</v>
      </c>
      <c r="E228" s="32" t="s">
        <v>1357</v>
      </c>
      <c r="F228" s="32" t="s">
        <v>1400</v>
      </c>
      <c r="G228" s="32" t="s">
        <v>1366</v>
      </c>
      <c r="H228" s="28">
        <v>1</v>
      </c>
      <c r="I228" s="28">
        <v>1</v>
      </c>
      <c r="J228" s="28">
        <v>1</v>
      </c>
      <c r="K228" s="28">
        <v>1</v>
      </c>
      <c r="L228" s="28">
        <v>1</v>
      </c>
      <c r="M228" s="28">
        <f t="shared" si="5"/>
        <v>1</v>
      </c>
    </row>
    <row r="229" spans="1:17" ht="15.75">
      <c r="A229" s="30">
        <v>700</v>
      </c>
      <c r="B229" s="30" t="str">
        <f>VLOOKUP(C229,Sheet1!$A$2:$B$1132,2,FALSE)</f>
        <v>VITAL</v>
      </c>
      <c r="C229" s="52" t="s">
        <v>712</v>
      </c>
      <c r="D229" s="34" t="s">
        <v>2</v>
      </c>
      <c r="E229" s="35" t="s">
        <v>1372</v>
      </c>
      <c r="F229" s="32" t="s">
        <v>1400</v>
      </c>
      <c r="G229" s="32" t="s">
        <v>1366</v>
      </c>
      <c r="H229" s="28">
        <v>1</v>
      </c>
      <c r="I229" s="28">
        <v>1</v>
      </c>
      <c r="J229" s="10">
        <v>1</v>
      </c>
      <c r="K229" s="28">
        <v>1</v>
      </c>
      <c r="L229" s="28">
        <v>1</v>
      </c>
      <c r="M229" s="28">
        <f t="shared" si="5"/>
        <v>1</v>
      </c>
    </row>
    <row r="230" spans="1:17" ht="15.75">
      <c r="A230" s="30">
        <v>700</v>
      </c>
      <c r="B230" s="30" t="str">
        <f>VLOOKUP(C230,Sheet1!$A$2:$B$1132,2,FALSE)</f>
        <v>VITAL</v>
      </c>
      <c r="C230" s="52" t="s">
        <v>658</v>
      </c>
      <c r="D230" s="34" t="s">
        <v>8</v>
      </c>
      <c r="E230" s="32" t="s">
        <v>1361</v>
      </c>
      <c r="F230" s="32" t="s">
        <v>1400</v>
      </c>
      <c r="G230" s="32" t="s">
        <v>1366</v>
      </c>
      <c r="H230" s="28">
        <v>1</v>
      </c>
      <c r="I230" s="28">
        <v>1</v>
      </c>
      <c r="J230" s="28">
        <v>1</v>
      </c>
      <c r="K230" s="28">
        <v>1</v>
      </c>
      <c r="L230" s="28">
        <v>1</v>
      </c>
      <c r="M230" s="28">
        <f t="shared" si="5"/>
        <v>1</v>
      </c>
    </row>
    <row r="231" spans="1:17" customFormat="1" ht="15.75">
      <c r="A231" s="2">
        <v>700</v>
      </c>
      <c r="B231" s="30" t="str">
        <f>VLOOKUP(C231,Sheet1!$A$2:$B$1132,2,FALSE)</f>
        <v>VITAL</v>
      </c>
      <c r="C231" s="50" t="s">
        <v>747</v>
      </c>
      <c r="D231" s="5" t="s">
        <v>108</v>
      </c>
      <c r="E231" s="1" t="s">
        <v>1372</v>
      </c>
      <c r="F231" s="8" t="s">
        <v>1400</v>
      </c>
      <c r="G231" s="8" t="s">
        <v>1366</v>
      </c>
      <c r="H231" s="10">
        <v>1</v>
      </c>
      <c r="I231" s="10">
        <v>1</v>
      </c>
      <c r="J231" s="10">
        <v>1</v>
      </c>
      <c r="K231" s="28">
        <v>1</v>
      </c>
      <c r="L231" s="28">
        <v>1</v>
      </c>
      <c r="M231" s="10">
        <f t="shared" si="5"/>
        <v>1</v>
      </c>
      <c r="N231" s="38"/>
      <c r="O231" s="38"/>
      <c r="P231" s="38"/>
      <c r="Q231" s="27"/>
    </row>
    <row r="232" spans="1:17" customFormat="1" ht="15.75">
      <c r="A232" s="2">
        <v>700</v>
      </c>
      <c r="B232" s="30" t="str">
        <f>VLOOKUP(C232,Sheet1!$A$2:$B$1132,2,FALSE)</f>
        <v>IMPORTANT</v>
      </c>
      <c r="C232" s="50" t="s">
        <v>919</v>
      </c>
      <c r="D232" s="5" t="s">
        <v>108</v>
      </c>
      <c r="E232" s="1" t="s">
        <v>1372</v>
      </c>
      <c r="F232" s="8" t="s">
        <v>1400</v>
      </c>
      <c r="G232" s="8" t="s">
        <v>1366</v>
      </c>
      <c r="H232" s="10">
        <v>1</v>
      </c>
      <c r="I232" s="10">
        <v>1</v>
      </c>
      <c r="J232" s="10">
        <v>1</v>
      </c>
      <c r="K232" s="28">
        <v>1</v>
      </c>
      <c r="L232" s="28">
        <v>1</v>
      </c>
      <c r="M232" s="10">
        <f t="shared" si="5"/>
        <v>1</v>
      </c>
      <c r="N232" s="38"/>
      <c r="O232" s="38"/>
      <c r="P232" s="38"/>
      <c r="Q232" s="27"/>
    </row>
    <row r="233" spans="1:17" ht="15.75">
      <c r="A233" s="30">
        <v>700</v>
      </c>
      <c r="B233" s="30" t="str">
        <f>VLOOKUP(C233,Sheet1!$A$2:$B$1132,2,FALSE)</f>
        <v>VITAL</v>
      </c>
      <c r="C233" s="52" t="s">
        <v>676</v>
      </c>
      <c r="D233" s="34" t="s">
        <v>108</v>
      </c>
      <c r="E233" s="35" t="s">
        <v>1372</v>
      </c>
      <c r="F233" s="32" t="s">
        <v>1400</v>
      </c>
      <c r="G233" s="32" t="s">
        <v>1366</v>
      </c>
      <c r="H233" s="28">
        <v>1</v>
      </c>
      <c r="I233" s="28">
        <v>1</v>
      </c>
      <c r="J233" s="28">
        <v>1</v>
      </c>
      <c r="K233" s="28">
        <v>1</v>
      </c>
      <c r="L233" s="28">
        <v>1</v>
      </c>
      <c r="M233" s="28">
        <f t="shared" si="5"/>
        <v>1</v>
      </c>
    </row>
    <row r="234" spans="1:17" customFormat="1" ht="15.75">
      <c r="A234" s="2">
        <v>700</v>
      </c>
      <c r="B234" s="30" t="str">
        <f>VLOOKUP(C234,Sheet1!$A$2:$B$1132,2,FALSE)</f>
        <v>IMPORTANT</v>
      </c>
      <c r="C234" s="50" t="s">
        <v>925</v>
      </c>
      <c r="D234" s="5" t="s">
        <v>108</v>
      </c>
      <c r="E234" s="1" t="s">
        <v>1372</v>
      </c>
      <c r="F234" s="8" t="s">
        <v>1400</v>
      </c>
      <c r="G234" s="8" t="s">
        <v>1366</v>
      </c>
      <c r="H234" s="10">
        <v>1</v>
      </c>
      <c r="I234" s="10">
        <v>1</v>
      </c>
      <c r="J234" s="10">
        <v>1</v>
      </c>
      <c r="K234" s="28">
        <v>1</v>
      </c>
      <c r="L234" s="28">
        <v>1</v>
      </c>
      <c r="M234" s="10">
        <f t="shared" si="5"/>
        <v>1</v>
      </c>
      <c r="N234" s="38"/>
      <c r="O234" s="38"/>
      <c r="P234" s="38"/>
      <c r="Q234" s="27"/>
    </row>
    <row r="235" spans="1:17" ht="15.75">
      <c r="A235" s="30">
        <v>700</v>
      </c>
      <c r="B235" s="30" t="str">
        <f>VLOOKUP(C235,Sheet1!$A$2:$B$1132,2,FALSE)</f>
        <v>VITAL</v>
      </c>
      <c r="C235" s="52" t="s">
        <v>662</v>
      </c>
      <c r="D235" s="34" t="s">
        <v>1</v>
      </c>
      <c r="E235" s="32" t="s">
        <v>1357</v>
      </c>
      <c r="F235" s="32" t="s">
        <v>1400</v>
      </c>
      <c r="G235" s="32" t="s">
        <v>1366</v>
      </c>
      <c r="H235" s="28">
        <v>1</v>
      </c>
      <c r="I235" s="28">
        <v>1</v>
      </c>
      <c r="J235" s="28">
        <v>1</v>
      </c>
      <c r="K235" s="28">
        <v>1</v>
      </c>
      <c r="L235" s="28">
        <v>1</v>
      </c>
      <c r="M235" s="28">
        <f t="shared" si="5"/>
        <v>1</v>
      </c>
    </row>
    <row r="236" spans="1:17" customFormat="1" ht="15.75">
      <c r="A236" s="2">
        <v>700</v>
      </c>
      <c r="B236" s="30" t="str">
        <f>VLOOKUP(C236,Sheet1!$A$2:$B$1132,2,FALSE)</f>
        <v>ESSENTIAL</v>
      </c>
      <c r="C236" s="51" t="s">
        <v>832</v>
      </c>
      <c r="D236" s="3" t="s">
        <v>140</v>
      </c>
      <c r="E236" s="8" t="s">
        <v>1357</v>
      </c>
      <c r="F236" s="8" t="s">
        <v>1400</v>
      </c>
      <c r="G236" s="8" t="s">
        <v>1366</v>
      </c>
      <c r="H236" s="10">
        <v>1</v>
      </c>
      <c r="I236" s="10">
        <v>1</v>
      </c>
      <c r="J236" s="10">
        <v>1</v>
      </c>
      <c r="K236" s="28">
        <v>1</v>
      </c>
      <c r="L236" s="28">
        <v>1</v>
      </c>
      <c r="M236" s="10">
        <f t="shared" si="5"/>
        <v>1</v>
      </c>
      <c r="N236" s="38"/>
      <c r="O236" s="38"/>
      <c r="P236" s="38"/>
      <c r="Q236" s="27"/>
    </row>
    <row r="237" spans="1:17" ht="15.75">
      <c r="A237" s="30">
        <v>700</v>
      </c>
      <c r="B237" s="30" t="str">
        <f>VLOOKUP(C237,Sheet1!$A$2:$B$1132,2,FALSE)</f>
        <v>VITAL</v>
      </c>
      <c r="C237" s="49" t="s">
        <v>657</v>
      </c>
      <c r="D237" s="31" t="s">
        <v>141</v>
      </c>
      <c r="E237" s="35" t="s">
        <v>1354</v>
      </c>
      <c r="F237" s="32" t="s">
        <v>1400</v>
      </c>
      <c r="G237" s="35" t="s">
        <v>1366</v>
      </c>
      <c r="H237" s="28">
        <v>1</v>
      </c>
      <c r="I237" s="28">
        <v>1</v>
      </c>
      <c r="J237" s="28">
        <v>1</v>
      </c>
      <c r="K237" s="28">
        <v>1</v>
      </c>
      <c r="L237" s="28">
        <v>1</v>
      </c>
      <c r="M237" s="28">
        <f t="shared" si="5"/>
        <v>1</v>
      </c>
    </row>
    <row r="238" spans="1:17" customFormat="1" ht="15.75">
      <c r="A238" s="2">
        <v>700</v>
      </c>
      <c r="B238" s="30" t="str">
        <f>VLOOKUP(C238,Sheet1!$A$2:$B$1132,2,FALSE)</f>
        <v>ESSENTIAL</v>
      </c>
      <c r="C238" s="51" t="s">
        <v>821</v>
      </c>
      <c r="D238" s="3" t="s">
        <v>7</v>
      </c>
      <c r="E238" s="8" t="s">
        <v>1360</v>
      </c>
      <c r="F238" s="8" t="s">
        <v>1400</v>
      </c>
      <c r="G238" s="1" t="s">
        <v>1366</v>
      </c>
      <c r="H238" s="10">
        <v>1</v>
      </c>
      <c r="I238" s="10">
        <v>1</v>
      </c>
      <c r="J238" s="10">
        <v>1</v>
      </c>
      <c r="K238" s="28">
        <v>1</v>
      </c>
      <c r="L238" s="28">
        <v>1</v>
      </c>
      <c r="M238" s="10">
        <f t="shared" si="5"/>
        <v>1</v>
      </c>
      <c r="N238" s="38"/>
      <c r="O238" s="38"/>
      <c r="P238" s="38"/>
      <c r="Q238" s="27"/>
    </row>
    <row r="239" spans="1:17" customFormat="1" ht="15.75">
      <c r="A239" s="2">
        <v>700</v>
      </c>
      <c r="B239" s="30" t="str">
        <f>VLOOKUP(C239,Sheet1!$A$2:$B$1132,2,FALSE)</f>
        <v>ESSENTIAL</v>
      </c>
      <c r="C239" s="50" t="s">
        <v>836</v>
      </c>
      <c r="D239" s="5" t="s">
        <v>7</v>
      </c>
      <c r="E239" s="8" t="s">
        <v>1360</v>
      </c>
      <c r="F239" s="8" t="s">
        <v>1400</v>
      </c>
      <c r="G239" s="1" t="s">
        <v>1366</v>
      </c>
      <c r="H239" s="10">
        <v>1</v>
      </c>
      <c r="I239" s="10">
        <v>1</v>
      </c>
      <c r="J239" s="10">
        <v>1</v>
      </c>
      <c r="K239" s="28">
        <v>1</v>
      </c>
      <c r="L239" s="28">
        <v>1</v>
      </c>
      <c r="M239" s="10">
        <f t="shared" si="5"/>
        <v>1</v>
      </c>
      <c r="N239" s="38"/>
      <c r="O239" s="38"/>
      <c r="P239" s="38"/>
      <c r="Q239" s="27"/>
    </row>
    <row r="240" spans="1:17" customFormat="1" ht="15.75">
      <c r="A240" s="2">
        <v>700</v>
      </c>
      <c r="B240" s="30" t="str">
        <f>VLOOKUP(C240,Sheet1!$A$2:$B$1132,2,FALSE)</f>
        <v>ESSENTIAL</v>
      </c>
      <c r="C240" s="51" t="s">
        <v>837</v>
      </c>
      <c r="D240" s="3" t="s">
        <v>7</v>
      </c>
      <c r="E240" s="8" t="s">
        <v>1360</v>
      </c>
      <c r="F240" s="8" t="s">
        <v>1400</v>
      </c>
      <c r="G240" s="1" t="s">
        <v>1366</v>
      </c>
      <c r="H240" s="10">
        <v>1</v>
      </c>
      <c r="I240" s="10">
        <v>1</v>
      </c>
      <c r="J240" s="10">
        <v>1</v>
      </c>
      <c r="K240" s="28">
        <v>1</v>
      </c>
      <c r="L240" s="28">
        <v>1</v>
      </c>
      <c r="M240" s="10">
        <f t="shared" si="5"/>
        <v>1</v>
      </c>
      <c r="N240" s="38"/>
      <c r="O240" s="38"/>
      <c r="P240" s="38"/>
      <c r="Q240" s="27"/>
    </row>
    <row r="241" spans="1:17" customFormat="1" ht="15.75">
      <c r="A241" s="2">
        <v>700</v>
      </c>
      <c r="B241" s="30" t="str">
        <f>VLOOKUP(C241,Sheet1!$A$2:$B$1132,2,FALSE)</f>
        <v>ESSENTIAL</v>
      </c>
      <c r="C241" s="51" t="s">
        <v>888</v>
      </c>
      <c r="D241" s="3" t="s">
        <v>7</v>
      </c>
      <c r="E241" s="8" t="s">
        <v>1360</v>
      </c>
      <c r="F241" s="8" t="s">
        <v>1400</v>
      </c>
      <c r="G241" s="1" t="s">
        <v>1366</v>
      </c>
      <c r="H241" s="10">
        <v>1</v>
      </c>
      <c r="I241" s="10">
        <v>1</v>
      </c>
      <c r="J241" s="10">
        <v>1</v>
      </c>
      <c r="K241" s="28">
        <v>1</v>
      </c>
      <c r="L241" s="28">
        <v>1</v>
      </c>
      <c r="M241" s="10">
        <f t="shared" si="5"/>
        <v>1</v>
      </c>
      <c r="N241" s="38"/>
      <c r="O241" s="38"/>
      <c r="P241" s="38"/>
      <c r="Q241" s="27"/>
    </row>
    <row r="242" spans="1:17" ht="15.75">
      <c r="A242" s="30">
        <v>700</v>
      </c>
      <c r="B242" s="30" t="str">
        <f>VLOOKUP(C242,Sheet1!$A$2:$B$1132,2,FALSE)</f>
        <v>VITAL</v>
      </c>
      <c r="C242" s="49" t="s">
        <v>659</v>
      </c>
      <c r="D242" s="31" t="s">
        <v>6</v>
      </c>
      <c r="E242" s="35" t="s">
        <v>1372</v>
      </c>
      <c r="F242" s="32" t="s">
        <v>1400</v>
      </c>
      <c r="G242" s="35" t="s">
        <v>1366</v>
      </c>
      <c r="H242" s="28">
        <v>1</v>
      </c>
      <c r="I242" s="28">
        <v>1</v>
      </c>
      <c r="J242" s="28">
        <v>1</v>
      </c>
      <c r="K242" s="28">
        <v>1</v>
      </c>
      <c r="L242" s="28">
        <v>1</v>
      </c>
      <c r="M242" s="28">
        <f t="shared" si="5"/>
        <v>1</v>
      </c>
    </row>
    <row r="243" spans="1:17" ht="15.75">
      <c r="A243" s="30">
        <v>700</v>
      </c>
      <c r="B243" s="30" t="str">
        <f>VLOOKUP(C243,Sheet1!$A$2:$B$1132,2,FALSE)</f>
        <v>VITAL</v>
      </c>
      <c r="C243" s="52" t="s">
        <v>660</v>
      </c>
      <c r="D243" s="34" t="s">
        <v>6</v>
      </c>
      <c r="E243" s="35" t="s">
        <v>1372</v>
      </c>
      <c r="F243" s="32" t="s">
        <v>1400</v>
      </c>
      <c r="G243" s="35" t="s">
        <v>1366</v>
      </c>
      <c r="H243" s="28">
        <v>1</v>
      </c>
      <c r="I243" s="28">
        <v>1</v>
      </c>
      <c r="J243" s="28">
        <v>1</v>
      </c>
      <c r="K243" s="28">
        <v>1</v>
      </c>
      <c r="L243" s="28">
        <v>1</v>
      </c>
      <c r="M243" s="28">
        <f t="shared" si="5"/>
        <v>1</v>
      </c>
    </row>
    <row r="244" spans="1:17" ht="15.75">
      <c r="A244" s="30">
        <v>700</v>
      </c>
      <c r="B244" s="30" t="str">
        <f>VLOOKUP(C244,Sheet1!$A$2:$B$1132,2,FALSE)</f>
        <v>VITAL</v>
      </c>
      <c r="C244" s="52" t="s">
        <v>686</v>
      </c>
      <c r="D244" s="34" t="s">
        <v>108</v>
      </c>
      <c r="E244" s="35" t="s">
        <v>1372</v>
      </c>
      <c r="F244" s="32" t="s">
        <v>1400</v>
      </c>
      <c r="G244" s="35" t="s">
        <v>1366</v>
      </c>
      <c r="H244" s="28">
        <v>1</v>
      </c>
      <c r="I244" s="28">
        <v>1</v>
      </c>
      <c r="J244" s="28">
        <v>1</v>
      </c>
      <c r="K244" s="28">
        <v>1</v>
      </c>
      <c r="L244" s="28">
        <v>1</v>
      </c>
      <c r="M244" s="28">
        <f t="shared" si="5"/>
        <v>1</v>
      </c>
    </row>
    <row r="245" spans="1:17" ht="15.75">
      <c r="A245" s="30">
        <v>700</v>
      </c>
      <c r="B245" s="30" t="str">
        <f>VLOOKUP(C245,Sheet1!$A$2:$B$1132,2,FALSE)</f>
        <v>VITAL</v>
      </c>
      <c r="C245" s="49" t="s">
        <v>687</v>
      </c>
      <c r="D245" s="31" t="s">
        <v>108</v>
      </c>
      <c r="E245" s="35" t="s">
        <v>1372</v>
      </c>
      <c r="F245" s="32" t="s">
        <v>1400</v>
      </c>
      <c r="G245" s="35" t="s">
        <v>1366</v>
      </c>
      <c r="H245" s="28">
        <v>1</v>
      </c>
      <c r="I245" s="28">
        <v>1</v>
      </c>
      <c r="J245" s="28">
        <v>1</v>
      </c>
      <c r="K245" s="28">
        <v>1</v>
      </c>
      <c r="L245" s="28">
        <v>1</v>
      </c>
      <c r="M245" s="28">
        <f t="shared" si="5"/>
        <v>1</v>
      </c>
    </row>
    <row r="246" spans="1:17" ht="15.75">
      <c r="A246" s="30">
        <v>700</v>
      </c>
      <c r="B246" s="30" t="str">
        <f>VLOOKUP(C246,Sheet1!$A$2:$B$1132,2,FALSE)</f>
        <v>VITAL</v>
      </c>
      <c r="C246" s="52" t="s">
        <v>688</v>
      </c>
      <c r="D246" s="34" t="s">
        <v>108</v>
      </c>
      <c r="E246" s="35" t="s">
        <v>1372</v>
      </c>
      <c r="F246" s="32" t="s">
        <v>1400</v>
      </c>
      <c r="G246" s="35" t="s">
        <v>1366</v>
      </c>
      <c r="H246" s="28">
        <v>1</v>
      </c>
      <c r="I246" s="28">
        <v>1</v>
      </c>
      <c r="J246" s="28">
        <v>1</v>
      </c>
      <c r="K246" s="28">
        <v>1</v>
      </c>
      <c r="L246" s="28">
        <v>1</v>
      </c>
      <c r="M246" s="28">
        <f t="shared" si="5"/>
        <v>1</v>
      </c>
    </row>
    <row r="247" spans="1:17" customFormat="1" ht="15.75">
      <c r="A247" s="2">
        <v>700</v>
      </c>
      <c r="B247" s="30" t="str">
        <f>VLOOKUP(C247,Sheet1!$A$2:$B$1132,2,FALSE)</f>
        <v>IMPORTANT</v>
      </c>
      <c r="C247" s="51" t="s">
        <v>1126</v>
      </c>
      <c r="D247" s="3" t="s">
        <v>108</v>
      </c>
      <c r="E247" s="1" t="s">
        <v>1372</v>
      </c>
      <c r="F247" s="8" t="s">
        <v>1400</v>
      </c>
      <c r="G247" s="1" t="s">
        <v>1366</v>
      </c>
      <c r="H247" s="10">
        <v>1</v>
      </c>
      <c r="I247" s="10">
        <v>1</v>
      </c>
      <c r="J247" s="10">
        <v>1</v>
      </c>
      <c r="K247" s="28">
        <v>1</v>
      </c>
      <c r="L247" s="28">
        <v>1</v>
      </c>
      <c r="M247" s="10">
        <f t="shared" si="5"/>
        <v>1</v>
      </c>
      <c r="N247" s="38"/>
      <c r="O247" s="38"/>
      <c r="P247" s="38"/>
      <c r="Q247" s="27"/>
    </row>
    <row r="248" spans="1:17" ht="15.75">
      <c r="A248" s="30">
        <v>700</v>
      </c>
      <c r="B248" s="30" t="str">
        <f>VLOOKUP(C248,Sheet1!$A$2:$B$1132,2,FALSE)</f>
        <v>VITAL</v>
      </c>
      <c r="C248" s="52" t="s">
        <v>680</v>
      </c>
      <c r="D248" s="34" t="s">
        <v>209</v>
      </c>
      <c r="E248" s="35" t="s">
        <v>1372</v>
      </c>
      <c r="F248" s="32" t="s">
        <v>1400</v>
      </c>
      <c r="G248" s="35" t="s">
        <v>1366</v>
      </c>
      <c r="H248" s="28">
        <v>1</v>
      </c>
      <c r="I248" s="28">
        <v>1</v>
      </c>
      <c r="J248" s="28">
        <v>1</v>
      </c>
      <c r="K248" s="28">
        <v>1</v>
      </c>
      <c r="L248" s="28">
        <v>1</v>
      </c>
      <c r="M248" s="28">
        <f t="shared" si="5"/>
        <v>1</v>
      </c>
    </row>
    <row r="249" spans="1:17" ht="15.75">
      <c r="A249" s="30">
        <v>700</v>
      </c>
      <c r="B249" s="30" t="str">
        <f>VLOOKUP(C249,Sheet1!$A$2:$B$1132,2,FALSE)</f>
        <v>VITAL</v>
      </c>
      <c r="C249" s="52" t="s">
        <v>692</v>
      </c>
      <c r="D249" s="34" t="s">
        <v>209</v>
      </c>
      <c r="E249" s="35" t="s">
        <v>1372</v>
      </c>
      <c r="F249" s="32" t="s">
        <v>1400</v>
      </c>
      <c r="G249" s="35" t="s">
        <v>1366</v>
      </c>
      <c r="H249" s="28">
        <v>1</v>
      </c>
      <c r="I249" s="28">
        <v>1</v>
      </c>
      <c r="J249" s="28">
        <v>1</v>
      </c>
      <c r="K249" s="28">
        <v>1</v>
      </c>
      <c r="L249" s="28">
        <v>1</v>
      </c>
      <c r="M249" s="28">
        <f t="shared" si="5"/>
        <v>1</v>
      </c>
    </row>
    <row r="250" spans="1:17" customFormat="1" ht="15.75">
      <c r="A250" s="2">
        <v>700</v>
      </c>
      <c r="B250" s="30" t="str">
        <f>VLOOKUP(C250,Sheet1!$A$2:$B$1132,2,FALSE)</f>
        <v>NORMAL</v>
      </c>
      <c r="C250" s="51" t="s">
        <v>1140</v>
      </c>
      <c r="D250" s="3" t="s">
        <v>4</v>
      </c>
      <c r="E250" s="1" t="s">
        <v>1354</v>
      </c>
      <c r="F250" s="8" t="s">
        <v>1400</v>
      </c>
      <c r="G250" s="1" t="s">
        <v>1366</v>
      </c>
      <c r="H250" s="10">
        <v>1</v>
      </c>
      <c r="I250" s="10">
        <v>1</v>
      </c>
      <c r="J250" s="10">
        <v>1</v>
      </c>
      <c r="K250" s="28">
        <v>1</v>
      </c>
      <c r="L250" s="28">
        <v>1</v>
      </c>
      <c r="M250" s="10">
        <f t="shared" si="5"/>
        <v>1</v>
      </c>
      <c r="N250" s="38"/>
      <c r="O250" s="38"/>
      <c r="P250" s="38"/>
      <c r="Q250" s="27"/>
    </row>
    <row r="251" spans="1:17" customFormat="1" ht="15.75">
      <c r="A251" s="2">
        <v>700</v>
      </c>
      <c r="B251" s="30" t="str">
        <f>VLOOKUP(C251,Sheet1!$A$2:$B$1132,2,FALSE)</f>
        <v>NORMAL</v>
      </c>
      <c r="C251" s="50" t="s">
        <v>1141</v>
      </c>
      <c r="D251" s="5" t="s">
        <v>4</v>
      </c>
      <c r="E251" s="1" t="s">
        <v>1354</v>
      </c>
      <c r="F251" s="8" t="s">
        <v>1400</v>
      </c>
      <c r="G251" s="1" t="s">
        <v>1366</v>
      </c>
      <c r="H251" s="10">
        <v>1</v>
      </c>
      <c r="I251" s="10">
        <v>1</v>
      </c>
      <c r="J251" s="10">
        <v>1</v>
      </c>
      <c r="K251" s="28">
        <v>1</v>
      </c>
      <c r="L251" s="28">
        <v>1</v>
      </c>
      <c r="M251" s="10">
        <f t="shared" si="5"/>
        <v>1</v>
      </c>
      <c r="N251" s="38"/>
      <c r="O251" s="38"/>
      <c r="P251" s="38"/>
      <c r="Q251" s="27"/>
    </row>
    <row r="252" spans="1:17" customFormat="1" ht="15.75">
      <c r="A252" s="2">
        <v>700</v>
      </c>
      <c r="B252" s="30" t="str">
        <f>VLOOKUP(C252,Sheet1!$A$2:$B$1132,2,FALSE)</f>
        <v>IMPORTANT</v>
      </c>
      <c r="C252" s="51" t="s">
        <v>920</v>
      </c>
      <c r="D252" s="3" t="s">
        <v>3</v>
      </c>
      <c r="E252" s="1" t="s">
        <v>1354</v>
      </c>
      <c r="F252" s="8" t="s">
        <v>1400</v>
      </c>
      <c r="G252" s="1" t="s">
        <v>1366</v>
      </c>
      <c r="H252" s="10">
        <v>1</v>
      </c>
      <c r="I252" s="10"/>
      <c r="J252" s="10">
        <v>1</v>
      </c>
      <c r="K252" s="10"/>
      <c r="L252" s="10"/>
      <c r="M252" s="10">
        <f t="shared" si="5"/>
        <v>0.43000000000000005</v>
      </c>
      <c r="N252" s="38"/>
      <c r="O252" s="38"/>
      <c r="P252" s="38"/>
      <c r="Q252" s="27"/>
    </row>
    <row r="253" spans="1:17" ht="15.75">
      <c r="A253" s="30">
        <v>700</v>
      </c>
      <c r="B253" s="30" t="str">
        <f>VLOOKUP(C253,Sheet1!$A$2:$B$1132,2,FALSE)</f>
        <v>VITAL</v>
      </c>
      <c r="C253" s="49" t="s">
        <v>713</v>
      </c>
      <c r="D253" s="31" t="s">
        <v>2</v>
      </c>
      <c r="E253" s="35" t="s">
        <v>1372</v>
      </c>
      <c r="F253" s="32" t="s">
        <v>1400</v>
      </c>
      <c r="G253" s="35" t="s">
        <v>1366</v>
      </c>
      <c r="H253" s="28">
        <v>1</v>
      </c>
      <c r="I253" s="28">
        <v>1</v>
      </c>
      <c r="J253" s="10">
        <v>1</v>
      </c>
      <c r="K253" s="28">
        <v>1</v>
      </c>
      <c r="L253" s="28">
        <v>1</v>
      </c>
      <c r="M253" s="28">
        <f t="shared" si="5"/>
        <v>1</v>
      </c>
    </row>
    <row r="254" spans="1:17" customFormat="1" ht="15.75">
      <c r="A254" s="2">
        <v>700</v>
      </c>
      <c r="B254" s="30" t="str">
        <f>VLOOKUP(C254,Sheet1!$A$2:$B$1132,2,FALSE)</f>
        <v>ESSENTIAL</v>
      </c>
      <c r="C254" s="51" t="s">
        <v>771</v>
      </c>
      <c r="D254" s="3" t="s">
        <v>5</v>
      </c>
      <c r="E254" s="8" t="s">
        <v>1354</v>
      </c>
      <c r="F254" s="8" t="s">
        <v>1400</v>
      </c>
      <c r="G254" s="8" t="s">
        <v>1366</v>
      </c>
      <c r="H254" s="10">
        <v>1</v>
      </c>
      <c r="I254" s="10">
        <v>1</v>
      </c>
      <c r="J254" s="10">
        <v>1</v>
      </c>
      <c r="K254" s="28">
        <v>1</v>
      </c>
      <c r="L254" s="28">
        <v>1</v>
      </c>
      <c r="M254" s="10">
        <f t="shared" si="5"/>
        <v>1</v>
      </c>
      <c r="N254" s="38"/>
      <c r="O254" s="38"/>
      <c r="P254" s="38"/>
      <c r="Q254" s="27"/>
    </row>
    <row r="255" spans="1:17" customFormat="1" ht="15.75">
      <c r="A255" s="2">
        <v>700</v>
      </c>
      <c r="B255" s="30" t="str">
        <f>VLOOKUP(C255,Sheet1!$A$2:$B$1132,2,FALSE)</f>
        <v>ESSENTIAL</v>
      </c>
      <c r="C255" s="50" t="s">
        <v>772</v>
      </c>
      <c r="D255" s="5" t="s">
        <v>5</v>
      </c>
      <c r="E255" s="8" t="s">
        <v>1354</v>
      </c>
      <c r="F255" s="8" t="s">
        <v>1400</v>
      </c>
      <c r="G255" s="8" t="s">
        <v>1366</v>
      </c>
      <c r="H255" s="10">
        <v>1</v>
      </c>
      <c r="I255" s="10">
        <v>1</v>
      </c>
      <c r="J255" s="10">
        <v>1</v>
      </c>
      <c r="K255" s="28">
        <v>1</v>
      </c>
      <c r="L255" s="28">
        <v>1</v>
      </c>
      <c r="M255" s="10">
        <f t="shared" si="5"/>
        <v>1</v>
      </c>
      <c r="N255" s="38"/>
      <c r="O255" s="38"/>
      <c r="P255" s="38"/>
      <c r="Q255" s="27"/>
    </row>
    <row r="256" spans="1:17" customFormat="1" ht="15.75">
      <c r="A256" s="13">
        <v>700</v>
      </c>
      <c r="B256" s="30" t="str">
        <f>VLOOKUP(C256,Sheet1!$A$2:$B$1132,2,FALSE)</f>
        <v>ESSENTIAL</v>
      </c>
      <c r="C256" s="53" t="s">
        <v>1063</v>
      </c>
      <c r="D256" s="14" t="s">
        <v>80</v>
      </c>
      <c r="E256" s="15"/>
      <c r="F256" s="8" t="s">
        <v>1400</v>
      </c>
      <c r="G256" s="15" t="s">
        <v>1366</v>
      </c>
      <c r="H256" s="16">
        <v>1</v>
      </c>
      <c r="I256" s="16">
        <v>1</v>
      </c>
      <c r="J256" s="16">
        <v>1</v>
      </c>
      <c r="K256" s="28">
        <v>1</v>
      </c>
      <c r="L256" s="28">
        <v>1</v>
      </c>
      <c r="M256" s="10">
        <f t="shared" si="5"/>
        <v>1</v>
      </c>
      <c r="N256" s="38"/>
      <c r="O256" s="38"/>
      <c r="P256" s="38"/>
      <c r="Q256" s="27"/>
    </row>
    <row r="257" spans="1:17" customFormat="1" ht="15.75">
      <c r="A257" s="2">
        <v>700</v>
      </c>
      <c r="B257" s="30" t="str">
        <f>VLOOKUP(C257,Sheet1!$A$2:$B$1132,2,FALSE)</f>
        <v>NORMAL</v>
      </c>
      <c r="C257" s="51" t="s">
        <v>1077</v>
      </c>
      <c r="D257" s="3" t="s">
        <v>162</v>
      </c>
      <c r="E257" s="8" t="s">
        <v>1354</v>
      </c>
      <c r="F257" s="8" t="s">
        <v>1400</v>
      </c>
      <c r="G257" s="8" t="s">
        <v>1366</v>
      </c>
      <c r="H257" s="10">
        <v>1</v>
      </c>
      <c r="I257" s="10">
        <v>1</v>
      </c>
      <c r="J257" s="10">
        <v>1</v>
      </c>
      <c r="K257" s="28">
        <v>1</v>
      </c>
      <c r="L257" s="28">
        <v>1</v>
      </c>
      <c r="M257" s="10">
        <f t="shared" si="5"/>
        <v>1</v>
      </c>
      <c r="N257" s="38"/>
      <c r="O257" s="38"/>
      <c r="P257" s="38"/>
      <c r="Q257" s="27"/>
    </row>
    <row r="258" spans="1:17" customFormat="1" ht="15.75">
      <c r="A258" s="2">
        <v>700</v>
      </c>
      <c r="B258" s="30" t="str">
        <f>VLOOKUP(C258,Sheet1!$A$2:$B$1132,2,FALSE)</f>
        <v>IMPORTANT</v>
      </c>
      <c r="C258" s="50" t="s">
        <v>1111</v>
      </c>
      <c r="D258" s="5" t="s">
        <v>238</v>
      </c>
      <c r="E258" s="8" t="s">
        <v>1354</v>
      </c>
      <c r="F258" s="8" t="s">
        <v>1400</v>
      </c>
      <c r="G258" s="8" t="s">
        <v>1366</v>
      </c>
      <c r="H258" s="10"/>
      <c r="I258" s="10"/>
      <c r="J258" s="10"/>
      <c r="K258" s="10"/>
      <c r="L258" s="10"/>
      <c r="M258" s="10">
        <f t="shared" si="5"/>
        <v>0</v>
      </c>
      <c r="N258" s="38"/>
      <c r="O258" s="38"/>
      <c r="P258" s="38"/>
      <c r="Q258" s="27"/>
    </row>
    <row r="259" spans="1:17" customFormat="1" ht="15.75">
      <c r="A259" s="2">
        <v>700</v>
      </c>
      <c r="B259" s="30" t="str">
        <f>VLOOKUP(C259,Sheet1!$A$2:$B$1132,2,FALSE)</f>
        <v>IMPORTANT</v>
      </c>
      <c r="C259" s="50" t="s">
        <v>1127</v>
      </c>
      <c r="D259" s="5" t="s">
        <v>108</v>
      </c>
      <c r="E259" s="1" t="s">
        <v>1372</v>
      </c>
      <c r="F259" s="8" t="s">
        <v>1400</v>
      </c>
      <c r="G259" s="8" t="s">
        <v>1366</v>
      </c>
      <c r="H259" s="10">
        <v>1</v>
      </c>
      <c r="I259" s="10">
        <v>1</v>
      </c>
      <c r="J259" s="10">
        <v>1</v>
      </c>
      <c r="K259" s="28">
        <v>1</v>
      </c>
      <c r="L259" s="28">
        <v>1</v>
      </c>
      <c r="M259" s="10">
        <f t="shared" si="5"/>
        <v>1</v>
      </c>
      <c r="N259" s="38"/>
      <c r="O259" s="38"/>
      <c r="P259" s="38"/>
      <c r="Q259" s="27"/>
    </row>
    <row r="260" spans="1:17" customFormat="1" ht="15.75">
      <c r="A260" s="2">
        <v>700</v>
      </c>
      <c r="B260" s="30" t="str">
        <f>VLOOKUP(C260,Sheet1!$A$2:$B$1132,2,FALSE)</f>
        <v>NORMAL</v>
      </c>
      <c r="C260" s="51" t="s">
        <v>976</v>
      </c>
      <c r="D260" s="3" t="s">
        <v>4</v>
      </c>
      <c r="E260" s="8" t="s">
        <v>1354</v>
      </c>
      <c r="F260" s="8" t="s">
        <v>1400</v>
      </c>
      <c r="G260" s="8" t="s">
        <v>1366</v>
      </c>
      <c r="H260" s="10"/>
      <c r="I260" s="10"/>
      <c r="J260" s="10"/>
      <c r="K260" s="10"/>
      <c r="L260" s="10"/>
      <c r="M260" s="10">
        <f t="shared" si="5"/>
        <v>0</v>
      </c>
      <c r="N260" s="38"/>
      <c r="O260" s="38"/>
      <c r="P260" s="38"/>
      <c r="Q260" s="27"/>
    </row>
    <row r="261" spans="1:17" customFormat="1" ht="15.75">
      <c r="A261" s="2">
        <v>700</v>
      </c>
      <c r="B261" s="30" t="str">
        <f>VLOOKUP(C261,Sheet1!$A$2:$B$1132,2,FALSE)</f>
        <v>VITAL</v>
      </c>
      <c r="C261" s="50" t="s">
        <v>756</v>
      </c>
      <c r="D261" s="5" t="s">
        <v>172</v>
      </c>
      <c r="E261" s="8" t="s">
        <v>1354</v>
      </c>
      <c r="F261" s="8" t="s">
        <v>1400</v>
      </c>
      <c r="G261" s="8" t="s">
        <v>1366</v>
      </c>
      <c r="H261" s="10">
        <v>1</v>
      </c>
      <c r="I261" s="10">
        <v>1</v>
      </c>
      <c r="J261" s="10">
        <v>1</v>
      </c>
      <c r="K261" s="28">
        <v>1</v>
      </c>
      <c r="L261" s="28">
        <v>1</v>
      </c>
      <c r="M261" s="10">
        <f t="shared" si="5"/>
        <v>1</v>
      </c>
      <c r="N261" s="38"/>
      <c r="O261" s="38"/>
      <c r="P261" s="38"/>
      <c r="Q261" s="27"/>
    </row>
    <row r="262" spans="1:17" ht="15.75">
      <c r="A262" s="30">
        <v>700</v>
      </c>
      <c r="B262" s="30" t="str">
        <f>VLOOKUP(C262,Sheet1!$A$2:$B$1132,2,FALSE)</f>
        <v>VITAL</v>
      </c>
      <c r="C262" s="52" t="s">
        <v>708</v>
      </c>
      <c r="D262" s="34" t="s">
        <v>172</v>
      </c>
      <c r="E262" s="32" t="s">
        <v>1354</v>
      </c>
      <c r="F262" s="32" t="s">
        <v>1400</v>
      </c>
      <c r="G262" s="32" t="s">
        <v>1366</v>
      </c>
      <c r="H262" s="28">
        <v>1</v>
      </c>
      <c r="I262" s="28">
        <v>1</v>
      </c>
      <c r="J262" s="10">
        <v>1</v>
      </c>
      <c r="K262" s="28">
        <v>1</v>
      </c>
      <c r="L262" s="28">
        <v>1</v>
      </c>
      <c r="M262" s="28">
        <f t="shared" si="5"/>
        <v>1</v>
      </c>
    </row>
    <row r="263" spans="1:17" customFormat="1" ht="15.75">
      <c r="A263" s="2">
        <v>700</v>
      </c>
      <c r="B263" s="30" t="str">
        <f>VLOOKUP(C263,Sheet1!$A$2:$B$1132,2,FALSE)</f>
        <v>NORMAL</v>
      </c>
      <c r="C263" s="50" t="s">
        <v>1149</v>
      </c>
      <c r="D263" s="5" t="s">
        <v>330</v>
      </c>
      <c r="E263" s="8"/>
      <c r="F263" s="8" t="s">
        <v>1400</v>
      </c>
      <c r="G263" s="8" t="s">
        <v>1366</v>
      </c>
      <c r="H263" s="10">
        <v>1</v>
      </c>
      <c r="I263" s="10">
        <v>1</v>
      </c>
      <c r="J263" s="10">
        <v>1</v>
      </c>
      <c r="K263" s="28">
        <v>1</v>
      </c>
      <c r="L263" s="28">
        <v>1</v>
      </c>
      <c r="M263" s="10">
        <f t="shared" si="5"/>
        <v>1</v>
      </c>
      <c r="N263" s="38"/>
      <c r="O263" s="38"/>
      <c r="P263" s="38"/>
      <c r="Q263" s="27"/>
    </row>
    <row r="264" spans="1:17" customFormat="1" ht="15.75">
      <c r="A264" s="2">
        <v>700</v>
      </c>
      <c r="B264" s="30" t="str">
        <f>VLOOKUP(C264,Sheet1!$A$2:$B$1132,2,FALSE)</f>
        <v>NORMAL</v>
      </c>
      <c r="C264" s="51" t="s">
        <v>1150</v>
      </c>
      <c r="D264" s="3" t="s">
        <v>331</v>
      </c>
      <c r="E264" s="8"/>
      <c r="F264" s="8" t="s">
        <v>1400</v>
      </c>
      <c r="G264" s="8" t="s">
        <v>1366</v>
      </c>
      <c r="H264" s="10">
        <v>1</v>
      </c>
      <c r="I264" s="10">
        <v>1</v>
      </c>
      <c r="J264" s="10">
        <v>1</v>
      </c>
      <c r="K264" s="28">
        <v>1</v>
      </c>
      <c r="L264" s="28">
        <v>1</v>
      </c>
      <c r="M264" s="10">
        <f t="shared" ref="M264:M327" si="6">SUMPRODUCT(H264:L264,$AA$2:$AE$2)</f>
        <v>1</v>
      </c>
      <c r="N264" s="38"/>
      <c r="O264" s="38"/>
      <c r="P264" s="38"/>
      <c r="Q264" s="27"/>
    </row>
    <row r="265" spans="1:17" customFormat="1" ht="15.75">
      <c r="A265" s="2">
        <v>700</v>
      </c>
      <c r="B265" s="30" t="str">
        <f>VLOOKUP(C265,Sheet1!$A$2:$B$1132,2,FALSE)</f>
        <v>NORMAL</v>
      </c>
      <c r="C265" s="50" t="s">
        <v>1151</v>
      </c>
      <c r="D265" s="5" t="s">
        <v>332</v>
      </c>
      <c r="E265" s="8"/>
      <c r="F265" s="8" t="s">
        <v>1400</v>
      </c>
      <c r="G265" s="8" t="s">
        <v>1366</v>
      </c>
      <c r="H265" s="10">
        <v>1</v>
      </c>
      <c r="I265" s="10">
        <v>1</v>
      </c>
      <c r="J265" s="10">
        <v>1</v>
      </c>
      <c r="K265" s="28">
        <v>1</v>
      </c>
      <c r="L265" s="28">
        <v>1</v>
      </c>
      <c r="M265" s="10">
        <f t="shared" si="6"/>
        <v>1</v>
      </c>
      <c r="N265" s="38"/>
      <c r="O265" s="38"/>
      <c r="P265" s="38"/>
      <c r="Q265" s="27"/>
    </row>
    <row r="266" spans="1:17" customFormat="1" ht="15.75">
      <c r="A266" s="2">
        <v>700</v>
      </c>
      <c r="B266" s="30" t="str">
        <f>VLOOKUP(C266,Sheet1!$A$2:$B$1132,2,FALSE)</f>
        <v>NORMAL</v>
      </c>
      <c r="C266" s="51" t="s">
        <v>1152</v>
      </c>
      <c r="D266" s="3" t="s">
        <v>333</v>
      </c>
      <c r="E266" s="8"/>
      <c r="F266" s="8" t="s">
        <v>1400</v>
      </c>
      <c r="G266" s="8" t="s">
        <v>1366</v>
      </c>
      <c r="H266" s="10">
        <v>1</v>
      </c>
      <c r="I266" s="10">
        <v>1</v>
      </c>
      <c r="J266" s="10">
        <v>1</v>
      </c>
      <c r="K266" s="28">
        <v>1</v>
      </c>
      <c r="L266" s="28">
        <v>1</v>
      </c>
      <c r="M266" s="10">
        <f t="shared" si="6"/>
        <v>1</v>
      </c>
      <c r="N266" s="38"/>
      <c r="O266" s="38"/>
      <c r="P266" s="38"/>
      <c r="Q266" s="27"/>
    </row>
    <row r="267" spans="1:17" customFormat="1" ht="15.75">
      <c r="A267" s="2">
        <v>700</v>
      </c>
      <c r="B267" s="30" t="str">
        <f>VLOOKUP(C267,Sheet1!$A$2:$B$1132,2,FALSE)</f>
        <v>IMPORTANT</v>
      </c>
      <c r="C267" s="50" t="s">
        <v>921</v>
      </c>
      <c r="D267" s="5" t="s">
        <v>3</v>
      </c>
      <c r="E267" s="8" t="s">
        <v>1354</v>
      </c>
      <c r="F267" s="8" t="s">
        <v>1400</v>
      </c>
      <c r="G267" s="8" t="s">
        <v>1366</v>
      </c>
      <c r="H267" s="10">
        <v>1</v>
      </c>
      <c r="I267" s="10">
        <v>1</v>
      </c>
      <c r="J267" s="10">
        <v>1</v>
      </c>
      <c r="K267" s="28">
        <v>1</v>
      </c>
      <c r="L267" s="28">
        <v>1</v>
      </c>
      <c r="M267" s="10">
        <f t="shared" si="6"/>
        <v>1</v>
      </c>
      <c r="N267" s="38"/>
      <c r="O267" s="38"/>
      <c r="P267" s="38"/>
      <c r="Q267" s="27"/>
    </row>
    <row r="268" spans="1:17" customFormat="1" ht="15.75">
      <c r="A268" s="2">
        <v>700</v>
      </c>
      <c r="B268" s="30" t="str">
        <f>VLOOKUP(C268,Sheet1!$A$2:$B$1132,2,FALSE)</f>
        <v>NORMAL</v>
      </c>
      <c r="C268" s="51" t="s">
        <v>1103</v>
      </c>
      <c r="D268" s="3" t="s">
        <v>109</v>
      </c>
      <c r="E268" s="8" t="s">
        <v>1354</v>
      </c>
      <c r="F268" s="8" t="s">
        <v>1400</v>
      </c>
      <c r="G268" s="8" t="s">
        <v>1366</v>
      </c>
      <c r="H268" s="10">
        <v>1</v>
      </c>
      <c r="I268" s="10">
        <v>1</v>
      </c>
      <c r="J268" s="10">
        <v>1</v>
      </c>
      <c r="K268" s="28">
        <v>1</v>
      </c>
      <c r="L268" s="28">
        <v>1</v>
      </c>
      <c r="M268" s="10">
        <f t="shared" si="6"/>
        <v>1</v>
      </c>
      <c r="N268" s="38"/>
      <c r="O268" s="38"/>
      <c r="P268" s="38"/>
      <c r="Q268" s="27"/>
    </row>
    <row r="269" spans="1:17" ht="15.75">
      <c r="A269" s="30">
        <v>700</v>
      </c>
      <c r="B269" s="30" t="str">
        <f>VLOOKUP(C269,Sheet1!$A$2:$B$1132,2,FALSE)</f>
        <v>VITAL</v>
      </c>
      <c r="C269" s="49" t="s">
        <v>740</v>
      </c>
      <c r="D269" s="31" t="s">
        <v>236</v>
      </c>
      <c r="E269" s="32" t="s">
        <v>1354</v>
      </c>
      <c r="F269" s="32" t="s">
        <v>1400</v>
      </c>
      <c r="G269" s="32" t="s">
        <v>1366</v>
      </c>
      <c r="H269" s="28">
        <v>1</v>
      </c>
      <c r="I269" s="28">
        <v>1</v>
      </c>
      <c r="J269" s="28">
        <v>1</v>
      </c>
      <c r="K269" s="28">
        <v>1</v>
      </c>
      <c r="L269" s="28">
        <v>1</v>
      </c>
      <c r="M269" s="28">
        <f t="shared" si="6"/>
        <v>1</v>
      </c>
    </row>
    <row r="270" spans="1:17" customFormat="1" ht="15.75">
      <c r="A270" s="2">
        <v>700</v>
      </c>
      <c r="B270" s="30" t="str">
        <f>VLOOKUP(C270,Sheet1!$A$2:$B$1132,2,FALSE)</f>
        <v>ESSENTIAL</v>
      </c>
      <c r="C270" s="51" t="s">
        <v>831</v>
      </c>
      <c r="D270" s="3" t="s">
        <v>236</v>
      </c>
      <c r="E270" s="8" t="s">
        <v>1354</v>
      </c>
      <c r="F270" s="8" t="s">
        <v>1400</v>
      </c>
      <c r="G270" s="8" t="s">
        <v>1366</v>
      </c>
      <c r="H270" s="10">
        <v>1</v>
      </c>
      <c r="I270" s="10">
        <v>1</v>
      </c>
      <c r="J270" s="28">
        <v>1</v>
      </c>
      <c r="K270" s="28">
        <v>1</v>
      </c>
      <c r="L270" s="28">
        <v>1</v>
      </c>
      <c r="M270" s="10">
        <f t="shared" si="6"/>
        <v>1</v>
      </c>
      <c r="N270" s="38"/>
      <c r="O270" s="38"/>
      <c r="P270" s="38"/>
      <c r="Q270" s="27"/>
    </row>
    <row r="271" spans="1:17" customFormat="1" ht="15.75">
      <c r="A271" s="2">
        <v>700</v>
      </c>
      <c r="B271" s="30" t="str">
        <f>VLOOKUP(C271,Sheet1!$A$2:$B$1132,2,FALSE)</f>
        <v>VITAL</v>
      </c>
      <c r="C271" s="51" t="s">
        <v>748</v>
      </c>
      <c r="D271" s="3" t="s">
        <v>235</v>
      </c>
      <c r="E271" s="8" t="s">
        <v>1354</v>
      </c>
      <c r="F271" s="8" t="s">
        <v>1400</v>
      </c>
      <c r="G271" s="8" t="s">
        <v>1366</v>
      </c>
      <c r="H271" s="10">
        <v>1</v>
      </c>
      <c r="I271" s="10">
        <v>1</v>
      </c>
      <c r="J271" s="28">
        <v>1</v>
      </c>
      <c r="K271" s="28">
        <v>1</v>
      </c>
      <c r="L271" s="28">
        <v>1</v>
      </c>
      <c r="M271" s="10">
        <f t="shared" si="6"/>
        <v>1</v>
      </c>
      <c r="N271" s="38"/>
      <c r="O271" s="38"/>
      <c r="P271" s="38"/>
      <c r="Q271" s="27"/>
    </row>
    <row r="272" spans="1:17" ht="15.75">
      <c r="A272" s="30">
        <v>700</v>
      </c>
      <c r="B272" s="30" t="str">
        <f>VLOOKUP(C272,Sheet1!$A$2:$B$1132,2,FALSE)</f>
        <v>VITAL</v>
      </c>
      <c r="C272" s="52" t="s">
        <v>741</v>
      </c>
      <c r="D272" s="34" t="s">
        <v>235</v>
      </c>
      <c r="E272" s="32" t="s">
        <v>1354</v>
      </c>
      <c r="F272" s="32" t="s">
        <v>1400</v>
      </c>
      <c r="G272" s="32" t="s">
        <v>1366</v>
      </c>
      <c r="H272" s="28">
        <v>1</v>
      </c>
      <c r="I272" s="28">
        <v>1</v>
      </c>
      <c r="J272" s="28">
        <v>1</v>
      </c>
      <c r="K272" s="28">
        <v>1</v>
      </c>
      <c r="L272" s="28">
        <v>1</v>
      </c>
      <c r="M272" s="28">
        <f t="shared" si="6"/>
        <v>1</v>
      </c>
    </row>
    <row r="273" spans="1:17" ht="15.75">
      <c r="A273" s="30">
        <v>700</v>
      </c>
      <c r="B273" s="30" t="str">
        <f>VLOOKUP(C273,Sheet1!$A$2:$B$1132,2,FALSE)</f>
        <v>VITAL</v>
      </c>
      <c r="C273" s="52" t="s">
        <v>714</v>
      </c>
      <c r="D273" s="34" t="s">
        <v>2</v>
      </c>
      <c r="E273" s="35" t="s">
        <v>1372</v>
      </c>
      <c r="F273" s="32" t="s">
        <v>1400</v>
      </c>
      <c r="G273" s="32" t="s">
        <v>1366</v>
      </c>
      <c r="H273" s="28">
        <v>1</v>
      </c>
      <c r="I273" s="28">
        <v>1</v>
      </c>
      <c r="J273" s="28">
        <v>1</v>
      </c>
      <c r="K273" s="28">
        <v>1</v>
      </c>
      <c r="L273" s="28">
        <v>1</v>
      </c>
      <c r="M273" s="28">
        <f t="shared" si="6"/>
        <v>1</v>
      </c>
    </row>
    <row r="274" spans="1:17" customFormat="1" ht="15.75">
      <c r="A274" s="2">
        <v>800</v>
      </c>
      <c r="B274" s="30" t="str">
        <f>VLOOKUP(C274,Sheet1!$A$2:$B$1132,2,FALSE)</f>
        <v>ESSENTIAL</v>
      </c>
      <c r="C274" s="51" t="s">
        <v>785</v>
      </c>
      <c r="D274" s="3" t="s">
        <v>5</v>
      </c>
      <c r="E274" s="1" t="s">
        <v>1355</v>
      </c>
      <c r="F274" s="8" t="s">
        <v>1400</v>
      </c>
      <c r="G274" s="8" t="s">
        <v>1368</v>
      </c>
      <c r="H274" s="10">
        <v>1</v>
      </c>
      <c r="I274" s="10"/>
      <c r="J274" s="10">
        <v>1</v>
      </c>
      <c r="K274" s="10"/>
      <c r="L274" s="10"/>
      <c r="M274" s="10">
        <f t="shared" si="6"/>
        <v>0.43000000000000005</v>
      </c>
      <c r="N274" s="38"/>
      <c r="O274" s="38"/>
      <c r="P274" s="38"/>
      <c r="Q274" s="27"/>
    </row>
    <row r="275" spans="1:17" customFormat="1" ht="15.75">
      <c r="A275" s="2">
        <v>800</v>
      </c>
      <c r="B275" s="30" t="str">
        <f>VLOOKUP(C275,Sheet1!$A$2:$B$1132,2,FALSE)</f>
        <v>ESSENTIAL</v>
      </c>
      <c r="C275" s="50" t="s">
        <v>786</v>
      </c>
      <c r="D275" s="5" t="s">
        <v>5</v>
      </c>
      <c r="E275" s="1" t="s">
        <v>1355</v>
      </c>
      <c r="F275" s="8" t="s">
        <v>1400</v>
      </c>
      <c r="G275" s="8" t="s">
        <v>1368</v>
      </c>
      <c r="H275" s="10">
        <v>1</v>
      </c>
      <c r="I275" s="10"/>
      <c r="J275" s="10">
        <v>1</v>
      </c>
      <c r="K275" s="10"/>
      <c r="L275" s="10"/>
      <c r="M275" s="10">
        <f t="shared" si="6"/>
        <v>0.43000000000000005</v>
      </c>
      <c r="N275" s="38"/>
      <c r="O275" s="38"/>
      <c r="P275" s="38"/>
      <c r="Q275" s="27"/>
    </row>
    <row r="276" spans="1:17" customFormat="1" ht="15.75">
      <c r="A276" s="2">
        <v>800</v>
      </c>
      <c r="B276" s="30" t="str">
        <f>VLOOKUP(C276,Sheet1!$A$2:$B$1132,2,FALSE)</f>
        <v>NORMAL</v>
      </c>
      <c r="C276" s="50" t="s">
        <v>1078</v>
      </c>
      <c r="D276" s="5" t="s">
        <v>162</v>
      </c>
      <c r="E276" s="1" t="s">
        <v>1355</v>
      </c>
      <c r="F276" s="8" t="s">
        <v>1400</v>
      </c>
      <c r="G276" s="8" t="s">
        <v>1368</v>
      </c>
      <c r="H276" s="10">
        <v>1</v>
      </c>
      <c r="I276" s="10"/>
      <c r="J276" s="10"/>
      <c r="K276" s="10"/>
      <c r="L276" s="10"/>
      <c r="M276" s="10">
        <f t="shared" si="6"/>
        <v>0.15</v>
      </c>
      <c r="N276" s="38"/>
      <c r="O276" s="38"/>
      <c r="P276" s="38"/>
      <c r="Q276" s="27"/>
    </row>
    <row r="277" spans="1:17" customFormat="1" ht="15.75">
      <c r="A277" s="2">
        <v>800</v>
      </c>
      <c r="B277" s="30" t="str">
        <f>VLOOKUP(C277,Sheet1!$A$2:$B$1132,2,FALSE)</f>
        <v>NORMAL</v>
      </c>
      <c r="C277" s="50" t="s">
        <v>1017</v>
      </c>
      <c r="D277" s="5" t="s">
        <v>4</v>
      </c>
      <c r="E277" s="1" t="s">
        <v>1355</v>
      </c>
      <c r="F277" s="8" t="s">
        <v>1400</v>
      </c>
      <c r="G277" s="8" t="s">
        <v>1368</v>
      </c>
      <c r="H277" s="10"/>
      <c r="I277" s="10"/>
      <c r="J277" s="10"/>
      <c r="K277" s="10"/>
      <c r="L277" s="10"/>
      <c r="M277" s="10">
        <f t="shared" si="6"/>
        <v>0</v>
      </c>
      <c r="N277" s="38"/>
      <c r="O277" s="38"/>
      <c r="P277" s="38"/>
      <c r="Q277" s="27"/>
    </row>
    <row r="278" spans="1:17" customFormat="1" ht="15.75">
      <c r="A278" s="2">
        <v>800</v>
      </c>
      <c r="B278" s="30" t="str">
        <f>VLOOKUP(C278,Sheet1!$A$2:$B$1132,2,FALSE)</f>
        <v>IMPORTANT</v>
      </c>
      <c r="C278" s="51" t="s">
        <v>962</v>
      </c>
      <c r="D278" s="3" t="s">
        <v>227</v>
      </c>
      <c r="E278" s="1" t="s">
        <v>1355</v>
      </c>
      <c r="F278" s="8" t="s">
        <v>1400</v>
      </c>
      <c r="G278" s="8" t="s">
        <v>1368</v>
      </c>
      <c r="H278" s="10">
        <v>1</v>
      </c>
      <c r="I278" s="10"/>
      <c r="J278" s="10"/>
      <c r="K278" s="10"/>
      <c r="L278" s="10"/>
      <c r="M278" s="10">
        <f t="shared" si="6"/>
        <v>0.15</v>
      </c>
      <c r="N278" s="38"/>
      <c r="O278" s="38"/>
      <c r="P278" s="38"/>
      <c r="Q278" s="27"/>
    </row>
    <row r="279" spans="1:17" customFormat="1" ht="15.75">
      <c r="A279" s="2">
        <v>800</v>
      </c>
      <c r="B279" s="30" t="str">
        <f>VLOOKUP(C279,Sheet1!$A$2:$B$1132,2,FALSE)</f>
        <v>VITAL</v>
      </c>
      <c r="C279" s="51" t="s">
        <v>750</v>
      </c>
      <c r="D279" s="3" t="s">
        <v>151</v>
      </c>
      <c r="E279" s="1" t="s">
        <v>1355</v>
      </c>
      <c r="F279" s="8" t="s">
        <v>1400</v>
      </c>
      <c r="G279" s="8" t="s">
        <v>1368</v>
      </c>
      <c r="H279" s="10">
        <v>1</v>
      </c>
      <c r="I279" s="10">
        <v>1</v>
      </c>
      <c r="J279" s="10"/>
      <c r="K279" s="10"/>
      <c r="L279" s="10"/>
      <c r="M279" s="10">
        <f t="shared" si="6"/>
        <v>0.6</v>
      </c>
      <c r="N279" s="38"/>
      <c r="O279" s="38"/>
      <c r="P279" s="38"/>
      <c r="Q279" s="27"/>
    </row>
    <row r="280" spans="1:17" customFormat="1" ht="15.75">
      <c r="A280" s="2">
        <v>800</v>
      </c>
      <c r="B280" s="30" t="str">
        <f>VLOOKUP(C280,Sheet1!$A$2:$B$1132,2,FALSE)</f>
        <v>NORMAL</v>
      </c>
      <c r="C280" s="50" t="s">
        <v>1104</v>
      </c>
      <c r="D280" s="5" t="s">
        <v>109</v>
      </c>
      <c r="E280" s="1" t="s">
        <v>1355</v>
      </c>
      <c r="F280" s="8" t="s">
        <v>1400</v>
      </c>
      <c r="G280" s="8" t="s">
        <v>1368</v>
      </c>
      <c r="H280" s="10"/>
      <c r="I280" s="10"/>
      <c r="J280" s="10"/>
      <c r="K280" s="10"/>
      <c r="L280" s="10"/>
      <c r="M280" s="10">
        <f t="shared" si="6"/>
        <v>0</v>
      </c>
      <c r="N280" s="38"/>
      <c r="O280" s="38"/>
      <c r="P280" s="38"/>
      <c r="Q280" s="27"/>
    </row>
    <row r="281" spans="1:17" customFormat="1" ht="15.75">
      <c r="A281" s="2">
        <v>800</v>
      </c>
      <c r="B281" s="30" t="str">
        <f>VLOOKUP(C281,Sheet1!$A$2:$B$1132,2,FALSE)</f>
        <v>IMPORTANT</v>
      </c>
      <c r="C281" s="51" t="s">
        <v>1148</v>
      </c>
      <c r="D281" s="3" t="s">
        <v>220</v>
      </c>
      <c r="E281" s="1" t="s">
        <v>1355</v>
      </c>
      <c r="F281" s="8" t="s">
        <v>1400</v>
      </c>
      <c r="G281" s="8" t="s">
        <v>1368</v>
      </c>
      <c r="H281" s="10"/>
      <c r="I281" s="10"/>
      <c r="J281" s="10"/>
      <c r="K281" s="10"/>
      <c r="L281" s="10"/>
      <c r="M281" s="10">
        <f t="shared" si="6"/>
        <v>0</v>
      </c>
      <c r="N281" s="38"/>
      <c r="O281" s="38"/>
      <c r="P281" s="38"/>
      <c r="Q281" s="27"/>
    </row>
    <row r="282" spans="1:17" customFormat="1" ht="15.75">
      <c r="A282" s="2">
        <v>800</v>
      </c>
      <c r="B282" s="30" t="str">
        <f>VLOOKUP(C282,Sheet1!$A$2:$B$1132,2,FALSE)</f>
        <v>ESSENTIAL</v>
      </c>
      <c r="C282" s="50" t="s">
        <v>766</v>
      </c>
      <c r="D282" s="5" t="s">
        <v>5</v>
      </c>
      <c r="E282" s="1" t="s">
        <v>1355</v>
      </c>
      <c r="F282" s="8" t="s">
        <v>1400</v>
      </c>
      <c r="G282" s="8" t="s">
        <v>1368</v>
      </c>
      <c r="H282" s="10">
        <v>1</v>
      </c>
      <c r="I282" s="10"/>
      <c r="J282" s="10">
        <v>1</v>
      </c>
      <c r="K282" s="10"/>
      <c r="L282" s="10"/>
      <c r="M282" s="10">
        <f t="shared" si="6"/>
        <v>0.43000000000000005</v>
      </c>
      <c r="N282" s="38"/>
      <c r="O282" s="38"/>
      <c r="P282" s="38"/>
      <c r="Q282" s="27"/>
    </row>
    <row r="283" spans="1:17" customFormat="1" ht="15.75">
      <c r="A283" s="2">
        <v>800</v>
      </c>
      <c r="B283" s="30" t="str">
        <f>VLOOKUP(C283,Sheet1!$A$2:$B$1132,2,FALSE)</f>
        <v>ESSENTIAL</v>
      </c>
      <c r="C283" s="51" t="s">
        <v>767</v>
      </c>
      <c r="D283" s="3" t="s">
        <v>5</v>
      </c>
      <c r="E283" s="1" t="s">
        <v>1355</v>
      </c>
      <c r="F283" s="8" t="s">
        <v>1400</v>
      </c>
      <c r="G283" s="8" t="s">
        <v>1368</v>
      </c>
      <c r="H283" s="10">
        <v>1</v>
      </c>
      <c r="I283" s="10"/>
      <c r="J283" s="10">
        <v>1</v>
      </c>
      <c r="K283" s="10"/>
      <c r="L283" s="10"/>
      <c r="M283" s="10">
        <f t="shared" si="6"/>
        <v>0.43000000000000005</v>
      </c>
      <c r="N283" s="38"/>
      <c r="O283" s="38"/>
      <c r="P283" s="38"/>
      <c r="Q283" s="27"/>
    </row>
    <row r="284" spans="1:17" customFormat="1" ht="15.75">
      <c r="A284" s="2">
        <v>800</v>
      </c>
      <c r="B284" s="30" t="str">
        <f>VLOOKUP(C284,Sheet1!$A$2:$B$1132,2,FALSE)</f>
        <v>ESSENTIAL</v>
      </c>
      <c r="C284" s="50" t="s">
        <v>774</v>
      </c>
      <c r="D284" s="5" t="s">
        <v>5</v>
      </c>
      <c r="E284" s="1" t="s">
        <v>1355</v>
      </c>
      <c r="F284" s="8" t="s">
        <v>1400</v>
      </c>
      <c r="G284" s="8" t="s">
        <v>1368</v>
      </c>
      <c r="H284" s="10">
        <v>1</v>
      </c>
      <c r="I284" s="10"/>
      <c r="J284" s="10">
        <v>1</v>
      </c>
      <c r="K284" s="10"/>
      <c r="L284" s="10"/>
      <c r="M284" s="10">
        <f t="shared" si="6"/>
        <v>0.43000000000000005</v>
      </c>
      <c r="N284" s="38"/>
      <c r="O284" s="38"/>
      <c r="P284" s="38"/>
      <c r="Q284" s="27"/>
    </row>
    <row r="285" spans="1:17" customFormat="1" ht="15.75">
      <c r="A285" s="2">
        <v>800</v>
      </c>
      <c r="B285" s="30" t="str">
        <f>VLOOKUP(C285,Sheet1!$A$2:$B$1132,2,FALSE)</f>
        <v>ESSENTIAL</v>
      </c>
      <c r="C285" s="51" t="s">
        <v>775</v>
      </c>
      <c r="D285" s="3" t="s">
        <v>5</v>
      </c>
      <c r="E285" s="1" t="s">
        <v>1355</v>
      </c>
      <c r="F285" s="8" t="s">
        <v>1400</v>
      </c>
      <c r="G285" s="8" t="s">
        <v>1368</v>
      </c>
      <c r="H285" s="10">
        <v>1</v>
      </c>
      <c r="I285" s="10"/>
      <c r="J285" s="10">
        <v>1</v>
      </c>
      <c r="K285" s="10"/>
      <c r="L285" s="10"/>
      <c r="M285" s="10">
        <f t="shared" si="6"/>
        <v>0.43000000000000005</v>
      </c>
      <c r="N285" s="38"/>
      <c r="O285" s="38"/>
      <c r="P285" s="38"/>
      <c r="Q285" s="27"/>
    </row>
    <row r="286" spans="1:17" customFormat="1" ht="15.75">
      <c r="A286" s="2">
        <v>800</v>
      </c>
      <c r="B286" s="30" t="str">
        <f>VLOOKUP(C286,Sheet1!$A$2:$B$1132,2,FALSE)</f>
        <v>ESSENTIAL</v>
      </c>
      <c r="C286" s="50" t="s">
        <v>776</v>
      </c>
      <c r="D286" s="5" t="s">
        <v>5</v>
      </c>
      <c r="E286" s="1" t="s">
        <v>1355</v>
      </c>
      <c r="F286" s="8" t="s">
        <v>1400</v>
      </c>
      <c r="G286" s="8" t="s">
        <v>1368</v>
      </c>
      <c r="H286" s="10">
        <v>1</v>
      </c>
      <c r="I286" s="10"/>
      <c r="J286" s="10">
        <v>1</v>
      </c>
      <c r="K286" s="10"/>
      <c r="L286" s="10"/>
      <c r="M286" s="10">
        <f t="shared" si="6"/>
        <v>0.43000000000000005</v>
      </c>
      <c r="N286" s="38"/>
      <c r="O286" s="38"/>
      <c r="P286" s="38"/>
      <c r="Q286" s="27"/>
    </row>
    <row r="287" spans="1:17" customFormat="1" ht="15.75">
      <c r="A287" s="2">
        <v>800</v>
      </c>
      <c r="B287" s="30" t="str">
        <f>VLOOKUP(C287,Sheet1!$A$2:$B$1132,2,FALSE)</f>
        <v>ESSENTIAL</v>
      </c>
      <c r="C287" s="51" t="s">
        <v>777</v>
      </c>
      <c r="D287" s="3" t="s">
        <v>5</v>
      </c>
      <c r="E287" s="1" t="s">
        <v>1355</v>
      </c>
      <c r="F287" s="8" t="s">
        <v>1400</v>
      </c>
      <c r="G287" s="8" t="s">
        <v>1368</v>
      </c>
      <c r="H287" s="10">
        <v>1</v>
      </c>
      <c r="I287" s="10"/>
      <c r="J287" s="10">
        <v>1</v>
      </c>
      <c r="K287" s="10"/>
      <c r="L287" s="10"/>
      <c r="M287" s="10">
        <f t="shared" si="6"/>
        <v>0.43000000000000005</v>
      </c>
      <c r="N287" s="38"/>
      <c r="O287" s="38"/>
      <c r="P287" s="38"/>
      <c r="Q287" s="27"/>
    </row>
    <row r="288" spans="1:17" customFormat="1" ht="15.75">
      <c r="A288" s="2">
        <v>800</v>
      </c>
      <c r="B288" s="30" t="str">
        <f>VLOOKUP(C288,Sheet1!$A$2:$B$1132,2,FALSE)</f>
        <v>ESSENTIAL</v>
      </c>
      <c r="C288" s="50" t="s">
        <v>778</v>
      </c>
      <c r="D288" s="5" t="s">
        <v>5</v>
      </c>
      <c r="E288" s="1" t="s">
        <v>1355</v>
      </c>
      <c r="F288" s="8" t="s">
        <v>1400</v>
      </c>
      <c r="G288" s="8" t="s">
        <v>1368</v>
      </c>
      <c r="H288" s="10">
        <v>1</v>
      </c>
      <c r="I288" s="10"/>
      <c r="J288" s="10">
        <v>1</v>
      </c>
      <c r="K288" s="10"/>
      <c r="L288" s="10"/>
      <c r="M288" s="10">
        <f t="shared" si="6"/>
        <v>0.43000000000000005</v>
      </c>
      <c r="N288" s="38"/>
      <c r="O288" s="38"/>
      <c r="P288" s="38"/>
      <c r="Q288" s="27"/>
    </row>
    <row r="289" spans="1:17" customFormat="1" ht="15.75">
      <c r="A289" s="2">
        <v>800</v>
      </c>
      <c r="B289" s="30" t="str">
        <f>VLOOKUP(C289,Sheet1!$A$2:$B$1132,2,FALSE)</f>
        <v>ESSENTIAL</v>
      </c>
      <c r="C289" s="51" t="s">
        <v>844</v>
      </c>
      <c r="D289" s="3" t="s">
        <v>161</v>
      </c>
      <c r="E289" s="1" t="s">
        <v>1355</v>
      </c>
      <c r="F289" s="8" t="s">
        <v>1400</v>
      </c>
      <c r="G289" s="8" t="s">
        <v>1368</v>
      </c>
      <c r="H289" s="10"/>
      <c r="I289" s="10"/>
      <c r="J289" s="10"/>
      <c r="K289" s="10"/>
      <c r="L289" s="10"/>
      <c r="M289" s="10">
        <f t="shared" si="6"/>
        <v>0</v>
      </c>
      <c r="N289" s="38"/>
      <c r="O289" s="38"/>
      <c r="P289" s="38"/>
      <c r="Q289" s="27"/>
    </row>
    <row r="290" spans="1:17" customFormat="1" ht="15.75">
      <c r="A290" s="2">
        <v>800</v>
      </c>
      <c r="B290" s="30" t="str">
        <f>VLOOKUP(C290,Sheet1!$A$2:$B$1132,2,FALSE)</f>
        <v>ESSENTIAL</v>
      </c>
      <c r="C290" s="50" t="s">
        <v>845</v>
      </c>
      <c r="D290" s="5" t="s">
        <v>161</v>
      </c>
      <c r="E290" s="1" t="s">
        <v>1355</v>
      </c>
      <c r="F290" s="8" t="s">
        <v>1400</v>
      </c>
      <c r="G290" s="8" t="s">
        <v>1368</v>
      </c>
      <c r="H290" s="10"/>
      <c r="I290" s="10"/>
      <c r="J290" s="10"/>
      <c r="K290" s="10"/>
      <c r="L290" s="10"/>
      <c r="M290" s="10">
        <f t="shared" si="6"/>
        <v>0</v>
      </c>
      <c r="N290" s="38"/>
      <c r="O290" s="38"/>
      <c r="P290" s="38"/>
      <c r="Q290" s="27"/>
    </row>
    <row r="291" spans="1:17" customFormat="1" ht="15.75">
      <c r="A291" s="2">
        <v>800</v>
      </c>
      <c r="B291" s="30" t="str">
        <f>VLOOKUP(C291,Sheet1!$A$2:$B$1132,2,FALSE)</f>
        <v>ESSENTIAL</v>
      </c>
      <c r="C291" s="51" t="s">
        <v>846</v>
      </c>
      <c r="D291" s="3" t="s">
        <v>161</v>
      </c>
      <c r="E291" s="1" t="s">
        <v>1355</v>
      </c>
      <c r="F291" s="8" t="s">
        <v>1400</v>
      </c>
      <c r="G291" s="8" t="s">
        <v>1368</v>
      </c>
      <c r="H291" s="10"/>
      <c r="I291" s="10"/>
      <c r="J291" s="10"/>
      <c r="K291" s="10"/>
      <c r="L291" s="10"/>
      <c r="M291" s="10">
        <f t="shared" si="6"/>
        <v>0</v>
      </c>
      <c r="N291" s="38"/>
      <c r="O291" s="38"/>
      <c r="P291" s="38"/>
      <c r="Q291" s="27"/>
    </row>
    <row r="292" spans="1:17" customFormat="1" ht="15.75">
      <c r="A292" s="2">
        <v>800</v>
      </c>
      <c r="B292" s="30" t="str">
        <f>VLOOKUP(C292,Sheet1!$A$2:$B$1132,2,FALSE)</f>
        <v>IMPORTANT</v>
      </c>
      <c r="C292" s="50" t="s">
        <v>939</v>
      </c>
      <c r="D292" s="5" t="s">
        <v>106</v>
      </c>
      <c r="E292" s="1" t="s">
        <v>1355</v>
      </c>
      <c r="F292" s="8" t="s">
        <v>1400</v>
      </c>
      <c r="G292" s="8" t="s">
        <v>1368</v>
      </c>
      <c r="H292" s="10">
        <v>1</v>
      </c>
      <c r="I292" s="10"/>
      <c r="J292" s="10"/>
      <c r="K292" s="10"/>
      <c r="L292" s="10"/>
      <c r="M292" s="10">
        <f t="shared" si="6"/>
        <v>0.15</v>
      </c>
      <c r="N292" s="38"/>
      <c r="O292" s="38"/>
      <c r="P292" s="38"/>
      <c r="Q292" s="27"/>
    </row>
    <row r="293" spans="1:17" customFormat="1" ht="15.75">
      <c r="A293" s="2">
        <v>800</v>
      </c>
      <c r="B293" s="30" t="str">
        <f>VLOOKUP(C293,Sheet1!$A$2:$B$1132,2,FALSE)</f>
        <v>IMPORTANT</v>
      </c>
      <c r="C293" s="51" t="s">
        <v>940</v>
      </c>
      <c r="D293" s="3" t="s">
        <v>106</v>
      </c>
      <c r="E293" s="1" t="s">
        <v>1355</v>
      </c>
      <c r="F293" s="8" t="s">
        <v>1400</v>
      </c>
      <c r="G293" s="8" t="s">
        <v>1368</v>
      </c>
      <c r="H293" s="10">
        <v>1</v>
      </c>
      <c r="I293" s="10"/>
      <c r="J293" s="10"/>
      <c r="K293" s="10"/>
      <c r="L293" s="10"/>
      <c r="M293" s="10">
        <f t="shared" si="6"/>
        <v>0.15</v>
      </c>
      <c r="N293" s="38"/>
      <c r="O293" s="38"/>
      <c r="P293" s="38"/>
      <c r="Q293" s="27"/>
    </row>
    <row r="294" spans="1:17" customFormat="1" ht="15.75">
      <c r="A294" s="2">
        <v>800</v>
      </c>
      <c r="B294" s="30" t="str">
        <f>VLOOKUP(C294,Sheet1!$A$2:$B$1132,2,FALSE)</f>
        <v>IMPORTANT</v>
      </c>
      <c r="C294" s="50" t="s">
        <v>941</v>
      </c>
      <c r="D294" s="5" t="s">
        <v>106</v>
      </c>
      <c r="E294" s="1" t="s">
        <v>1355</v>
      </c>
      <c r="F294" s="8" t="s">
        <v>1400</v>
      </c>
      <c r="G294" s="8" t="s">
        <v>1368</v>
      </c>
      <c r="H294" s="10">
        <v>1</v>
      </c>
      <c r="I294" s="10"/>
      <c r="J294" s="10"/>
      <c r="K294" s="10"/>
      <c r="L294" s="10"/>
      <c r="M294" s="10">
        <f t="shared" si="6"/>
        <v>0.15</v>
      </c>
      <c r="N294" s="38"/>
      <c r="O294" s="38"/>
      <c r="P294" s="38"/>
      <c r="Q294" s="27"/>
    </row>
    <row r="295" spans="1:17" customFormat="1" ht="15.75">
      <c r="A295" s="2">
        <v>800</v>
      </c>
      <c r="B295" s="30" t="str">
        <f>VLOOKUP(C295,Sheet1!$A$2:$B$1132,2,FALSE)</f>
        <v>IMPORTANT</v>
      </c>
      <c r="C295" s="51" t="s">
        <v>942</v>
      </c>
      <c r="D295" s="3" t="s">
        <v>106</v>
      </c>
      <c r="E295" s="1" t="s">
        <v>1355</v>
      </c>
      <c r="F295" s="8" t="s">
        <v>1400</v>
      </c>
      <c r="G295" s="8" t="s">
        <v>1368</v>
      </c>
      <c r="H295" s="10">
        <v>1</v>
      </c>
      <c r="I295" s="10"/>
      <c r="J295" s="10"/>
      <c r="K295" s="10"/>
      <c r="L295" s="10"/>
      <c r="M295" s="10">
        <f t="shared" si="6"/>
        <v>0.15</v>
      </c>
      <c r="N295" s="38"/>
      <c r="O295" s="38"/>
      <c r="P295" s="38"/>
      <c r="Q295" s="27"/>
    </row>
    <row r="296" spans="1:17" customFormat="1" ht="15.75">
      <c r="A296" s="2">
        <v>800</v>
      </c>
      <c r="B296" s="30" t="str">
        <f>VLOOKUP(C296,Sheet1!$A$2:$B$1132,2,FALSE)</f>
        <v>NORMAL</v>
      </c>
      <c r="C296" s="51" t="s">
        <v>1079</v>
      </c>
      <c r="D296" s="3" t="s">
        <v>162</v>
      </c>
      <c r="E296" s="1" t="s">
        <v>1355</v>
      </c>
      <c r="F296" s="8" t="s">
        <v>1400</v>
      </c>
      <c r="G296" s="8" t="s">
        <v>1368</v>
      </c>
      <c r="H296" s="10">
        <v>1</v>
      </c>
      <c r="I296" s="10"/>
      <c r="J296" s="10"/>
      <c r="K296" s="10"/>
      <c r="L296" s="10"/>
      <c r="M296" s="10">
        <f t="shared" si="6"/>
        <v>0.15</v>
      </c>
      <c r="N296" s="38"/>
      <c r="O296" s="38"/>
      <c r="P296" s="38"/>
      <c r="Q296" s="27"/>
    </row>
    <row r="297" spans="1:17" customFormat="1" ht="15.75">
      <c r="A297" s="2">
        <v>800</v>
      </c>
      <c r="B297" s="30" t="str">
        <f>VLOOKUP(C297,Sheet1!$A$2:$B$1132,2,FALSE)</f>
        <v>NORMAL</v>
      </c>
      <c r="C297" s="50" t="s">
        <v>1080</v>
      </c>
      <c r="D297" s="5" t="s">
        <v>162</v>
      </c>
      <c r="E297" s="1" t="s">
        <v>1355</v>
      </c>
      <c r="F297" s="8" t="s">
        <v>1400</v>
      </c>
      <c r="G297" s="8" t="s">
        <v>1368</v>
      </c>
      <c r="H297" s="10">
        <v>1</v>
      </c>
      <c r="I297" s="10"/>
      <c r="J297" s="10"/>
      <c r="K297" s="10"/>
      <c r="L297" s="10"/>
      <c r="M297" s="10">
        <f t="shared" si="6"/>
        <v>0.15</v>
      </c>
      <c r="N297" s="38"/>
      <c r="O297" s="38"/>
      <c r="P297" s="38"/>
      <c r="Q297" s="27"/>
    </row>
    <row r="298" spans="1:17" customFormat="1" ht="15.75">
      <c r="A298" s="2">
        <v>800</v>
      </c>
      <c r="B298" s="30" t="str">
        <f>VLOOKUP(C298,Sheet1!$A$2:$B$1132,2,FALSE)</f>
        <v>NORMAL</v>
      </c>
      <c r="C298" s="51" t="s">
        <v>1081</v>
      </c>
      <c r="D298" s="3" t="s">
        <v>162</v>
      </c>
      <c r="E298" s="1" t="s">
        <v>1355</v>
      </c>
      <c r="F298" s="8" t="s">
        <v>1400</v>
      </c>
      <c r="G298" s="8" t="s">
        <v>1368</v>
      </c>
      <c r="H298" s="10">
        <v>1</v>
      </c>
      <c r="I298" s="10"/>
      <c r="J298" s="10"/>
      <c r="K298" s="10"/>
      <c r="L298" s="10"/>
      <c r="M298" s="10">
        <f t="shared" si="6"/>
        <v>0.15</v>
      </c>
      <c r="N298" s="38"/>
      <c r="O298" s="38"/>
      <c r="P298" s="38"/>
      <c r="Q298" s="27"/>
    </row>
    <row r="299" spans="1:17" customFormat="1" ht="15.75">
      <c r="A299" s="2">
        <v>800</v>
      </c>
      <c r="B299" s="30" t="str">
        <f>VLOOKUP(C299,Sheet1!$A$2:$B$1132,2,FALSE)</f>
        <v>NORMAL</v>
      </c>
      <c r="C299" s="50" t="s">
        <v>1082</v>
      </c>
      <c r="D299" s="5" t="s">
        <v>162</v>
      </c>
      <c r="E299" s="1" t="s">
        <v>1355</v>
      </c>
      <c r="F299" s="8" t="s">
        <v>1400</v>
      </c>
      <c r="G299" s="8" t="s">
        <v>1368</v>
      </c>
      <c r="H299" s="10">
        <v>1</v>
      </c>
      <c r="I299" s="10"/>
      <c r="J299" s="10"/>
      <c r="K299" s="10"/>
      <c r="L299" s="10"/>
      <c r="M299" s="10">
        <f t="shared" si="6"/>
        <v>0.15</v>
      </c>
      <c r="N299" s="38"/>
      <c r="O299" s="38"/>
      <c r="P299" s="38"/>
      <c r="Q299" s="27"/>
    </row>
    <row r="300" spans="1:17" customFormat="1" ht="15.75">
      <c r="A300" s="2">
        <v>800</v>
      </c>
      <c r="B300" s="30" t="str">
        <f>VLOOKUP(C300,Sheet1!$A$2:$B$1132,2,FALSE)</f>
        <v>NORMAL</v>
      </c>
      <c r="C300" s="51" t="s">
        <v>1083</v>
      </c>
      <c r="D300" s="3" t="s">
        <v>162</v>
      </c>
      <c r="E300" s="1" t="s">
        <v>1355</v>
      </c>
      <c r="F300" s="8" t="s">
        <v>1400</v>
      </c>
      <c r="G300" s="8" t="s">
        <v>1368</v>
      </c>
      <c r="H300" s="10">
        <v>1</v>
      </c>
      <c r="I300" s="10"/>
      <c r="J300" s="10"/>
      <c r="K300" s="10"/>
      <c r="L300" s="10"/>
      <c r="M300" s="10">
        <f t="shared" si="6"/>
        <v>0.15</v>
      </c>
      <c r="N300" s="38"/>
      <c r="O300" s="38"/>
      <c r="P300" s="38"/>
      <c r="Q300" s="27"/>
    </row>
    <row r="301" spans="1:17" customFormat="1" ht="15.75">
      <c r="A301" s="2">
        <v>800</v>
      </c>
      <c r="B301" s="30" t="str">
        <f>VLOOKUP(C301,Sheet1!$A$2:$B$1132,2,FALSE)</f>
        <v>IMPORTANT</v>
      </c>
      <c r="C301" s="51" t="s">
        <v>1112</v>
      </c>
      <c r="D301" s="3" t="s">
        <v>238</v>
      </c>
      <c r="E301" s="1" t="s">
        <v>1355</v>
      </c>
      <c r="F301" s="8" t="s">
        <v>1400</v>
      </c>
      <c r="G301" s="8" t="s">
        <v>1368</v>
      </c>
      <c r="H301" s="10"/>
      <c r="I301" s="10"/>
      <c r="J301" s="10"/>
      <c r="K301" s="10"/>
      <c r="L301" s="10"/>
      <c r="M301" s="10">
        <f t="shared" si="6"/>
        <v>0</v>
      </c>
      <c r="N301" s="38"/>
      <c r="O301" s="38"/>
      <c r="P301" s="38"/>
      <c r="Q301" s="27"/>
    </row>
    <row r="302" spans="1:17" customFormat="1" ht="15.75">
      <c r="A302" s="2">
        <v>800</v>
      </c>
      <c r="B302" s="30" t="str">
        <f>VLOOKUP(C302,Sheet1!$A$2:$B$1132,2,FALSE)</f>
        <v>IMPORTANT</v>
      </c>
      <c r="C302" s="50" t="s">
        <v>889</v>
      </c>
      <c r="D302" s="5" t="s">
        <v>81</v>
      </c>
      <c r="E302" s="1" t="s">
        <v>1355</v>
      </c>
      <c r="F302" s="8" t="s">
        <v>1400</v>
      </c>
      <c r="G302" s="8" t="s">
        <v>1368</v>
      </c>
      <c r="H302" s="10"/>
      <c r="I302" s="10"/>
      <c r="J302" s="10"/>
      <c r="K302" s="10"/>
      <c r="L302" s="10"/>
      <c r="M302" s="10">
        <f t="shared" si="6"/>
        <v>0</v>
      </c>
      <c r="N302" s="38"/>
      <c r="O302" s="38"/>
      <c r="P302" s="38"/>
      <c r="Q302" s="27"/>
    </row>
    <row r="303" spans="1:17" customFormat="1" ht="15.75">
      <c r="A303" s="2">
        <v>800</v>
      </c>
      <c r="B303" s="30" t="str">
        <f>VLOOKUP(C303,Sheet1!$A$2:$B$1132,2,FALSE)</f>
        <v>IMPORTANT</v>
      </c>
      <c r="C303" s="51" t="s">
        <v>890</v>
      </c>
      <c r="D303" s="3" t="s">
        <v>81</v>
      </c>
      <c r="E303" s="1" t="s">
        <v>1355</v>
      </c>
      <c r="F303" s="8" t="s">
        <v>1400</v>
      </c>
      <c r="G303" s="8" t="s">
        <v>1368</v>
      </c>
      <c r="H303" s="10"/>
      <c r="I303" s="10"/>
      <c r="J303" s="10"/>
      <c r="K303" s="10"/>
      <c r="L303" s="10"/>
      <c r="M303" s="10">
        <f t="shared" si="6"/>
        <v>0</v>
      </c>
      <c r="N303" s="38"/>
      <c r="O303" s="38"/>
      <c r="P303" s="38"/>
      <c r="Q303" s="27"/>
    </row>
    <row r="304" spans="1:17" customFormat="1" ht="15.75">
      <c r="A304" s="2">
        <v>800</v>
      </c>
      <c r="B304" s="30" t="str">
        <f>VLOOKUP(C304,Sheet1!$A$2:$B$1132,2,FALSE)</f>
        <v>IMPORTANT</v>
      </c>
      <c r="C304" s="51" t="s">
        <v>1128</v>
      </c>
      <c r="D304" s="3" t="s">
        <v>108</v>
      </c>
      <c r="E304" s="1" t="s">
        <v>1372</v>
      </c>
      <c r="F304" s="8" t="s">
        <v>1400</v>
      </c>
      <c r="G304" s="8" t="s">
        <v>1368</v>
      </c>
      <c r="H304" s="10"/>
      <c r="I304" s="10">
        <v>1</v>
      </c>
      <c r="J304" s="10"/>
      <c r="K304" s="10"/>
      <c r="L304" s="10"/>
      <c r="M304" s="10">
        <f t="shared" si="6"/>
        <v>0.45</v>
      </c>
      <c r="N304" s="38"/>
      <c r="O304" s="38"/>
      <c r="P304" s="38"/>
      <c r="Q304" s="27"/>
    </row>
    <row r="305" spans="1:17" customFormat="1" ht="15.75">
      <c r="A305" s="2">
        <v>800</v>
      </c>
      <c r="B305" s="30" t="str">
        <f>VLOOKUP(C305,Sheet1!$A$2:$B$1132,2,FALSE)</f>
        <v>IMPORTANT</v>
      </c>
      <c r="C305" s="50" t="s">
        <v>1129</v>
      </c>
      <c r="D305" s="5" t="s">
        <v>108</v>
      </c>
      <c r="E305" s="1" t="s">
        <v>1372</v>
      </c>
      <c r="F305" s="8" t="s">
        <v>1400</v>
      </c>
      <c r="G305" s="8" t="s">
        <v>1368</v>
      </c>
      <c r="H305" s="10"/>
      <c r="I305" s="10"/>
      <c r="J305" s="10"/>
      <c r="K305" s="10"/>
      <c r="L305" s="10"/>
      <c r="M305" s="10">
        <f t="shared" si="6"/>
        <v>0</v>
      </c>
      <c r="N305" s="38"/>
      <c r="O305" s="38"/>
      <c r="P305" s="38"/>
      <c r="Q305" s="27"/>
    </row>
    <row r="306" spans="1:17" customFormat="1" ht="15.75">
      <c r="A306" s="2">
        <v>800</v>
      </c>
      <c r="B306" s="30" t="str">
        <f>VLOOKUP(C306,Sheet1!$A$2:$B$1132,2,FALSE)</f>
        <v>IMPORTANT</v>
      </c>
      <c r="C306" s="51" t="s">
        <v>1130</v>
      </c>
      <c r="D306" s="3" t="s">
        <v>108</v>
      </c>
      <c r="E306" s="1" t="s">
        <v>1372</v>
      </c>
      <c r="F306" s="8" t="s">
        <v>1400</v>
      </c>
      <c r="G306" s="8" t="s">
        <v>1368</v>
      </c>
      <c r="H306" s="10"/>
      <c r="I306" s="10"/>
      <c r="J306" s="10"/>
      <c r="K306" s="10"/>
      <c r="L306" s="10"/>
      <c r="M306" s="10">
        <f t="shared" si="6"/>
        <v>0</v>
      </c>
      <c r="N306" s="38"/>
      <c r="O306" s="38"/>
      <c r="P306" s="38"/>
      <c r="Q306" s="27"/>
    </row>
    <row r="307" spans="1:17" customFormat="1" ht="15.75">
      <c r="A307" s="2">
        <v>800</v>
      </c>
      <c r="B307" s="30" t="str">
        <f>VLOOKUP(C307,Sheet1!$A$2:$B$1132,2,FALSE)</f>
        <v>NORMAL</v>
      </c>
      <c r="C307" s="51" t="s">
        <v>1018</v>
      </c>
      <c r="D307" s="3" t="s">
        <v>4</v>
      </c>
      <c r="E307" s="1" t="s">
        <v>1355</v>
      </c>
      <c r="F307" s="8" t="s">
        <v>1400</v>
      </c>
      <c r="G307" s="8" t="s">
        <v>1368</v>
      </c>
      <c r="H307" s="10"/>
      <c r="I307" s="10"/>
      <c r="J307" s="10"/>
      <c r="K307" s="10"/>
      <c r="L307" s="10"/>
      <c r="M307" s="10">
        <f t="shared" si="6"/>
        <v>0</v>
      </c>
      <c r="N307" s="38"/>
      <c r="O307" s="38"/>
      <c r="P307" s="38"/>
      <c r="Q307" s="27"/>
    </row>
    <row r="308" spans="1:17" customFormat="1" ht="15.75">
      <c r="A308" s="2">
        <v>800</v>
      </c>
      <c r="B308" s="30" t="str">
        <f>VLOOKUP(C308,Sheet1!$A$2:$B$1132,2,FALSE)</f>
        <v>NORMAL</v>
      </c>
      <c r="C308" s="50" t="s">
        <v>1019</v>
      </c>
      <c r="D308" s="5" t="s">
        <v>4</v>
      </c>
      <c r="E308" s="1" t="s">
        <v>1355</v>
      </c>
      <c r="F308" s="8" t="s">
        <v>1400</v>
      </c>
      <c r="G308" s="8" t="s">
        <v>1368</v>
      </c>
      <c r="H308" s="10"/>
      <c r="I308" s="10"/>
      <c r="J308" s="10"/>
      <c r="K308" s="10"/>
      <c r="L308" s="10"/>
      <c r="M308" s="10">
        <f t="shared" si="6"/>
        <v>0</v>
      </c>
      <c r="N308" s="38"/>
      <c r="O308" s="38"/>
      <c r="P308" s="38"/>
      <c r="Q308" s="27"/>
    </row>
    <row r="309" spans="1:17" customFormat="1" ht="15.75">
      <c r="A309" s="2">
        <v>800</v>
      </c>
      <c r="B309" s="30" t="str">
        <f>VLOOKUP(C309,Sheet1!$A$2:$B$1132,2,FALSE)</f>
        <v>NORMAL</v>
      </c>
      <c r="C309" s="51" t="s">
        <v>1020</v>
      </c>
      <c r="D309" s="3" t="s">
        <v>4</v>
      </c>
      <c r="E309" s="1" t="s">
        <v>1355</v>
      </c>
      <c r="F309" s="8" t="s">
        <v>1400</v>
      </c>
      <c r="G309" s="8" t="s">
        <v>1368</v>
      </c>
      <c r="H309" s="10"/>
      <c r="I309" s="10"/>
      <c r="J309" s="10"/>
      <c r="K309" s="10"/>
      <c r="L309" s="10"/>
      <c r="M309" s="10">
        <f t="shared" si="6"/>
        <v>0</v>
      </c>
      <c r="N309" s="38"/>
      <c r="O309" s="38"/>
      <c r="P309" s="38"/>
      <c r="Q309" s="27"/>
    </row>
    <row r="310" spans="1:17" customFormat="1" ht="15.75">
      <c r="A310" s="2">
        <v>800</v>
      </c>
      <c r="B310" s="30" t="str">
        <f>VLOOKUP(C310,Sheet1!$A$2:$B$1132,2,FALSE)</f>
        <v>NORMAL</v>
      </c>
      <c r="C310" s="50" t="s">
        <v>1021</v>
      </c>
      <c r="D310" s="5" t="s">
        <v>4</v>
      </c>
      <c r="E310" s="1" t="s">
        <v>1355</v>
      </c>
      <c r="F310" s="8" t="s">
        <v>1400</v>
      </c>
      <c r="G310" s="8" t="s">
        <v>1368</v>
      </c>
      <c r="H310" s="10"/>
      <c r="I310" s="10"/>
      <c r="J310" s="10"/>
      <c r="K310" s="10"/>
      <c r="L310" s="10"/>
      <c r="M310" s="10">
        <f t="shared" si="6"/>
        <v>0</v>
      </c>
      <c r="N310" s="38"/>
      <c r="O310" s="38"/>
      <c r="P310" s="38"/>
      <c r="Q310" s="27"/>
    </row>
    <row r="311" spans="1:17" customFormat="1" ht="15.75">
      <c r="A311" s="2">
        <v>800</v>
      </c>
      <c r="B311" s="30" t="str">
        <f>VLOOKUP(C311,Sheet1!$A$2:$B$1132,2,FALSE)</f>
        <v>NORMAL</v>
      </c>
      <c r="C311" s="51" t="s">
        <v>1022</v>
      </c>
      <c r="D311" s="3" t="s">
        <v>4</v>
      </c>
      <c r="E311" s="1" t="s">
        <v>1355</v>
      </c>
      <c r="F311" s="8" t="s">
        <v>1400</v>
      </c>
      <c r="G311" s="8" t="s">
        <v>1368</v>
      </c>
      <c r="H311" s="10"/>
      <c r="I311" s="10"/>
      <c r="J311" s="10"/>
      <c r="K311" s="10"/>
      <c r="L311" s="10"/>
      <c r="M311" s="10">
        <f t="shared" si="6"/>
        <v>0</v>
      </c>
      <c r="N311" s="38"/>
      <c r="O311" s="38"/>
      <c r="P311" s="38"/>
      <c r="Q311" s="27"/>
    </row>
    <row r="312" spans="1:17" customFormat="1" ht="15.75">
      <c r="A312" s="2">
        <v>800</v>
      </c>
      <c r="B312" s="30" t="str">
        <f>VLOOKUP(C312,Sheet1!$A$2:$B$1132,2,FALSE)</f>
        <v>NORMAL</v>
      </c>
      <c r="C312" s="50" t="s">
        <v>1023</v>
      </c>
      <c r="D312" s="5" t="s">
        <v>4</v>
      </c>
      <c r="E312" s="1" t="s">
        <v>1355</v>
      </c>
      <c r="F312" s="8" t="s">
        <v>1400</v>
      </c>
      <c r="G312" s="8" t="s">
        <v>1368</v>
      </c>
      <c r="H312" s="10"/>
      <c r="I312" s="10"/>
      <c r="J312" s="10"/>
      <c r="K312" s="10"/>
      <c r="L312" s="10"/>
      <c r="M312" s="10">
        <f t="shared" si="6"/>
        <v>0</v>
      </c>
      <c r="N312" s="38"/>
      <c r="O312" s="38"/>
      <c r="P312" s="38"/>
      <c r="Q312" s="27"/>
    </row>
    <row r="313" spans="1:17" customFormat="1" ht="15.75">
      <c r="A313" s="2">
        <v>800</v>
      </c>
      <c r="B313" s="30" t="str">
        <f>VLOOKUP(C313,Sheet1!$A$2:$B$1132,2,FALSE)</f>
        <v>NORMAL</v>
      </c>
      <c r="C313" s="51" t="s">
        <v>1024</v>
      </c>
      <c r="D313" s="3" t="s">
        <v>4</v>
      </c>
      <c r="E313" s="1" t="s">
        <v>1355</v>
      </c>
      <c r="F313" s="8" t="s">
        <v>1400</v>
      </c>
      <c r="G313" s="8" t="s">
        <v>1368</v>
      </c>
      <c r="H313" s="10"/>
      <c r="I313" s="10"/>
      <c r="J313" s="10"/>
      <c r="K313" s="10"/>
      <c r="L313" s="10"/>
      <c r="M313" s="10">
        <f t="shared" si="6"/>
        <v>0</v>
      </c>
      <c r="N313" s="38"/>
      <c r="O313" s="38"/>
      <c r="P313" s="38"/>
      <c r="Q313" s="27"/>
    </row>
    <row r="314" spans="1:17" customFormat="1" ht="15.75">
      <c r="A314" s="2">
        <v>800</v>
      </c>
      <c r="B314" s="30" t="str">
        <f>VLOOKUP(C314,Sheet1!$A$2:$B$1132,2,FALSE)</f>
        <v>NORMAL</v>
      </c>
      <c r="C314" s="50" t="s">
        <v>1025</v>
      </c>
      <c r="D314" s="5" t="s">
        <v>4</v>
      </c>
      <c r="E314" s="1" t="s">
        <v>1355</v>
      </c>
      <c r="F314" s="8" t="s">
        <v>1400</v>
      </c>
      <c r="G314" s="8" t="s">
        <v>1368</v>
      </c>
      <c r="H314" s="10"/>
      <c r="I314" s="10"/>
      <c r="J314" s="10"/>
      <c r="K314" s="10"/>
      <c r="L314" s="10"/>
      <c r="M314" s="10">
        <f t="shared" si="6"/>
        <v>0</v>
      </c>
      <c r="N314" s="38"/>
      <c r="O314" s="38"/>
      <c r="P314" s="38"/>
      <c r="Q314" s="27"/>
    </row>
    <row r="315" spans="1:17" customFormat="1" ht="15.75">
      <c r="A315" s="2">
        <v>800</v>
      </c>
      <c r="B315" s="30" t="str">
        <f>VLOOKUP(C315,Sheet1!$A$2:$B$1132,2,FALSE)</f>
        <v>NORMAL</v>
      </c>
      <c r="C315" s="51" t="s">
        <v>1026</v>
      </c>
      <c r="D315" s="3" t="s">
        <v>4</v>
      </c>
      <c r="E315" s="1" t="s">
        <v>1355</v>
      </c>
      <c r="F315" s="8" t="s">
        <v>1400</v>
      </c>
      <c r="G315" s="8" t="s">
        <v>1368</v>
      </c>
      <c r="H315" s="10"/>
      <c r="I315" s="10"/>
      <c r="J315" s="10"/>
      <c r="K315" s="10"/>
      <c r="L315" s="10"/>
      <c r="M315" s="10">
        <f t="shared" si="6"/>
        <v>0</v>
      </c>
      <c r="N315" s="38"/>
      <c r="O315" s="38"/>
      <c r="P315" s="38"/>
      <c r="Q315" s="27"/>
    </row>
    <row r="316" spans="1:17" customFormat="1" ht="15.75">
      <c r="A316" s="2">
        <v>800</v>
      </c>
      <c r="B316" s="30" t="str">
        <f>VLOOKUP(C316,Sheet1!$A$2:$B$1132,2,FALSE)</f>
        <v>NORMAL</v>
      </c>
      <c r="C316" s="50" t="s">
        <v>1027</v>
      </c>
      <c r="D316" s="5" t="s">
        <v>4</v>
      </c>
      <c r="E316" s="1" t="s">
        <v>1355</v>
      </c>
      <c r="F316" s="8" t="s">
        <v>1400</v>
      </c>
      <c r="G316" s="8" t="s">
        <v>1368</v>
      </c>
      <c r="H316" s="10"/>
      <c r="I316" s="10"/>
      <c r="J316" s="10"/>
      <c r="K316" s="10"/>
      <c r="L316" s="10"/>
      <c r="M316" s="10">
        <f t="shared" si="6"/>
        <v>0</v>
      </c>
      <c r="N316" s="38"/>
      <c r="O316" s="38"/>
      <c r="P316" s="38"/>
      <c r="Q316" s="27"/>
    </row>
    <row r="317" spans="1:17" customFormat="1" ht="15.75">
      <c r="A317" s="2">
        <v>800</v>
      </c>
      <c r="B317" s="30" t="str">
        <f>VLOOKUP(C317,Sheet1!$A$2:$B$1132,2,FALSE)</f>
        <v>NORMAL</v>
      </c>
      <c r="C317" s="51" t="s">
        <v>1028</v>
      </c>
      <c r="D317" s="3" t="s">
        <v>4</v>
      </c>
      <c r="E317" s="1" t="s">
        <v>1355</v>
      </c>
      <c r="F317" s="8" t="s">
        <v>1400</v>
      </c>
      <c r="G317" s="8" t="s">
        <v>1368</v>
      </c>
      <c r="H317" s="10"/>
      <c r="I317" s="10"/>
      <c r="J317" s="10"/>
      <c r="K317" s="10"/>
      <c r="L317" s="10"/>
      <c r="M317" s="10">
        <f t="shared" si="6"/>
        <v>0</v>
      </c>
      <c r="N317" s="38"/>
      <c r="O317" s="38"/>
      <c r="P317" s="38"/>
      <c r="Q317" s="27"/>
    </row>
    <row r="318" spans="1:17" customFormat="1" ht="15.75">
      <c r="A318" s="2">
        <v>800</v>
      </c>
      <c r="B318" s="30" t="str">
        <f>VLOOKUP(C318,Sheet1!$A$2:$B$1132,2,FALSE)</f>
        <v>NORMAL</v>
      </c>
      <c r="C318" s="50" t="s">
        <v>1029</v>
      </c>
      <c r="D318" s="5" t="s">
        <v>4</v>
      </c>
      <c r="E318" s="1" t="s">
        <v>1355</v>
      </c>
      <c r="F318" s="8" t="s">
        <v>1400</v>
      </c>
      <c r="G318" s="8" t="s">
        <v>1368</v>
      </c>
      <c r="H318" s="10"/>
      <c r="I318" s="10"/>
      <c r="J318" s="10"/>
      <c r="K318" s="10"/>
      <c r="L318" s="10"/>
      <c r="M318" s="10">
        <f t="shared" si="6"/>
        <v>0</v>
      </c>
      <c r="N318" s="38"/>
      <c r="O318" s="38"/>
      <c r="P318" s="38"/>
      <c r="Q318" s="27"/>
    </row>
    <row r="319" spans="1:17" customFormat="1" ht="15.75">
      <c r="A319" s="2">
        <v>800</v>
      </c>
      <c r="B319" s="30" t="str">
        <f>VLOOKUP(C319,Sheet1!$A$2:$B$1132,2,FALSE)</f>
        <v>NORMAL</v>
      </c>
      <c r="C319" s="51" t="s">
        <v>1030</v>
      </c>
      <c r="D319" s="3" t="s">
        <v>4</v>
      </c>
      <c r="E319" s="1" t="s">
        <v>1355</v>
      </c>
      <c r="F319" s="8" t="s">
        <v>1400</v>
      </c>
      <c r="G319" s="8" t="s">
        <v>1368</v>
      </c>
      <c r="H319" s="10"/>
      <c r="I319" s="10"/>
      <c r="J319" s="10"/>
      <c r="K319" s="10"/>
      <c r="L319" s="10"/>
      <c r="M319" s="10">
        <f t="shared" si="6"/>
        <v>0</v>
      </c>
      <c r="N319" s="38"/>
      <c r="O319" s="38"/>
      <c r="P319" s="38"/>
      <c r="Q319" s="27"/>
    </row>
    <row r="320" spans="1:17" customFormat="1" ht="15.75">
      <c r="A320" s="2">
        <v>800</v>
      </c>
      <c r="B320" s="30" t="str">
        <f>VLOOKUP(C320,Sheet1!$A$2:$B$1132,2,FALSE)</f>
        <v>NORMAL</v>
      </c>
      <c r="C320" s="50" t="s">
        <v>1031</v>
      </c>
      <c r="D320" s="5" t="s">
        <v>4</v>
      </c>
      <c r="E320" s="1" t="s">
        <v>1355</v>
      </c>
      <c r="F320" s="8" t="s">
        <v>1400</v>
      </c>
      <c r="G320" s="8" t="s">
        <v>1368</v>
      </c>
      <c r="H320" s="10"/>
      <c r="I320" s="10"/>
      <c r="J320" s="10"/>
      <c r="K320" s="10"/>
      <c r="L320" s="10"/>
      <c r="M320" s="10">
        <f t="shared" si="6"/>
        <v>0</v>
      </c>
      <c r="N320" s="38"/>
      <c r="O320" s="38"/>
      <c r="P320" s="38"/>
      <c r="Q320" s="27"/>
    </row>
    <row r="321" spans="1:17" customFormat="1" ht="15.75">
      <c r="A321" s="2">
        <v>800</v>
      </c>
      <c r="B321" s="30" t="str">
        <f>VLOOKUP(C321,Sheet1!$A$2:$B$1132,2,FALSE)</f>
        <v>NORMAL</v>
      </c>
      <c r="C321" s="51" t="s">
        <v>1032</v>
      </c>
      <c r="D321" s="3" t="s">
        <v>4</v>
      </c>
      <c r="E321" s="1" t="s">
        <v>1355</v>
      </c>
      <c r="F321" s="8" t="s">
        <v>1400</v>
      </c>
      <c r="G321" s="8" t="s">
        <v>1368</v>
      </c>
      <c r="H321" s="10"/>
      <c r="I321" s="10"/>
      <c r="J321" s="10"/>
      <c r="K321" s="10"/>
      <c r="L321" s="10"/>
      <c r="M321" s="10">
        <f t="shared" si="6"/>
        <v>0</v>
      </c>
      <c r="N321" s="38"/>
      <c r="O321" s="38"/>
      <c r="P321" s="38"/>
      <c r="Q321" s="27"/>
    </row>
    <row r="322" spans="1:17" customFormat="1" ht="15.75">
      <c r="A322" s="2">
        <v>800</v>
      </c>
      <c r="B322" s="30" t="str">
        <f>VLOOKUP(C322,Sheet1!$A$2:$B$1132,2,FALSE)</f>
        <v>NORMAL</v>
      </c>
      <c r="C322" s="50" t="s">
        <v>1033</v>
      </c>
      <c r="D322" s="5" t="s">
        <v>4</v>
      </c>
      <c r="E322" s="1" t="s">
        <v>1355</v>
      </c>
      <c r="F322" s="8" t="s">
        <v>1400</v>
      </c>
      <c r="G322" s="8" t="s">
        <v>1368</v>
      </c>
      <c r="H322" s="10"/>
      <c r="I322" s="10"/>
      <c r="J322" s="10"/>
      <c r="K322" s="10"/>
      <c r="L322" s="10"/>
      <c r="M322" s="10">
        <f t="shared" si="6"/>
        <v>0</v>
      </c>
      <c r="N322" s="38"/>
      <c r="O322" s="38"/>
      <c r="P322" s="38"/>
      <c r="Q322" s="27"/>
    </row>
    <row r="323" spans="1:17" customFormat="1" ht="15.75">
      <c r="A323" s="2">
        <v>800</v>
      </c>
      <c r="B323" s="30" t="str">
        <f>VLOOKUP(C323,Sheet1!$A$2:$B$1132,2,FALSE)</f>
        <v>NORMAL</v>
      </c>
      <c r="C323" s="51" t="s">
        <v>1034</v>
      </c>
      <c r="D323" s="3" t="s">
        <v>4</v>
      </c>
      <c r="E323" s="1" t="s">
        <v>1355</v>
      </c>
      <c r="F323" s="8" t="s">
        <v>1400</v>
      </c>
      <c r="G323" s="8" t="s">
        <v>1368</v>
      </c>
      <c r="H323" s="10"/>
      <c r="I323" s="10"/>
      <c r="J323" s="10"/>
      <c r="K323" s="10"/>
      <c r="L323" s="10"/>
      <c r="M323" s="10">
        <f t="shared" si="6"/>
        <v>0</v>
      </c>
      <c r="N323" s="38"/>
      <c r="O323" s="38"/>
      <c r="P323" s="38"/>
      <c r="Q323" s="27"/>
    </row>
    <row r="324" spans="1:17" customFormat="1" ht="15.75">
      <c r="A324" s="2">
        <v>800</v>
      </c>
      <c r="B324" s="30" t="str">
        <f>VLOOKUP(C324,Sheet1!$A$2:$B$1132,2,FALSE)</f>
        <v>NORMAL</v>
      </c>
      <c r="C324" s="50" t="s">
        <v>1035</v>
      </c>
      <c r="D324" s="5" t="s">
        <v>4</v>
      </c>
      <c r="E324" s="1" t="s">
        <v>1355</v>
      </c>
      <c r="F324" s="8" t="s">
        <v>1400</v>
      </c>
      <c r="G324" s="8" t="s">
        <v>1368</v>
      </c>
      <c r="H324" s="10"/>
      <c r="I324" s="10"/>
      <c r="J324" s="10"/>
      <c r="K324" s="10"/>
      <c r="L324" s="10"/>
      <c r="M324" s="10">
        <f t="shared" si="6"/>
        <v>0</v>
      </c>
      <c r="N324" s="38"/>
      <c r="O324" s="38"/>
      <c r="P324" s="38"/>
      <c r="Q324" s="27"/>
    </row>
    <row r="325" spans="1:17" customFormat="1" ht="15.75">
      <c r="A325" s="2">
        <v>800</v>
      </c>
      <c r="B325" s="30" t="str">
        <f>VLOOKUP(C325,Sheet1!$A$2:$B$1132,2,FALSE)</f>
        <v>NORMAL</v>
      </c>
      <c r="C325" s="51" t="s">
        <v>1036</v>
      </c>
      <c r="D325" s="3" t="s">
        <v>4</v>
      </c>
      <c r="E325" s="1" t="s">
        <v>1355</v>
      </c>
      <c r="F325" s="8" t="s">
        <v>1400</v>
      </c>
      <c r="G325" s="8" t="s">
        <v>1368</v>
      </c>
      <c r="H325" s="10"/>
      <c r="I325" s="10"/>
      <c r="J325" s="10"/>
      <c r="K325" s="10"/>
      <c r="L325" s="10"/>
      <c r="M325" s="10">
        <f t="shared" si="6"/>
        <v>0</v>
      </c>
      <c r="N325" s="38"/>
      <c r="O325" s="38"/>
      <c r="P325" s="38"/>
      <c r="Q325" s="27"/>
    </row>
    <row r="326" spans="1:17" customFormat="1" ht="15.75">
      <c r="A326" s="2">
        <v>800</v>
      </c>
      <c r="B326" s="30" t="str">
        <f>VLOOKUP(C326,Sheet1!$A$2:$B$1132,2,FALSE)</f>
        <v>NORMAL</v>
      </c>
      <c r="C326" s="50" t="s">
        <v>1037</v>
      </c>
      <c r="D326" s="5" t="s">
        <v>4</v>
      </c>
      <c r="E326" s="1" t="s">
        <v>1355</v>
      </c>
      <c r="F326" s="8" t="s">
        <v>1400</v>
      </c>
      <c r="G326" s="8" t="s">
        <v>1368</v>
      </c>
      <c r="H326" s="10"/>
      <c r="I326" s="10"/>
      <c r="J326" s="10"/>
      <c r="K326" s="10"/>
      <c r="L326" s="10"/>
      <c r="M326" s="10">
        <f t="shared" si="6"/>
        <v>0</v>
      </c>
      <c r="N326" s="38"/>
      <c r="O326" s="38"/>
      <c r="P326" s="38"/>
      <c r="Q326" s="27"/>
    </row>
    <row r="327" spans="1:17" customFormat="1" ht="15.75">
      <c r="A327" s="2">
        <v>800</v>
      </c>
      <c r="B327" s="30" t="str">
        <f>VLOOKUP(C327,Sheet1!$A$2:$B$1132,2,FALSE)</f>
        <v>NORMAL</v>
      </c>
      <c r="C327" s="51" t="s">
        <v>1038</v>
      </c>
      <c r="D327" s="3" t="s">
        <v>4</v>
      </c>
      <c r="E327" s="1" t="s">
        <v>1355</v>
      </c>
      <c r="F327" s="8" t="s">
        <v>1400</v>
      </c>
      <c r="G327" s="8" t="s">
        <v>1368</v>
      </c>
      <c r="H327" s="10"/>
      <c r="I327" s="10"/>
      <c r="J327" s="10"/>
      <c r="K327" s="10"/>
      <c r="L327" s="10"/>
      <c r="M327" s="10">
        <f t="shared" si="6"/>
        <v>0</v>
      </c>
      <c r="N327" s="38"/>
      <c r="O327" s="38"/>
      <c r="P327" s="38"/>
      <c r="Q327" s="27"/>
    </row>
    <row r="328" spans="1:17" customFormat="1" ht="15.75">
      <c r="A328" s="2">
        <v>800</v>
      </c>
      <c r="B328" s="30" t="str">
        <f>VLOOKUP(C328,Sheet1!$A$2:$B$1132,2,FALSE)</f>
        <v>NORMAL</v>
      </c>
      <c r="C328" s="50" t="s">
        <v>1039</v>
      </c>
      <c r="D328" s="5" t="s">
        <v>4</v>
      </c>
      <c r="E328" s="1" t="s">
        <v>1355</v>
      </c>
      <c r="F328" s="8" t="s">
        <v>1400</v>
      </c>
      <c r="G328" s="8" t="s">
        <v>1368</v>
      </c>
      <c r="H328" s="10"/>
      <c r="I328" s="10"/>
      <c r="J328" s="10"/>
      <c r="K328" s="10"/>
      <c r="L328" s="10"/>
      <c r="M328" s="10">
        <f t="shared" ref="M328:M391" si="7">SUMPRODUCT(H328:L328,$AA$2:$AE$2)</f>
        <v>0</v>
      </c>
      <c r="N328" s="38"/>
      <c r="O328" s="38"/>
      <c r="P328" s="38"/>
      <c r="Q328" s="27"/>
    </row>
    <row r="329" spans="1:17" customFormat="1" ht="15.75">
      <c r="A329" s="2">
        <v>800</v>
      </c>
      <c r="B329" s="30" t="str">
        <f>VLOOKUP(C329,Sheet1!$A$2:$B$1132,2,FALSE)</f>
        <v>NORMAL</v>
      </c>
      <c r="C329" s="51" t="s">
        <v>1040</v>
      </c>
      <c r="D329" s="3" t="s">
        <v>4</v>
      </c>
      <c r="E329" s="1" t="s">
        <v>1355</v>
      </c>
      <c r="F329" s="8" t="s">
        <v>1400</v>
      </c>
      <c r="G329" s="8" t="s">
        <v>1368</v>
      </c>
      <c r="H329" s="10"/>
      <c r="I329" s="10"/>
      <c r="J329" s="10"/>
      <c r="K329" s="10"/>
      <c r="L329" s="10"/>
      <c r="M329" s="10">
        <f t="shared" si="7"/>
        <v>0</v>
      </c>
      <c r="N329" s="38"/>
      <c r="O329" s="38"/>
      <c r="P329" s="38"/>
      <c r="Q329" s="27"/>
    </row>
    <row r="330" spans="1:17" customFormat="1" ht="15.75">
      <c r="A330" s="2">
        <v>800</v>
      </c>
      <c r="B330" s="30" t="str">
        <f>VLOOKUP(C330,Sheet1!$A$2:$B$1132,2,FALSE)</f>
        <v>NORMAL</v>
      </c>
      <c r="C330" s="50" t="s">
        <v>1041</v>
      </c>
      <c r="D330" s="5" t="s">
        <v>4</v>
      </c>
      <c r="E330" s="1" t="s">
        <v>1355</v>
      </c>
      <c r="F330" s="8" t="s">
        <v>1400</v>
      </c>
      <c r="G330" s="8" t="s">
        <v>1368</v>
      </c>
      <c r="H330" s="10"/>
      <c r="I330" s="10"/>
      <c r="J330" s="10"/>
      <c r="K330" s="10"/>
      <c r="L330" s="10"/>
      <c r="M330" s="10">
        <f t="shared" si="7"/>
        <v>0</v>
      </c>
      <c r="N330" s="38"/>
      <c r="O330" s="38"/>
      <c r="P330" s="38"/>
      <c r="Q330" s="27"/>
    </row>
    <row r="331" spans="1:17" customFormat="1" ht="15.75">
      <c r="A331" s="2">
        <v>800</v>
      </c>
      <c r="B331" s="30" t="str">
        <f>VLOOKUP(C331,Sheet1!$A$2:$B$1132,2,FALSE)</f>
        <v>NORMAL</v>
      </c>
      <c r="C331" s="51" t="s">
        <v>1042</v>
      </c>
      <c r="D331" s="3" t="s">
        <v>4</v>
      </c>
      <c r="E331" s="1" t="s">
        <v>1355</v>
      </c>
      <c r="F331" s="8" t="s">
        <v>1400</v>
      </c>
      <c r="G331" s="8" t="s">
        <v>1368</v>
      </c>
      <c r="H331" s="10"/>
      <c r="I331" s="10"/>
      <c r="J331" s="10"/>
      <c r="K331" s="10"/>
      <c r="L331" s="10"/>
      <c r="M331" s="10">
        <f t="shared" si="7"/>
        <v>0</v>
      </c>
      <c r="N331" s="38"/>
      <c r="O331" s="38"/>
      <c r="P331" s="38"/>
      <c r="Q331" s="27"/>
    </row>
    <row r="332" spans="1:17" customFormat="1" ht="15.75">
      <c r="A332" s="2">
        <v>800</v>
      </c>
      <c r="B332" s="30" t="str">
        <f>VLOOKUP(C332,Sheet1!$A$2:$B$1132,2,FALSE)</f>
        <v>NORMAL</v>
      </c>
      <c r="C332" s="50" t="s">
        <v>977</v>
      </c>
      <c r="D332" s="5" t="s">
        <v>4</v>
      </c>
      <c r="E332" s="1" t="s">
        <v>1355</v>
      </c>
      <c r="F332" s="8" t="s">
        <v>1400</v>
      </c>
      <c r="G332" s="8" t="s">
        <v>1368</v>
      </c>
      <c r="H332" s="10"/>
      <c r="I332" s="10"/>
      <c r="J332" s="10"/>
      <c r="K332" s="10"/>
      <c r="L332" s="10"/>
      <c r="M332" s="10">
        <f t="shared" si="7"/>
        <v>0</v>
      </c>
      <c r="N332" s="38"/>
      <c r="O332" s="38"/>
      <c r="P332" s="38"/>
      <c r="Q332" s="27"/>
    </row>
    <row r="333" spans="1:17" customFormat="1" ht="15.75">
      <c r="A333" s="2">
        <v>800</v>
      </c>
      <c r="B333" s="30" t="str">
        <f>VLOOKUP(C333,Sheet1!$A$2:$B$1132,2,FALSE)</f>
        <v>NORMAL</v>
      </c>
      <c r="C333" s="51" t="s">
        <v>978</v>
      </c>
      <c r="D333" s="3" t="s">
        <v>4</v>
      </c>
      <c r="E333" s="1" t="s">
        <v>1355</v>
      </c>
      <c r="F333" s="8" t="s">
        <v>1400</v>
      </c>
      <c r="G333" s="8" t="s">
        <v>1368</v>
      </c>
      <c r="H333" s="10"/>
      <c r="I333" s="10"/>
      <c r="J333" s="10"/>
      <c r="K333" s="10"/>
      <c r="L333" s="10"/>
      <c r="M333" s="10">
        <f t="shared" si="7"/>
        <v>0</v>
      </c>
      <c r="N333" s="38"/>
      <c r="O333" s="38"/>
      <c r="P333" s="38"/>
      <c r="Q333" s="27"/>
    </row>
    <row r="334" spans="1:17" customFormat="1" ht="15.75">
      <c r="A334" s="2">
        <v>800</v>
      </c>
      <c r="B334" s="30" t="str">
        <f>VLOOKUP(C334,Sheet1!$A$2:$B$1132,2,FALSE)</f>
        <v>NORMAL</v>
      </c>
      <c r="C334" s="50" t="s">
        <v>979</v>
      </c>
      <c r="D334" s="5" t="s">
        <v>4</v>
      </c>
      <c r="E334" s="1" t="s">
        <v>1355</v>
      </c>
      <c r="F334" s="8" t="s">
        <v>1400</v>
      </c>
      <c r="G334" s="8" t="s">
        <v>1368</v>
      </c>
      <c r="H334" s="10"/>
      <c r="I334" s="10"/>
      <c r="J334" s="10"/>
      <c r="K334" s="10"/>
      <c r="L334" s="10"/>
      <c r="M334" s="10">
        <f t="shared" si="7"/>
        <v>0</v>
      </c>
      <c r="N334" s="38"/>
      <c r="O334" s="38"/>
      <c r="P334" s="38"/>
      <c r="Q334" s="27"/>
    </row>
    <row r="335" spans="1:17" customFormat="1" ht="15.75">
      <c r="A335" s="2">
        <v>800</v>
      </c>
      <c r="B335" s="30" t="str">
        <f>VLOOKUP(C335,Sheet1!$A$2:$B$1132,2,FALSE)</f>
        <v>NORMAL</v>
      </c>
      <c r="C335" s="51" t="s">
        <v>980</v>
      </c>
      <c r="D335" s="3" t="s">
        <v>4</v>
      </c>
      <c r="E335" s="1" t="s">
        <v>1355</v>
      </c>
      <c r="F335" s="8" t="s">
        <v>1400</v>
      </c>
      <c r="G335" s="8" t="s">
        <v>1368</v>
      </c>
      <c r="H335" s="10"/>
      <c r="I335" s="10"/>
      <c r="J335" s="10"/>
      <c r="K335" s="10"/>
      <c r="L335" s="10"/>
      <c r="M335" s="10">
        <f t="shared" si="7"/>
        <v>0</v>
      </c>
      <c r="N335" s="38"/>
      <c r="O335" s="38"/>
      <c r="P335" s="38"/>
      <c r="Q335" s="27"/>
    </row>
    <row r="336" spans="1:17" customFormat="1" ht="15.75">
      <c r="A336" s="2">
        <v>800</v>
      </c>
      <c r="B336" s="30" t="str">
        <f>VLOOKUP(C336,Sheet1!$A$2:$B$1132,2,FALSE)</f>
        <v>NORMAL</v>
      </c>
      <c r="C336" s="50" t="s">
        <v>981</v>
      </c>
      <c r="D336" s="5" t="s">
        <v>4</v>
      </c>
      <c r="E336" s="1" t="s">
        <v>1355</v>
      </c>
      <c r="F336" s="8" t="s">
        <v>1400</v>
      </c>
      <c r="G336" s="8" t="s">
        <v>1368</v>
      </c>
      <c r="H336" s="10"/>
      <c r="I336" s="10"/>
      <c r="J336" s="10"/>
      <c r="K336" s="10"/>
      <c r="L336" s="10"/>
      <c r="M336" s="10">
        <f t="shared" si="7"/>
        <v>0</v>
      </c>
      <c r="N336" s="38"/>
      <c r="O336" s="38"/>
      <c r="P336" s="38"/>
      <c r="Q336" s="27"/>
    </row>
    <row r="337" spans="1:17" customFormat="1" ht="15.75">
      <c r="A337" s="2">
        <v>800</v>
      </c>
      <c r="B337" s="30" t="str">
        <f>VLOOKUP(C337,Sheet1!$A$2:$B$1132,2,FALSE)</f>
        <v>NORMAL</v>
      </c>
      <c r="C337" s="51" t="s">
        <v>982</v>
      </c>
      <c r="D337" s="3" t="s">
        <v>4</v>
      </c>
      <c r="E337" s="1" t="s">
        <v>1355</v>
      </c>
      <c r="F337" s="8" t="s">
        <v>1400</v>
      </c>
      <c r="G337" s="8" t="s">
        <v>1368</v>
      </c>
      <c r="H337" s="10"/>
      <c r="I337" s="10"/>
      <c r="J337" s="10"/>
      <c r="K337" s="10"/>
      <c r="L337" s="10"/>
      <c r="M337" s="10">
        <f t="shared" si="7"/>
        <v>0</v>
      </c>
      <c r="N337" s="38"/>
      <c r="O337" s="38"/>
      <c r="P337" s="38"/>
      <c r="Q337" s="27"/>
    </row>
    <row r="338" spans="1:17" customFormat="1" ht="15.75">
      <c r="A338" s="2">
        <v>800</v>
      </c>
      <c r="B338" s="30" t="str">
        <f>VLOOKUP(C338,Sheet1!$A$2:$B$1132,2,FALSE)</f>
        <v>NORMAL</v>
      </c>
      <c r="C338" s="50" t="s">
        <v>983</v>
      </c>
      <c r="D338" s="5" t="s">
        <v>4</v>
      </c>
      <c r="E338" s="1" t="s">
        <v>1355</v>
      </c>
      <c r="F338" s="8" t="s">
        <v>1400</v>
      </c>
      <c r="G338" s="8" t="s">
        <v>1368</v>
      </c>
      <c r="H338" s="10"/>
      <c r="I338" s="10"/>
      <c r="J338" s="10"/>
      <c r="K338" s="10"/>
      <c r="L338" s="10"/>
      <c r="M338" s="10">
        <f t="shared" si="7"/>
        <v>0</v>
      </c>
      <c r="N338" s="38"/>
      <c r="O338" s="38"/>
      <c r="P338" s="38"/>
      <c r="Q338" s="27"/>
    </row>
    <row r="339" spans="1:17" customFormat="1" ht="15.75">
      <c r="A339" s="2">
        <v>800</v>
      </c>
      <c r="B339" s="30" t="str">
        <f>VLOOKUP(C339,Sheet1!$A$2:$B$1132,2,FALSE)</f>
        <v>NORMAL</v>
      </c>
      <c r="C339" s="51" t="s">
        <v>984</v>
      </c>
      <c r="D339" s="3" t="s">
        <v>4</v>
      </c>
      <c r="E339" s="1" t="s">
        <v>1355</v>
      </c>
      <c r="F339" s="8" t="s">
        <v>1400</v>
      </c>
      <c r="G339" s="8" t="s">
        <v>1368</v>
      </c>
      <c r="H339" s="10"/>
      <c r="I339" s="10"/>
      <c r="J339" s="10"/>
      <c r="K339" s="10"/>
      <c r="L339" s="10"/>
      <c r="M339" s="10">
        <f t="shared" si="7"/>
        <v>0</v>
      </c>
      <c r="N339" s="38"/>
      <c r="O339" s="38"/>
      <c r="P339" s="38"/>
      <c r="Q339" s="27"/>
    </row>
    <row r="340" spans="1:17" customFormat="1" ht="15.75">
      <c r="A340" s="2">
        <v>800</v>
      </c>
      <c r="B340" s="30" t="str">
        <f>VLOOKUP(C340,Sheet1!$A$2:$B$1132,2,FALSE)</f>
        <v>NORMAL</v>
      </c>
      <c r="C340" s="50" t="s">
        <v>985</v>
      </c>
      <c r="D340" s="5" t="s">
        <v>4</v>
      </c>
      <c r="E340" s="1" t="s">
        <v>1355</v>
      </c>
      <c r="F340" s="8" t="s">
        <v>1400</v>
      </c>
      <c r="G340" s="8" t="s">
        <v>1368</v>
      </c>
      <c r="H340" s="10"/>
      <c r="I340" s="10"/>
      <c r="J340" s="10"/>
      <c r="K340" s="10"/>
      <c r="L340" s="10"/>
      <c r="M340" s="10">
        <f t="shared" si="7"/>
        <v>0</v>
      </c>
      <c r="N340" s="38"/>
      <c r="O340" s="38"/>
      <c r="P340" s="38"/>
      <c r="Q340" s="27"/>
    </row>
    <row r="341" spans="1:17" customFormat="1" ht="15.75">
      <c r="A341" s="2">
        <v>800</v>
      </c>
      <c r="B341" s="30" t="str">
        <f>VLOOKUP(C341,Sheet1!$A$2:$B$1132,2,FALSE)</f>
        <v>NORMAL</v>
      </c>
      <c r="C341" s="51" t="s">
        <v>986</v>
      </c>
      <c r="D341" s="3" t="s">
        <v>4</v>
      </c>
      <c r="E341" s="1" t="s">
        <v>1355</v>
      </c>
      <c r="F341" s="8" t="s">
        <v>1400</v>
      </c>
      <c r="G341" s="8" t="s">
        <v>1368</v>
      </c>
      <c r="H341" s="10"/>
      <c r="I341" s="10"/>
      <c r="J341" s="10"/>
      <c r="K341" s="10"/>
      <c r="L341" s="10"/>
      <c r="M341" s="10">
        <f t="shared" si="7"/>
        <v>0</v>
      </c>
      <c r="N341" s="38"/>
      <c r="O341" s="38"/>
      <c r="P341" s="38"/>
      <c r="Q341" s="27"/>
    </row>
    <row r="342" spans="1:17" customFormat="1" ht="15.75">
      <c r="A342" s="2">
        <v>800</v>
      </c>
      <c r="B342" s="30" t="str">
        <f>VLOOKUP(C342,Sheet1!$A$2:$B$1132,2,FALSE)</f>
        <v>NORMAL</v>
      </c>
      <c r="C342" s="50" t="s">
        <v>987</v>
      </c>
      <c r="D342" s="5" t="s">
        <v>4</v>
      </c>
      <c r="E342" s="1" t="s">
        <v>1355</v>
      </c>
      <c r="F342" s="8" t="s">
        <v>1400</v>
      </c>
      <c r="G342" s="8" t="s">
        <v>1368</v>
      </c>
      <c r="H342" s="10"/>
      <c r="I342" s="10"/>
      <c r="J342" s="10"/>
      <c r="K342" s="10"/>
      <c r="L342" s="10"/>
      <c r="M342" s="10">
        <f t="shared" si="7"/>
        <v>0</v>
      </c>
      <c r="N342" s="38"/>
      <c r="O342" s="38"/>
      <c r="P342" s="38"/>
      <c r="Q342" s="27"/>
    </row>
    <row r="343" spans="1:17" customFormat="1" ht="15.75">
      <c r="A343" s="2">
        <v>800</v>
      </c>
      <c r="B343" s="30" t="str">
        <f>VLOOKUP(C343,Sheet1!$A$2:$B$1132,2,FALSE)</f>
        <v>NORMAL</v>
      </c>
      <c r="C343" s="51" t="s">
        <v>988</v>
      </c>
      <c r="D343" s="3" t="s">
        <v>4</v>
      </c>
      <c r="E343" s="1" t="s">
        <v>1355</v>
      </c>
      <c r="F343" s="8" t="s">
        <v>1400</v>
      </c>
      <c r="G343" s="8" t="s">
        <v>1368</v>
      </c>
      <c r="H343" s="10"/>
      <c r="I343" s="10"/>
      <c r="J343" s="10"/>
      <c r="K343" s="10"/>
      <c r="L343" s="10"/>
      <c r="M343" s="10">
        <f t="shared" si="7"/>
        <v>0</v>
      </c>
      <c r="N343" s="38"/>
      <c r="O343" s="38"/>
      <c r="P343" s="38"/>
      <c r="Q343" s="27"/>
    </row>
    <row r="344" spans="1:17" customFormat="1" ht="15.75">
      <c r="A344" s="2">
        <v>800</v>
      </c>
      <c r="B344" s="30" t="str">
        <f>VLOOKUP(C344,Sheet1!$A$2:$B$1132,2,FALSE)</f>
        <v>NORMAL</v>
      </c>
      <c r="C344" s="50" t="s">
        <v>989</v>
      </c>
      <c r="D344" s="5" t="s">
        <v>4</v>
      </c>
      <c r="E344" s="1" t="s">
        <v>1355</v>
      </c>
      <c r="F344" s="8" t="s">
        <v>1400</v>
      </c>
      <c r="G344" s="8" t="s">
        <v>1368</v>
      </c>
      <c r="H344" s="10"/>
      <c r="I344" s="10"/>
      <c r="J344" s="10"/>
      <c r="K344" s="10"/>
      <c r="L344" s="10"/>
      <c r="M344" s="10">
        <f t="shared" si="7"/>
        <v>0</v>
      </c>
      <c r="N344" s="38"/>
      <c r="O344" s="38"/>
      <c r="P344" s="38"/>
      <c r="Q344" s="27"/>
    </row>
    <row r="345" spans="1:17" customFormat="1" ht="15.75">
      <c r="A345" s="2">
        <v>800</v>
      </c>
      <c r="B345" s="30" t="str">
        <f>VLOOKUP(C345,Sheet1!$A$2:$B$1132,2,FALSE)</f>
        <v>NORMAL</v>
      </c>
      <c r="C345" s="51" t="s">
        <v>990</v>
      </c>
      <c r="D345" s="3" t="s">
        <v>4</v>
      </c>
      <c r="E345" s="1" t="s">
        <v>1355</v>
      </c>
      <c r="F345" s="8" t="s">
        <v>1400</v>
      </c>
      <c r="G345" s="8" t="s">
        <v>1368</v>
      </c>
      <c r="H345" s="10"/>
      <c r="I345" s="10"/>
      <c r="J345" s="10"/>
      <c r="K345" s="10"/>
      <c r="L345" s="10"/>
      <c r="M345" s="10">
        <f t="shared" si="7"/>
        <v>0</v>
      </c>
      <c r="N345" s="38"/>
      <c r="O345" s="38"/>
      <c r="P345" s="38"/>
      <c r="Q345" s="27"/>
    </row>
    <row r="346" spans="1:17" customFormat="1" ht="15.75">
      <c r="A346" s="2">
        <v>800</v>
      </c>
      <c r="B346" s="30" t="str">
        <f>VLOOKUP(C346,Sheet1!$A$2:$B$1132,2,FALSE)</f>
        <v>NORMAL</v>
      </c>
      <c r="C346" s="50" t="s">
        <v>991</v>
      </c>
      <c r="D346" s="5" t="s">
        <v>4</v>
      </c>
      <c r="E346" s="1" t="s">
        <v>1355</v>
      </c>
      <c r="F346" s="8" t="s">
        <v>1400</v>
      </c>
      <c r="G346" s="8" t="s">
        <v>1368</v>
      </c>
      <c r="H346" s="10"/>
      <c r="I346" s="10"/>
      <c r="J346" s="10"/>
      <c r="K346" s="10"/>
      <c r="L346" s="10"/>
      <c r="M346" s="10">
        <f t="shared" si="7"/>
        <v>0</v>
      </c>
      <c r="N346" s="38"/>
      <c r="O346" s="38"/>
      <c r="P346" s="38"/>
      <c r="Q346" s="27"/>
    </row>
    <row r="347" spans="1:17" customFormat="1" ht="15.75">
      <c r="A347" s="2">
        <v>800</v>
      </c>
      <c r="B347" s="30" t="str">
        <f>VLOOKUP(C347,Sheet1!$A$2:$B$1132,2,FALSE)</f>
        <v>NORMAL</v>
      </c>
      <c r="C347" s="51" t="s">
        <v>992</v>
      </c>
      <c r="D347" s="3" t="s">
        <v>4</v>
      </c>
      <c r="E347" s="1" t="s">
        <v>1355</v>
      </c>
      <c r="F347" s="8" t="s">
        <v>1400</v>
      </c>
      <c r="G347" s="8" t="s">
        <v>1368</v>
      </c>
      <c r="H347" s="10"/>
      <c r="I347" s="10"/>
      <c r="J347" s="10"/>
      <c r="K347" s="10"/>
      <c r="L347" s="10"/>
      <c r="M347" s="10">
        <f t="shared" si="7"/>
        <v>0</v>
      </c>
      <c r="N347" s="38"/>
      <c r="O347" s="38"/>
      <c r="P347" s="38"/>
      <c r="Q347" s="27"/>
    </row>
    <row r="348" spans="1:17" customFormat="1" ht="15.75">
      <c r="A348" s="2">
        <v>800</v>
      </c>
      <c r="B348" s="30" t="str">
        <f>VLOOKUP(C348,Sheet1!$A$2:$B$1132,2,FALSE)</f>
        <v>NORMAL</v>
      </c>
      <c r="C348" s="50" t="s">
        <v>993</v>
      </c>
      <c r="D348" s="5" t="s">
        <v>4</v>
      </c>
      <c r="E348" s="1" t="s">
        <v>1355</v>
      </c>
      <c r="F348" s="8" t="s">
        <v>1400</v>
      </c>
      <c r="G348" s="8" t="s">
        <v>1368</v>
      </c>
      <c r="H348" s="10"/>
      <c r="I348" s="10"/>
      <c r="J348" s="10"/>
      <c r="K348" s="10"/>
      <c r="L348" s="10"/>
      <c r="M348" s="10">
        <f t="shared" si="7"/>
        <v>0</v>
      </c>
      <c r="N348" s="38"/>
      <c r="O348" s="38"/>
      <c r="P348" s="38"/>
      <c r="Q348" s="27"/>
    </row>
    <row r="349" spans="1:17" customFormat="1" ht="15.75">
      <c r="A349" s="2">
        <v>800</v>
      </c>
      <c r="B349" s="30" t="str">
        <f>VLOOKUP(C349,Sheet1!$A$2:$B$1132,2,FALSE)</f>
        <v>NORMAL</v>
      </c>
      <c r="C349" s="51" t="s">
        <v>994</v>
      </c>
      <c r="D349" s="3" t="s">
        <v>4</v>
      </c>
      <c r="E349" s="1" t="s">
        <v>1355</v>
      </c>
      <c r="F349" s="8" t="s">
        <v>1400</v>
      </c>
      <c r="G349" s="8" t="s">
        <v>1368</v>
      </c>
      <c r="H349" s="10"/>
      <c r="I349" s="10"/>
      <c r="J349" s="10"/>
      <c r="K349" s="10"/>
      <c r="L349" s="10"/>
      <c r="M349" s="10">
        <f t="shared" si="7"/>
        <v>0</v>
      </c>
      <c r="N349" s="38"/>
      <c r="O349" s="38"/>
      <c r="P349" s="38"/>
      <c r="Q349" s="27"/>
    </row>
    <row r="350" spans="1:17" customFormat="1" ht="15.75">
      <c r="A350" s="2">
        <v>800</v>
      </c>
      <c r="B350" s="30" t="str">
        <f>VLOOKUP(C350,Sheet1!$A$2:$B$1132,2,FALSE)</f>
        <v>NORMAL</v>
      </c>
      <c r="C350" s="50" t="s">
        <v>995</v>
      </c>
      <c r="D350" s="5" t="s">
        <v>4</v>
      </c>
      <c r="E350" s="1" t="s">
        <v>1355</v>
      </c>
      <c r="F350" s="8" t="s">
        <v>1400</v>
      </c>
      <c r="G350" s="8" t="s">
        <v>1368</v>
      </c>
      <c r="H350" s="10"/>
      <c r="I350" s="10"/>
      <c r="J350" s="10"/>
      <c r="K350" s="10"/>
      <c r="L350" s="10"/>
      <c r="M350" s="10">
        <f t="shared" si="7"/>
        <v>0</v>
      </c>
      <c r="N350" s="38"/>
      <c r="O350" s="38"/>
      <c r="P350" s="38"/>
      <c r="Q350" s="27"/>
    </row>
    <row r="351" spans="1:17" customFormat="1" ht="15.75">
      <c r="A351" s="2">
        <v>800</v>
      </c>
      <c r="B351" s="30" t="str">
        <f>VLOOKUP(C351,Sheet1!$A$2:$B$1132,2,FALSE)</f>
        <v>NORMAL</v>
      </c>
      <c r="C351" s="51" t="s">
        <v>996</v>
      </c>
      <c r="D351" s="3" t="s">
        <v>4</v>
      </c>
      <c r="E351" s="1" t="s">
        <v>1355</v>
      </c>
      <c r="F351" s="8" t="s">
        <v>1400</v>
      </c>
      <c r="G351" s="8" t="s">
        <v>1368</v>
      </c>
      <c r="H351" s="10"/>
      <c r="I351" s="10"/>
      <c r="J351" s="10"/>
      <c r="K351" s="10"/>
      <c r="L351" s="10"/>
      <c r="M351" s="10">
        <f t="shared" si="7"/>
        <v>0</v>
      </c>
      <c r="N351" s="38"/>
      <c r="O351" s="38"/>
      <c r="P351" s="38"/>
      <c r="Q351" s="27"/>
    </row>
    <row r="352" spans="1:17" customFormat="1" ht="15.75">
      <c r="A352" s="2">
        <v>800</v>
      </c>
      <c r="B352" s="30" t="str">
        <f>VLOOKUP(C352,Sheet1!$A$2:$B$1132,2,FALSE)</f>
        <v>NORMAL</v>
      </c>
      <c r="C352" s="50" t="s">
        <v>997</v>
      </c>
      <c r="D352" s="5" t="s">
        <v>4</v>
      </c>
      <c r="E352" s="1" t="s">
        <v>1355</v>
      </c>
      <c r="F352" s="8" t="s">
        <v>1400</v>
      </c>
      <c r="G352" s="8" t="s">
        <v>1368</v>
      </c>
      <c r="H352" s="10"/>
      <c r="I352" s="10"/>
      <c r="J352" s="10"/>
      <c r="K352" s="10"/>
      <c r="L352" s="10"/>
      <c r="M352" s="10">
        <f t="shared" si="7"/>
        <v>0</v>
      </c>
      <c r="N352" s="38"/>
      <c r="O352" s="38"/>
      <c r="P352" s="38"/>
      <c r="Q352" s="27"/>
    </row>
    <row r="353" spans="1:17" customFormat="1" ht="15.75">
      <c r="A353" s="2">
        <v>800</v>
      </c>
      <c r="B353" s="30" t="str">
        <f>VLOOKUP(C353,Sheet1!$A$2:$B$1132,2,FALSE)</f>
        <v>NORMAL</v>
      </c>
      <c r="C353" s="51" t="s">
        <v>998</v>
      </c>
      <c r="D353" s="3" t="s">
        <v>4</v>
      </c>
      <c r="E353" s="1" t="s">
        <v>1355</v>
      </c>
      <c r="F353" s="8" t="s">
        <v>1400</v>
      </c>
      <c r="G353" s="8" t="s">
        <v>1368</v>
      </c>
      <c r="H353" s="10"/>
      <c r="I353" s="10"/>
      <c r="J353" s="10"/>
      <c r="K353" s="10"/>
      <c r="L353" s="10"/>
      <c r="M353" s="10">
        <f t="shared" si="7"/>
        <v>0</v>
      </c>
      <c r="N353" s="38"/>
      <c r="O353" s="38"/>
      <c r="P353" s="38"/>
      <c r="Q353" s="27"/>
    </row>
    <row r="354" spans="1:17" customFormat="1" ht="15.75">
      <c r="A354" s="2">
        <v>800</v>
      </c>
      <c r="B354" s="30" t="str">
        <f>VLOOKUP(C354,Sheet1!$A$2:$B$1132,2,FALSE)</f>
        <v>NORMAL</v>
      </c>
      <c r="C354" s="50" t="s">
        <v>999</v>
      </c>
      <c r="D354" s="5" t="s">
        <v>4</v>
      </c>
      <c r="E354" s="1" t="s">
        <v>1355</v>
      </c>
      <c r="F354" s="8" t="s">
        <v>1400</v>
      </c>
      <c r="G354" s="8" t="s">
        <v>1368</v>
      </c>
      <c r="H354" s="10"/>
      <c r="I354" s="10"/>
      <c r="J354" s="10"/>
      <c r="K354" s="10"/>
      <c r="L354" s="10"/>
      <c r="M354" s="10">
        <f t="shared" si="7"/>
        <v>0</v>
      </c>
      <c r="N354" s="38"/>
      <c r="O354" s="38"/>
      <c r="P354" s="38"/>
      <c r="Q354" s="27"/>
    </row>
    <row r="355" spans="1:17" customFormat="1" ht="15.75">
      <c r="A355" s="2">
        <v>800</v>
      </c>
      <c r="B355" s="30" t="str">
        <f>VLOOKUP(C355,Sheet1!$A$2:$B$1132,2,FALSE)</f>
        <v>NORMAL</v>
      </c>
      <c r="C355" s="51" t="s">
        <v>1000</v>
      </c>
      <c r="D355" s="3" t="s">
        <v>4</v>
      </c>
      <c r="E355" s="1" t="s">
        <v>1355</v>
      </c>
      <c r="F355" s="8" t="s">
        <v>1400</v>
      </c>
      <c r="G355" s="8" t="s">
        <v>1368</v>
      </c>
      <c r="H355" s="10"/>
      <c r="I355" s="10"/>
      <c r="J355" s="10"/>
      <c r="K355" s="10"/>
      <c r="L355" s="10"/>
      <c r="M355" s="10">
        <f t="shared" si="7"/>
        <v>0</v>
      </c>
      <c r="N355" s="38"/>
      <c r="O355" s="38"/>
      <c r="P355" s="38"/>
      <c r="Q355" s="27"/>
    </row>
    <row r="356" spans="1:17" customFormat="1" ht="15.75">
      <c r="A356" s="2">
        <v>800</v>
      </c>
      <c r="B356" s="30" t="str">
        <f>VLOOKUP(C356,Sheet1!$A$2:$B$1132,2,FALSE)</f>
        <v>NORMAL</v>
      </c>
      <c r="C356" s="50" t="s">
        <v>1001</v>
      </c>
      <c r="D356" s="5" t="s">
        <v>4</v>
      </c>
      <c r="E356" s="1" t="s">
        <v>1355</v>
      </c>
      <c r="F356" s="8" t="s">
        <v>1400</v>
      </c>
      <c r="G356" s="8" t="s">
        <v>1368</v>
      </c>
      <c r="H356" s="10"/>
      <c r="I356" s="10"/>
      <c r="J356" s="10"/>
      <c r="K356" s="10"/>
      <c r="L356" s="10"/>
      <c r="M356" s="10">
        <f t="shared" si="7"/>
        <v>0</v>
      </c>
      <c r="N356" s="38"/>
      <c r="O356" s="38"/>
      <c r="P356" s="38"/>
      <c r="Q356" s="27"/>
    </row>
    <row r="357" spans="1:17" customFormat="1" ht="15.75">
      <c r="A357" s="2">
        <v>800</v>
      </c>
      <c r="B357" s="30" t="str">
        <f>VLOOKUP(C357,Sheet1!$A$2:$B$1132,2,FALSE)</f>
        <v>NORMAL</v>
      </c>
      <c r="C357" s="51" t="s">
        <v>1002</v>
      </c>
      <c r="D357" s="3" t="s">
        <v>4</v>
      </c>
      <c r="E357" s="1" t="s">
        <v>1355</v>
      </c>
      <c r="F357" s="8" t="s">
        <v>1400</v>
      </c>
      <c r="G357" s="8" t="s">
        <v>1368</v>
      </c>
      <c r="H357" s="10"/>
      <c r="I357" s="10"/>
      <c r="J357" s="10"/>
      <c r="K357" s="10"/>
      <c r="L357" s="10"/>
      <c r="M357" s="10">
        <f t="shared" si="7"/>
        <v>0</v>
      </c>
      <c r="N357" s="38"/>
      <c r="O357" s="38"/>
      <c r="P357" s="38"/>
      <c r="Q357" s="27"/>
    </row>
    <row r="358" spans="1:17" customFormat="1" ht="15.75">
      <c r="A358" s="2">
        <v>800</v>
      </c>
      <c r="B358" s="30" t="str">
        <f>VLOOKUP(C358,Sheet1!$A$2:$B$1132,2,FALSE)</f>
        <v>NORMAL</v>
      </c>
      <c r="C358" s="50" t="s">
        <v>1003</v>
      </c>
      <c r="D358" s="5" t="s">
        <v>4</v>
      </c>
      <c r="E358" s="1" t="s">
        <v>1355</v>
      </c>
      <c r="F358" s="8" t="s">
        <v>1400</v>
      </c>
      <c r="G358" s="8" t="s">
        <v>1368</v>
      </c>
      <c r="H358" s="10"/>
      <c r="I358" s="10"/>
      <c r="J358" s="10"/>
      <c r="K358" s="10"/>
      <c r="L358" s="10"/>
      <c r="M358" s="10">
        <f t="shared" si="7"/>
        <v>0</v>
      </c>
      <c r="N358" s="38"/>
      <c r="O358" s="38"/>
      <c r="P358" s="38"/>
      <c r="Q358" s="27"/>
    </row>
    <row r="359" spans="1:17" customFormat="1" ht="15.75">
      <c r="A359" s="2">
        <v>800</v>
      </c>
      <c r="B359" s="30" t="str">
        <f>VLOOKUP(C359,Sheet1!$A$2:$B$1132,2,FALSE)</f>
        <v>NORMAL</v>
      </c>
      <c r="C359" s="51" t="s">
        <v>1004</v>
      </c>
      <c r="D359" s="3" t="s">
        <v>4</v>
      </c>
      <c r="E359" s="1" t="s">
        <v>1355</v>
      </c>
      <c r="F359" s="8" t="s">
        <v>1400</v>
      </c>
      <c r="G359" s="8" t="s">
        <v>1368</v>
      </c>
      <c r="H359" s="10"/>
      <c r="I359" s="10"/>
      <c r="J359" s="10"/>
      <c r="K359" s="10"/>
      <c r="L359" s="10"/>
      <c r="M359" s="10">
        <f t="shared" si="7"/>
        <v>0</v>
      </c>
      <c r="N359" s="38"/>
      <c r="O359" s="38"/>
      <c r="P359" s="38"/>
      <c r="Q359" s="27"/>
    </row>
    <row r="360" spans="1:17" customFormat="1" ht="15.75">
      <c r="A360" s="2">
        <v>800</v>
      </c>
      <c r="B360" s="30" t="str">
        <f>VLOOKUP(C360,Sheet1!$A$2:$B$1132,2,FALSE)</f>
        <v>NORMAL</v>
      </c>
      <c r="C360" s="50" t="s">
        <v>1005</v>
      </c>
      <c r="D360" s="5" t="s">
        <v>4</v>
      </c>
      <c r="E360" s="1" t="s">
        <v>1355</v>
      </c>
      <c r="F360" s="8" t="s">
        <v>1400</v>
      </c>
      <c r="G360" s="8" t="s">
        <v>1368</v>
      </c>
      <c r="H360" s="10"/>
      <c r="I360" s="10"/>
      <c r="J360" s="10"/>
      <c r="K360" s="10"/>
      <c r="L360" s="10"/>
      <c r="M360" s="10">
        <f t="shared" si="7"/>
        <v>0</v>
      </c>
      <c r="N360" s="38"/>
      <c r="O360" s="38"/>
      <c r="P360" s="38"/>
      <c r="Q360" s="27"/>
    </row>
    <row r="361" spans="1:17" customFormat="1" ht="15.75">
      <c r="A361" s="2">
        <v>800</v>
      </c>
      <c r="B361" s="30" t="str">
        <f>VLOOKUP(C361,Sheet1!$A$2:$B$1132,2,FALSE)</f>
        <v>NORMAL</v>
      </c>
      <c r="C361" s="51" t="s">
        <v>1006</v>
      </c>
      <c r="D361" s="3" t="s">
        <v>4</v>
      </c>
      <c r="E361" s="1" t="s">
        <v>1355</v>
      </c>
      <c r="F361" s="8" t="s">
        <v>1400</v>
      </c>
      <c r="G361" s="8" t="s">
        <v>1368</v>
      </c>
      <c r="H361" s="10"/>
      <c r="I361" s="10"/>
      <c r="J361" s="10"/>
      <c r="K361" s="10"/>
      <c r="L361" s="10"/>
      <c r="M361" s="10">
        <f t="shared" si="7"/>
        <v>0</v>
      </c>
      <c r="N361" s="38"/>
      <c r="O361" s="38"/>
      <c r="P361" s="38"/>
      <c r="Q361" s="27"/>
    </row>
    <row r="362" spans="1:17" customFormat="1" ht="15.75">
      <c r="A362" s="2">
        <v>800</v>
      </c>
      <c r="B362" s="30" t="str">
        <f>VLOOKUP(C362,Sheet1!$A$2:$B$1132,2,FALSE)</f>
        <v>NORMAL</v>
      </c>
      <c r="C362" s="50" t="s">
        <v>1007</v>
      </c>
      <c r="D362" s="5" t="s">
        <v>4</v>
      </c>
      <c r="E362" s="1" t="s">
        <v>1355</v>
      </c>
      <c r="F362" s="8" t="s">
        <v>1400</v>
      </c>
      <c r="G362" s="8" t="s">
        <v>1368</v>
      </c>
      <c r="H362" s="10"/>
      <c r="I362" s="10"/>
      <c r="J362" s="10"/>
      <c r="K362" s="10"/>
      <c r="L362" s="10"/>
      <c r="M362" s="10">
        <f t="shared" si="7"/>
        <v>0</v>
      </c>
      <c r="N362" s="38"/>
      <c r="O362" s="38"/>
      <c r="P362" s="38"/>
      <c r="Q362" s="27"/>
    </row>
    <row r="363" spans="1:17" customFormat="1" ht="15.75">
      <c r="A363" s="2">
        <v>800</v>
      </c>
      <c r="B363" s="30" t="str">
        <f>VLOOKUP(C363,Sheet1!$A$2:$B$1132,2,FALSE)</f>
        <v>NORMAL</v>
      </c>
      <c r="C363" s="51" t="s">
        <v>1008</v>
      </c>
      <c r="D363" s="3" t="s">
        <v>4</v>
      </c>
      <c r="E363" s="1" t="s">
        <v>1355</v>
      </c>
      <c r="F363" s="8" t="s">
        <v>1400</v>
      </c>
      <c r="G363" s="8" t="s">
        <v>1368</v>
      </c>
      <c r="H363" s="10"/>
      <c r="I363" s="10"/>
      <c r="J363" s="10"/>
      <c r="K363" s="10"/>
      <c r="L363" s="10"/>
      <c r="M363" s="10">
        <f t="shared" si="7"/>
        <v>0</v>
      </c>
      <c r="N363" s="38"/>
      <c r="O363" s="38"/>
      <c r="P363" s="38"/>
      <c r="Q363" s="27"/>
    </row>
    <row r="364" spans="1:17" customFormat="1" ht="15.75">
      <c r="A364" s="2">
        <v>800</v>
      </c>
      <c r="B364" s="30" t="str">
        <f>VLOOKUP(C364,Sheet1!$A$2:$B$1132,2,FALSE)</f>
        <v>NORMAL</v>
      </c>
      <c r="C364" s="50" t="s">
        <v>1009</v>
      </c>
      <c r="D364" s="5" t="s">
        <v>4</v>
      </c>
      <c r="E364" s="1" t="s">
        <v>1355</v>
      </c>
      <c r="F364" s="8" t="s">
        <v>1400</v>
      </c>
      <c r="G364" s="8" t="s">
        <v>1368</v>
      </c>
      <c r="H364" s="10"/>
      <c r="I364" s="10"/>
      <c r="J364" s="10"/>
      <c r="K364" s="10"/>
      <c r="L364" s="10"/>
      <c r="M364" s="10">
        <f t="shared" si="7"/>
        <v>0</v>
      </c>
      <c r="N364" s="38"/>
      <c r="O364" s="38"/>
      <c r="P364" s="38"/>
      <c r="Q364" s="27"/>
    </row>
    <row r="365" spans="1:17" customFormat="1" ht="15.75">
      <c r="A365" s="2">
        <v>800</v>
      </c>
      <c r="B365" s="30" t="str">
        <f>VLOOKUP(C365,Sheet1!$A$2:$B$1132,2,FALSE)</f>
        <v>NORMAL</v>
      </c>
      <c r="C365" s="51" t="s">
        <v>1010</v>
      </c>
      <c r="D365" s="3" t="s">
        <v>4</v>
      </c>
      <c r="E365" s="1" t="s">
        <v>1355</v>
      </c>
      <c r="F365" s="8" t="s">
        <v>1400</v>
      </c>
      <c r="G365" s="8" t="s">
        <v>1368</v>
      </c>
      <c r="H365" s="10"/>
      <c r="I365" s="10"/>
      <c r="J365" s="10"/>
      <c r="K365" s="10"/>
      <c r="L365" s="10"/>
      <c r="M365" s="10">
        <f t="shared" si="7"/>
        <v>0</v>
      </c>
      <c r="N365" s="38"/>
      <c r="O365" s="38"/>
      <c r="P365" s="38"/>
      <c r="Q365" s="27"/>
    </row>
    <row r="366" spans="1:17" customFormat="1" ht="15.75">
      <c r="A366" s="2">
        <v>800</v>
      </c>
      <c r="B366" s="30" t="str">
        <f>VLOOKUP(C366,Sheet1!$A$2:$B$1132,2,FALSE)</f>
        <v>NORMAL</v>
      </c>
      <c r="C366" s="50" t="s">
        <v>1011</v>
      </c>
      <c r="D366" s="5" t="s">
        <v>4</v>
      </c>
      <c r="E366" s="1" t="s">
        <v>1355</v>
      </c>
      <c r="F366" s="8" t="s">
        <v>1400</v>
      </c>
      <c r="G366" s="8" t="s">
        <v>1368</v>
      </c>
      <c r="H366" s="10"/>
      <c r="I366" s="10"/>
      <c r="J366" s="10"/>
      <c r="K366" s="10"/>
      <c r="L366" s="10"/>
      <c r="M366" s="10">
        <f t="shared" si="7"/>
        <v>0</v>
      </c>
      <c r="N366" s="38"/>
      <c r="O366" s="38"/>
      <c r="P366" s="38"/>
      <c r="Q366" s="27"/>
    </row>
    <row r="367" spans="1:17" customFormat="1" ht="15.75">
      <c r="A367" s="2">
        <v>800</v>
      </c>
      <c r="B367" s="30" t="str">
        <f>VLOOKUP(C367,Sheet1!$A$2:$B$1132,2,FALSE)</f>
        <v>NORMAL</v>
      </c>
      <c r="C367" s="51" t="s">
        <v>1012</v>
      </c>
      <c r="D367" s="3" t="s">
        <v>4</v>
      </c>
      <c r="E367" s="1" t="s">
        <v>1355</v>
      </c>
      <c r="F367" s="8" t="s">
        <v>1400</v>
      </c>
      <c r="G367" s="8" t="s">
        <v>1368</v>
      </c>
      <c r="H367" s="10"/>
      <c r="I367" s="10"/>
      <c r="J367" s="10"/>
      <c r="K367" s="10"/>
      <c r="L367" s="10"/>
      <c r="M367" s="10">
        <f t="shared" si="7"/>
        <v>0</v>
      </c>
      <c r="N367" s="38"/>
      <c r="O367" s="38"/>
      <c r="P367" s="38"/>
      <c r="Q367" s="27"/>
    </row>
    <row r="368" spans="1:17" customFormat="1" ht="15.75">
      <c r="A368" s="2">
        <v>800</v>
      </c>
      <c r="B368" s="30" t="str">
        <f>VLOOKUP(C368,Sheet1!$A$2:$B$1132,2,FALSE)</f>
        <v>NORMAL</v>
      </c>
      <c r="C368" s="50" t="s">
        <v>1013</v>
      </c>
      <c r="D368" s="5" t="s">
        <v>4</v>
      </c>
      <c r="E368" s="1" t="s">
        <v>1355</v>
      </c>
      <c r="F368" s="8" t="s">
        <v>1400</v>
      </c>
      <c r="G368" s="8" t="s">
        <v>1368</v>
      </c>
      <c r="H368" s="10"/>
      <c r="I368" s="10"/>
      <c r="J368" s="10"/>
      <c r="K368" s="10"/>
      <c r="L368" s="10"/>
      <c r="M368" s="10">
        <f t="shared" si="7"/>
        <v>0</v>
      </c>
      <c r="N368" s="38"/>
      <c r="O368" s="38"/>
      <c r="P368" s="38"/>
      <c r="Q368" s="27"/>
    </row>
    <row r="369" spans="1:17" customFormat="1" ht="15.75">
      <c r="A369" s="2">
        <v>800</v>
      </c>
      <c r="B369" s="30" t="str">
        <f>VLOOKUP(C369,Sheet1!$A$2:$B$1132,2,FALSE)</f>
        <v>NORMAL</v>
      </c>
      <c r="C369" s="51" t="s">
        <v>1014</v>
      </c>
      <c r="D369" s="3" t="s">
        <v>4</v>
      </c>
      <c r="E369" s="1" t="s">
        <v>1355</v>
      </c>
      <c r="F369" s="8" t="s">
        <v>1400</v>
      </c>
      <c r="G369" s="8" t="s">
        <v>1368</v>
      </c>
      <c r="H369" s="10"/>
      <c r="I369" s="10"/>
      <c r="J369" s="10"/>
      <c r="K369" s="10"/>
      <c r="L369" s="10"/>
      <c r="M369" s="10">
        <f t="shared" si="7"/>
        <v>0</v>
      </c>
      <c r="N369" s="38"/>
      <c r="O369" s="38"/>
      <c r="P369" s="38"/>
      <c r="Q369" s="27"/>
    </row>
    <row r="370" spans="1:17" customFormat="1" ht="15.75">
      <c r="A370" s="2">
        <v>800</v>
      </c>
      <c r="B370" s="30" t="str">
        <f>VLOOKUP(C370,Sheet1!$A$2:$B$1132,2,FALSE)</f>
        <v>NORMAL</v>
      </c>
      <c r="C370" s="50" t="s">
        <v>1015</v>
      </c>
      <c r="D370" s="5" t="s">
        <v>4</v>
      </c>
      <c r="E370" s="1" t="s">
        <v>1355</v>
      </c>
      <c r="F370" s="8" t="s">
        <v>1400</v>
      </c>
      <c r="G370" s="8" t="s">
        <v>1368</v>
      </c>
      <c r="H370" s="10"/>
      <c r="I370" s="10"/>
      <c r="J370" s="10"/>
      <c r="K370" s="10"/>
      <c r="L370" s="10"/>
      <c r="M370" s="10">
        <f t="shared" si="7"/>
        <v>0</v>
      </c>
      <c r="N370" s="38"/>
      <c r="O370" s="38"/>
      <c r="P370" s="38"/>
      <c r="Q370" s="27"/>
    </row>
    <row r="371" spans="1:17" customFormat="1" ht="15.75">
      <c r="A371" s="2">
        <v>800</v>
      </c>
      <c r="B371" s="30" t="str">
        <f>VLOOKUP(C371,Sheet1!$A$2:$B$1132,2,FALSE)</f>
        <v>NORMAL</v>
      </c>
      <c r="C371" s="51" t="s">
        <v>1016</v>
      </c>
      <c r="D371" s="3" t="s">
        <v>4</v>
      </c>
      <c r="E371" s="1" t="s">
        <v>1355</v>
      </c>
      <c r="F371" s="8" t="s">
        <v>1400</v>
      </c>
      <c r="G371" s="8" t="s">
        <v>1368</v>
      </c>
      <c r="H371" s="10"/>
      <c r="I371" s="10"/>
      <c r="J371" s="10"/>
      <c r="K371" s="10"/>
      <c r="L371" s="10"/>
      <c r="M371" s="10">
        <f t="shared" si="7"/>
        <v>0</v>
      </c>
      <c r="N371" s="38"/>
      <c r="O371" s="38"/>
      <c r="P371" s="38"/>
      <c r="Q371" s="27"/>
    </row>
    <row r="372" spans="1:17" customFormat="1" ht="15.75">
      <c r="A372" s="2">
        <v>800</v>
      </c>
      <c r="B372" s="30" t="str">
        <f>VLOOKUP(C372,Sheet1!$A$2:$B$1132,2,FALSE)</f>
        <v>IMPORTANT</v>
      </c>
      <c r="C372" s="50" t="s">
        <v>955</v>
      </c>
      <c r="D372" s="5" t="s">
        <v>4</v>
      </c>
      <c r="E372" s="1" t="s">
        <v>1355</v>
      </c>
      <c r="F372" s="8" t="s">
        <v>1400</v>
      </c>
      <c r="G372" s="8" t="s">
        <v>1368</v>
      </c>
      <c r="H372" s="10"/>
      <c r="I372" s="10"/>
      <c r="J372" s="10"/>
      <c r="K372" s="10"/>
      <c r="L372" s="10"/>
      <c r="M372" s="10">
        <f t="shared" si="7"/>
        <v>0</v>
      </c>
      <c r="N372" s="38"/>
      <c r="O372" s="38"/>
      <c r="P372" s="38"/>
      <c r="Q372" s="27"/>
    </row>
    <row r="373" spans="1:17" customFormat="1" ht="15.75">
      <c r="A373" s="2">
        <v>800</v>
      </c>
      <c r="B373" s="30" t="str">
        <f>VLOOKUP(C373,Sheet1!$A$2:$B$1132,2,FALSE)</f>
        <v>NORMAL</v>
      </c>
      <c r="C373" s="51" t="s">
        <v>1142</v>
      </c>
      <c r="D373" s="3" t="s">
        <v>4</v>
      </c>
      <c r="E373" s="1" t="s">
        <v>1355</v>
      </c>
      <c r="F373" s="8" t="s">
        <v>1400</v>
      </c>
      <c r="G373" s="8" t="s">
        <v>1368</v>
      </c>
      <c r="H373" s="10"/>
      <c r="I373" s="10"/>
      <c r="J373" s="10"/>
      <c r="K373" s="10"/>
      <c r="L373" s="10"/>
      <c r="M373" s="10">
        <f t="shared" si="7"/>
        <v>0</v>
      </c>
      <c r="N373" s="38"/>
      <c r="O373" s="38"/>
      <c r="P373" s="38"/>
      <c r="Q373" s="27"/>
    </row>
    <row r="374" spans="1:17" customFormat="1" ht="15.75">
      <c r="A374" s="2">
        <v>800</v>
      </c>
      <c r="B374" s="30" t="str">
        <f>VLOOKUP(C374,Sheet1!$A$2:$B$1132,2,FALSE)</f>
        <v>NORMAL</v>
      </c>
      <c r="C374" s="50" t="s">
        <v>1143</v>
      </c>
      <c r="D374" s="5" t="s">
        <v>4</v>
      </c>
      <c r="E374" s="1" t="s">
        <v>1355</v>
      </c>
      <c r="F374" s="8" t="s">
        <v>1400</v>
      </c>
      <c r="G374" s="8" t="s">
        <v>1368</v>
      </c>
      <c r="H374" s="10"/>
      <c r="I374" s="10"/>
      <c r="J374" s="10"/>
      <c r="K374" s="10"/>
      <c r="L374" s="10"/>
      <c r="M374" s="10">
        <f t="shared" si="7"/>
        <v>0</v>
      </c>
      <c r="N374" s="38"/>
      <c r="O374" s="38"/>
      <c r="P374" s="38"/>
      <c r="Q374" s="27"/>
    </row>
    <row r="375" spans="1:17" customFormat="1" ht="15.75">
      <c r="A375" s="2">
        <v>800</v>
      </c>
      <c r="B375" s="30" t="str">
        <f>VLOOKUP(C375,Sheet1!$A$2:$B$1132,2,FALSE)</f>
        <v>NORMAL</v>
      </c>
      <c r="C375" s="51" t="s">
        <v>1144</v>
      </c>
      <c r="D375" s="3" t="s">
        <v>4</v>
      </c>
      <c r="E375" s="1" t="s">
        <v>1355</v>
      </c>
      <c r="F375" s="8" t="s">
        <v>1400</v>
      </c>
      <c r="G375" s="8" t="s">
        <v>1368</v>
      </c>
      <c r="H375" s="10"/>
      <c r="I375" s="10"/>
      <c r="J375" s="10"/>
      <c r="K375" s="10"/>
      <c r="L375" s="10"/>
      <c r="M375" s="10">
        <f t="shared" si="7"/>
        <v>0</v>
      </c>
      <c r="N375" s="38"/>
      <c r="O375" s="38"/>
      <c r="P375" s="38"/>
      <c r="Q375" s="27"/>
    </row>
    <row r="376" spans="1:17" customFormat="1" ht="15.75">
      <c r="A376" s="2">
        <v>800</v>
      </c>
      <c r="B376" s="30" t="str">
        <f>VLOOKUP(C376,Sheet1!$A$2:$B$1132,2,FALSE)</f>
        <v>NORMAL</v>
      </c>
      <c r="C376" s="50" t="s">
        <v>1145</v>
      </c>
      <c r="D376" s="5" t="s">
        <v>4</v>
      </c>
      <c r="E376" s="1" t="s">
        <v>1355</v>
      </c>
      <c r="F376" s="8" t="s">
        <v>1400</v>
      </c>
      <c r="G376" s="8" t="s">
        <v>1368</v>
      </c>
      <c r="H376" s="10"/>
      <c r="I376" s="10"/>
      <c r="J376" s="10"/>
      <c r="K376" s="10"/>
      <c r="L376" s="10"/>
      <c r="M376" s="10">
        <f t="shared" si="7"/>
        <v>0</v>
      </c>
      <c r="N376" s="38"/>
      <c r="O376" s="38"/>
      <c r="P376" s="38"/>
      <c r="Q376" s="27"/>
    </row>
    <row r="377" spans="1:17" customFormat="1" ht="15.75">
      <c r="A377" s="2">
        <v>800</v>
      </c>
      <c r="B377" s="30" t="str">
        <f>VLOOKUP(C377,Sheet1!$A$2:$B$1132,2,FALSE)</f>
        <v>NORMAL</v>
      </c>
      <c r="C377" s="51" t="s">
        <v>1146</v>
      </c>
      <c r="D377" s="3" t="s">
        <v>4</v>
      </c>
      <c r="E377" s="1" t="s">
        <v>1355</v>
      </c>
      <c r="F377" s="8" t="s">
        <v>1400</v>
      </c>
      <c r="G377" s="8" t="s">
        <v>1368</v>
      </c>
      <c r="H377" s="10"/>
      <c r="I377" s="10"/>
      <c r="J377" s="10"/>
      <c r="K377" s="10"/>
      <c r="L377" s="10"/>
      <c r="M377" s="10">
        <f t="shared" si="7"/>
        <v>0</v>
      </c>
      <c r="N377" s="38"/>
      <c r="O377" s="38"/>
      <c r="P377" s="38"/>
      <c r="Q377" s="27"/>
    </row>
    <row r="378" spans="1:17" customFormat="1" ht="15.75">
      <c r="A378" s="2">
        <v>800</v>
      </c>
      <c r="B378" s="30" t="str">
        <f>VLOOKUP(C378,Sheet1!$A$2:$B$1132,2,FALSE)</f>
        <v>IMPORTANT</v>
      </c>
      <c r="C378" s="50" t="s">
        <v>963</v>
      </c>
      <c r="D378" s="5" t="s">
        <v>227</v>
      </c>
      <c r="E378" s="1" t="s">
        <v>1355</v>
      </c>
      <c r="F378" s="8" t="s">
        <v>1400</v>
      </c>
      <c r="G378" s="8" t="s">
        <v>1368</v>
      </c>
      <c r="H378" s="10">
        <v>1</v>
      </c>
      <c r="I378" s="10"/>
      <c r="J378" s="10"/>
      <c r="K378" s="10"/>
      <c r="L378" s="10"/>
      <c r="M378" s="10">
        <f t="shared" si="7"/>
        <v>0.15</v>
      </c>
      <c r="N378" s="38"/>
      <c r="O378" s="38"/>
      <c r="P378" s="38"/>
      <c r="Q378" s="27"/>
    </row>
    <row r="379" spans="1:17" customFormat="1" ht="15.75">
      <c r="A379" s="2">
        <v>800</v>
      </c>
      <c r="B379" s="30" t="str">
        <f>VLOOKUP(C379,Sheet1!$A$2:$B$1132,2,FALSE)</f>
        <v>IMPORTANT</v>
      </c>
      <c r="C379" s="50" t="s">
        <v>1061</v>
      </c>
      <c r="D379" s="5" t="s">
        <v>142</v>
      </c>
      <c r="E379" s="1" t="s">
        <v>1355</v>
      </c>
      <c r="F379" s="8" t="s">
        <v>1400</v>
      </c>
      <c r="G379" s="8" t="s">
        <v>1368</v>
      </c>
      <c r="H379" s="10"/>
      <c r="I379" s="10"/>
      <c r="J379" s="10"/>
      <c r="K379" s="10"/>
      <c r="L379" s="10"/>
      <c r="M379" s="10">
        <f t="shared" si="7"/>
        <v>0</v>
      </c>
      <c r="N379" s="38"/>
      <c r="O379" s="38"/>
      <c r="P379" s="38"/>
      <c r="Q379" s="27"/>
    </row>
    <row r="380" spans="1:17" customFormat="1" ht="15.75">
      <c r="A380" s="2">
        <v>800</v>
      </c>
      <c r="B380" s="30" t="str">
        <f>VLOOKUP(C380,Sheet1!$A$2:$B$1132,2,FALSE)</f>
        <v>IMPORTANT</v>
      </c>
      <c r="C380" s="51" t="s">
        <v>1062</v>
      </c>
      <c r="D380" s="3" t="s">
        <v>142</v>
      </c>
      <c r="E380" s="1" t="s">
        <v>1355</v>
      </c>
      <c r="F380" s="8" t="s">
        <v>1400</v>
      </c>
      <c r="G380" s="8" t="s">
        <v>1368</v>
      </c>
      <c r="H380" s="10"/>
      <c r="I380" s="10"/>
      <c r="J380" s="10"/>
      <c r="K380" s="10"/>
      <c r="L380" s="10"/>
      <c r="M380" s="10">
        <f t="shared" si="7"/>
        <v>0</v>
      </c>
      <c r="N380" s="38"/>
      <c r="O380" s="38"/>
      <c r="P380" s="38"/>
      <c r="Q380" s="27"/>
    </row>
    <row r="381" spans="1:17" customFormat="1" ht="15.75">
      <c r="A381" s="2">
        <v>800</v>
      </c>
      <c r="B381" s="30" t="str">
        <f>VLOOKUP(C381,Sheet1!$A$2:$B$1132,2,FALSE)</f>
        <v>ESSENTIAL</v>
      </c>
      <c r="C381" s="50" t="s">
        <v>1166</v>
      </c>
      <c r="D381" s="5" t="s">
        <v>414</v>
      </c>
      <c r="E381" s="1"/>
      <c r="F381" s="8" t="s">
        <v>1400</v>
      </c>
      <c r="G381" s="8" t="s">
        <v>1368</v>
      </c>
      <c r="H381" s="10"/>
      <c r="I381" s="10"/>
      <c r="J381" s="10"/>
      <c r="K381" s="10"/>
      <c r="L381" s="10"/>
      <c r="M381" s="10">
        <f t="shared" si="7"/>
        <v>0</v>
      </c>
      <c r="N381" s="38"/>
      <c r="O381" s="38"/>
      <c r="P381" s="38"/>
      <c r="Q381" s="27"/>
    </row>
    <row r="382" spans="1:17" customFormat="1" ht="15.75">
      <c r="A382" s="2">
        <v>800</v>
      </c>
      <c r="B382" s="30" t="str">
        <f>VLOOKUP(C382,Sheet1!$A$2:$B$1132,2,FALSE)</f>
        <v>NORMAL</v>
      </c>
      <c r="C382" s="51" t="s">
        <v>1105</v>
      </c>
      <c r="D382" s="3" t="s">
        <v>109</v>
      </c>
      <c r="E382" s="1" t="s">
        <v>1355</v>
      </c>
      <c r="F382" s="8" t="s">
        <v>1400</v>
      </c>
      <c r="G382" s="8" t="s">
        <v>1368</v>
      </c>
      <c r="H382" s="10"/>
      <c r="I382" s="10"/>
      <c r="J382" s="10"/>
      <c r="K382" s="10"/>
      <c r="L382" s="10"/>
      <c r="M382" s="10">
        <f t="shared" si="7"/>
        <v>0</v>
      </c>
      <c r="N382" s="38"/>
      <c r="O382" s="38"/>
      <c r="P382" s="38"/>
      <c r="Q382" s="27"/>
    </row>
    <row r="383" spans="1:17" customFormat="1" ht="15.75">
      <c r="A383" s="2">
        <v>800</v>
      </c>
      <c r="B383" s="30" t="str">
        <f>VLOOKUP(C383,Sheet1!$A$2:$B$1132,2,FALSE)</f>
        <v>ESSENTIAL</v>
      </c>
      <c r="C383" s="51" t="s">
        <v>779</v>
      </c>
      <c r="D383" s="3" t="s">
        <v>5</v>
      </c>
      <c r="E383" s="8" t="s">
        <v>1355</v>
      </c>
      <c r="F383" s="8" t="s">
        <v>1400</v>
      </c>
      <c r="G383" s="1" t="s">
        <v>1368</v>
      </c>
      <c r="H383" s="10">
        <v>1</v>
      </c>
      <c r="I383" s="10"/>
      <c r="J383" s="10">
        <v>1</v>
      </c>
      <c r="K383" s="10"/>
      <c r="L383" s="10"/>
      <c r="M383" s="10">
        <f t="shared" si="7"/>
        <v>0.43000000000000005</v>
      </c>
      <c r="N383" s="38"/>
      <c r="O383" s="38"/>
      <c r="P383" s="38"/>
      <c r="Q383" s="27"/>
    </row>
    <row r="384" spans="1:17" customFormat="1" ht="15.75">
      <c r="A384" s="2">
        <v>800</v>
      </c>
      <c r="B384" s="30" t="str">
        <f>VLOOKUP(C384,Sheet1!$A$2:$B$1132,2,FALSE)</f>
        <v>ESSENTIAL</v>
      </c>
      <c r="C384" s="50" t="s">
        <v>780</v>
      </c>
      <c r="D384" s="5" t="s">
        <v>5</v>
      </c>
      <c r="E384" s="8" t="s">
        <v>1355</v>
      </c>
      <c r="F384" s="8" t="s">
        <v>1400</v>
      </c>
      <c r="G384" s="1" t="s">
        <v>1368</v>
      </c>
      <c r="H384" s="10">
        <v>1</v>
      </c>
      <c r="I384" s="10"/>
      <c r="J384" s="10">
        <v>1</v>
      </c>
      <c r="K384" s="10"/>
      <c r="L384" s="10"/>
      <c r="M384" s="10">
        <f t="shared" si="7"/>
        <v>0.43000000000000005</v>
      </c>
      <c r="N384" s="38"/>
      <c r="O384" s="38"/>
      <c r="P384" s="38"/>
      <c r="Q384" s="27"/>
    </row>
    <row r="385" spans="1:17" customFormat="1" ht="15.75">
      <c r="A385" s="2">
        <v>800</v>
      </c>
      <c r="B385" s="30" t="str">
        <f>VLOOKUP(C385,Sheet1!$A$2:$B$1132,2,FALSE)</f>
        <v>ESSENTIAL</v>
      </c>
      <c r="C385" s="51" t="s">
        <v>781</v>
      </c>
      <c r="D385" s="3" t="s">
        <v>5</v>
      </c>
      <c r="E385" s="8" t="s">
        <v>1355</v>
      </c>
      <c r="F385" s="8" t="s">
        <v>1400</v>
      </c>
      <c r="G385" s="1" t="s">
        <v>1368</v>
      </c>
      <c r="H385" s="10">
        <v>1</v>
      </c>
      <c r="I385" s="10"/>
      <c r="J385" s="10">
        <v>1</v>
      </c>
      <c r="K385" s="10"/>
      <c r="L385" s="10"/>
      <c r="M385" s="10">
        <f t="shared" si="7"/>
        <v>0.43000000000000005</v>
      </c>
      <c r="N385" s="38"/>
      <c r="O385" s="38"/>
      <c r="P385" s="38"/>
      <c r="Q385" s="27"/>
    </row>
    <row r="386" spans="1:17" customFormat="1" ht="15.75">
      <c r="A386" s="2">
        <v>800</v>
      </c>
      <c r="B386" s="30" t="str">
        <f>VLOOKUP(C386,Sheet1!$A$2:$B$1132,2,FALSE)</f>
        <v>ESSENTIAL</v>
      </c>
      <c r="C386" s="50" t="s">
        <v>782</v>
      </c>
      <c r="D386" s="5" t="s">
        <v>5</v>
      </c>
      <c r="E386" s="8" t="s">
        <v>1355</v>
      </c>
      <c r="F386" s="8" t="s">
        <v>1400</v>
      </c>
      <c r="G386" s="1" t="s">
        <v>1368</v>
      </c>
      <c r="H386" s="10">
        <v>1</v>
      </c>
      <c r="I386" s="10"/>
      <c r="J386" s="10">
        <v>1</v>
      </c>
      <c r="K386" s="10"/>
      <c r="L386" s="10"/>
      <c r="M386" s="10">
        <f t="shared" si="7"/>
        <v>0.43000000000000005</v>
      </c>
      <c r="N386" s="38"/>
      <c r="O386" s="38"/>
      <c r="P386" s="38"/>
      <c r="Q386" s="27"/>
    </row>
    <row r="387" spans="1:17" customFormat="1" ht="15.75">
      <c r="A387" s="2">
        <v>800</v>
      </c>
      <c r="B387" s="30" t="str">
        <f>VLOOKUP(C387,Sheet1!$A$2:$B$1132,2,FALSE)</f>
        <v>NORMAL</v>
      </c>
      <c r="C387" s="50" t="s">
        <v>1084</v>
      </c>
      <c r="D387" s="5" t="s">
        <v>162</v>
      </c>
      <c r="E387" s="8" t="s">
        <v>1355</v>
      </c>
      <c r="F387" s="8" t="s">
        <v>1400</v>
      </c>
      <c r="G387" s="1" t="s">
        <v>1368</v>
      </c>
      <c r="H387" s="10">
        <v>1</v>
      </c>
      <c r="I387" s="10"/>
      <c r="J387" s="10"/>
      <c r="K387" s="10"/>
      <c r="L387" s="10"/>
      <c r="M387" s="10">
        <f t="shared" si="7"/>
        <v>0.15</v>
      </c>
      <c r="N387" s="38"/>
      <c r="O387" s="38"/>
      <c r="P387" s="38"/>
      <c r="Q387" s="27"/>
    </row>
    <row r="388" spans="1:17" customFormat="1" ht="15.75">
      <c r="A388" s="2">
        <v>800</v>
      </c>
      <c r="B388" s="30" t="str">
        <f>VLOOKUP(C388,Sheet1!$A$2:$B$1132,2,FALSE)</f>
        <v>IMPORTANT</v>
      </c>
      <c r="C388" s="50" t="s">
        <v>1153</v>
      </c>
      <c r="D388" s="5" t="s">
        <v>11</v>
      </c>
      <c r="E388" s="8" t="s">
        <v>1355</v>
      </c>
      <c r="F388" s="8" t="s">
        <v>1400</v>
      </c>
      <c r="G388" s="1" t="s">
        <v>1368</v>
      </c>
      <c r="H388" s="10"/>
      <c r="I388" s="10"/>
      <c r="J388" s="10"/>
      <c r="K388" s="10"/>
      <c r="L388" s="10"/>
      <c r="M388" s="10">
        <f t="shared" si="7"/>
        <v>0</v>
      </c>
      <c r="N388" s="38"/>
      <c r="O388" s="38"/>
      <c r="P388" s="38"/>
      <c r="Q388" s="27"/>
    </row>
    <row r="389" spans="1:17" customFormat="1" ht="15.75">
      <c r="A389" s="2">
        <v>800</v>
      </c>
      <c r="B389" s="30" t="str">
        <f>VLOOKUP(C389,Sheet1!$A$2:$B$1132,2,FALSE)</f>
        <v>ESSENTIAL</v>
      </c>
      <c r="C389" s="51" t="s">
        <v>1095</v>
      </c>
      <c r="D389" s="3" t="s">
        <v>139</v>
      </c>
      <c r="E389" s="8" t="s">
        <v>1361</v>
      </c>
      <c r="F389" s="8" t="s">
        <v>1400</v>
      </c>
      <c r="G389" s="1" t="s">
        <v>1368</v>
      </c>
      <c r="H389" s="10"/>
      <c r="I389" s="10"/>
      <c r="J389" s="10"/>
      <c r="K389" s="10"/>
      <c r="L389" s="10"/>
      <c r="M389" s="10">
        <f t="shared" si="7"/>
        <v>0</v>
      </c>
      <c r="N389" s="38"/>
      <c r="O389" s="38"/>
      <c r="P389" s="38"/>
      <c r="Q389" s="27"/>
    </row>
    <row r="390" spans="1:17" customFormat="1" ht="15.75">
      <c r="A390" s="2">
        <v>800</v>
      </c>
      <c r="B390" s="30" t="str">
        <f>VLOOKUP(C390,Sheet1!$A$2:$B$1132,2,FALSE)</f>
        <v>ESSENTIAL</v>
      </c>
      <c r="C390" s="50" t="s">
        <v>835</v>
      </c>
      <c r="D390" s="5" t="s">
        <v>236</v>
      </c>
      <c r="E390" s="8" t="s">
        <v>1355</v>
      </c>
      <c r="F390" s="8" t="s">
        <v>1400</v>
      </c>
      <c r="G390" s="1" t="s">
        <v>1368</v>
      </c>
      <c r="H390" s="10"/>
      <c r="I390" s="10"/>
      <c r="J390" s="10"/>
      <c r="K390" s="10"/>
      <c r="L390" s="10"/>
      <c r="M390" s="10">
        <f t="shared" si="7"/>
        <v>0</v>
      </c>
      <c r="N390" s="38"/>
      <c r="O390" s="38"/>
      <c r="P390" s="38"/>
      <c r="Q390" s="27"/>
    </row>
    <row r="391" spans="1:17" customFormat="1" ht="15.75">
      <c r="A391" s="2">
        <v>800</v>
      </c>
      <c r="B391" s="30" t="str">
        <f>VLOOKUP(C391,Sheet1!$A$2:$B$1132,2,FALSE)</f>
        <v>ESSENTIAL</v>
      </c>
      <c r="C391" s="51" t="s">
        <v>763</v>
      </c>
      <c r="D391" s="3" t="s">
        <v>235</v>
      </c>
      <c r="E391" s="8" t="s">
        <v>1355</v>
      </c>
      <c r="F391" s="8" t="s">
        <v>1400</v>
      </c>
      <c r="G391" s="1" t="s">
        <v>1368</v>
      </c>
      <c r="H391" s="10"/>
      <c r="I391" s="10"/>
      <c r="J391" s="10"/>
      <c r="K391" s="10"/>
      <c r="L391" s="10"/>
      <c r="M391" s="10">
        <f t="shared" si="7"/>
        <v>0</v>
      </c>
      <c r="N391" s="38"/>
      <c r="O391" s="38"/>
      <c r="P391" s="38"/>
      <c r="Q391" s="27"/>
    </row>
    <row r="392" spans="1:17" customFormat="1" ht="15.75">
      <c r="A392" s="2">
        <v>800</v>
      </c>
      <c r="B392" s="30" t="str">
        <f>VLOOKUP(C392,Sheet1!$A$2:$B$1132,2,FALSE)</f>
        <v>IMPORTANT</v>
      </c>
      <c r="C392" s="51" t="s">
        <v>916</v>
      </c>
      <c r="D392" s="3" t="s">
        <v>12</v>
      </c>
      <c r="E392" s="8" t="s">
        <v>1361</v>
      </c>
      <c r="F392" s="8" t="s">
        <v>1400</v>
      </c>
      <c r="G392" s="1" t="s">
        <v>1368</v>
      </c>
      <c r="H392" s="10">
        <v>1</v>
      </c>
      <c r="I392" s="10"/>
      <c r="J392" s="10"/>
      <c r="K392" s="10"/>
      <c r="L392" s="10"/>
      <c r="M392" s="10">
        <f t="shared" ref="M392:M403" si="8">SUMPRODUCT(H392:L392,$AA$2:$AE$2)</f>
        <v>0.15</v>
      </c>
      <c r="N392" s="38"/>
      <c r="O392" s="38"/>
      <c r="P392" s="38"/>
      <c r="Q392" s="27"/>
    </row>
    <row r="393" spans="1:17" ht="15.75">
      <c r="A393" s="30">
        <v>900</v>
      </c>
      <c r="B393" s="30" t="str">
        <f>VLOOKUP(C393,Sheet1!$A$2:$B$1132,2,FALSE)</f>
        <v>VITAL</v>
      </c>
      <c r="C393" s="49" t="s">
        <v>689</v>
      </c>
      <c r="D393" s="31" t="s">
        <v>5</v>
      </c>
      <c r="E393" s="35" t="s">
        <v>1356</v>
      </c>
      <c r="F393" s="32" t="s">
        <v>1400</v>
      </c>
      <c r="G393" s="32" t="s">
        <v>1365</v>
      </c>
      <c r="H393" s="28">
        <v>1</v>
      </c>
      <c r="I393" s="28">
        <v>1</v>
      </c>
      <c r="J393" s="28">
        <v>1</v>
      </c>
      <c r="K393" s="28">
        <v>1</v>
      </c>
      <c r="L393" s="28">
        <v>1</v>
      </c>
      <c r="M393" s="28">
        <f t="shared" si="8"/>
        <v>1</v>
      </c>
    </row>
    <row r="394" spans="1:17" customFormat="1" ht="15.75">
      <c r="A394" s="2">
        <v>900</v>
      </c>
      <c r="B394" s="30" t="str">
        <f>VLOOKUP(C394,Sheet1!$A$2:$B$1132,2,FALSE)</f>
        <v>VITAL</v>
      </c>
      <c r="C394" s="50" t="s">
        <v>682</v>
      </c>
      <c r="D394" s="5" t="s">
        <v>5</v>
      </c>
      <c r="E394" s="1" t="s">
        <v>1356</v>
      </c>
      <c r="F394" s="8" t="s">
        <v>1400</v>
      </c>
      <c r="G394" s="8" t="s">
        <v>1365</v>
      </c>
      <c r="H394" s="10">
        <v>1</v>
      </c>
      <c r="I394" s="28">
        <v>1</v>
      </c>
      <c r="J394" s="10">
        <v>1</v>
      </c>
      <c r="K394" s="28">
        <v>1</v>
      </c>
      <c r="L394" s="28">
        <v>1</v>
      </c>
      <c r="M394" s="10">
        <f t="shared" si="8"/>
        <v>1</v>
      </c>
      <c r="N394" s="38"/>
      <c r="O394" s="38"/>
      <c r="P394" s="38"/>
      <c r="Q394" s="27"/>
    </row>
    <row r="395" spans="1:17" customFormat="1" ht="15.75">
      <c r="A395" s="2">
        <v>900</v>
      </c>
      <c r="B395" s="30" t="str">
        <f>VLOOKUP(C395,Sheet1!$A$2:$B$1132,2,FALSE)</f>
        <v>VITAL</v>
      </c>
      <c r="C395" s="50" t="s">
        <v>690</v>
      </c>
      <c r="D395" s="5" t="s">
        <v>5</v>
      </c>
      <c r="E395" s="1" t="s">
        <v>1356</v>
      </c>
      <c r="F395" s="8" t="s">
        <v>1400</v>
      </c>
      <c r="G395" s="8" t="s">
        <v>1365</v>
      </c>
      <c r="H395" s="10">
        <v>1</v>
      </c>
      <c r="I395" s="28">
        <v>1</v>
      </c>
      <c r="J395" s="10">
        <v>1</v>
      </c>
      <c r="K395" s="28">
        <v>1</v>
      </c>
      <c r="L395" s="28">
        <v>1</v>
      </c>
      <c r="M395" s="10">
        <f t="shared" si="8"/>
        <v>1</v>
      </c>
      <c r="N395" s="38"/>
      <c r="O395" s="38"/>
      <c r="P395" s="38"/>
      <c r="Q395" s="27"/>
    </row>
    <row r="396" spans="1:17" customFormat="1" ht="15.75">
      <c r="A396" s="2">
        <v>900</v>
      </c>
      <c r="B396" s="30" t="str">
        <f>VLOOKUP(C396,Sheet1!$A$2:$B$1132,2,FALSE)</f>
        <v>NORMAL</v>
      </c>
      <c r="C396" s="51" t="s">
        <v>1085</v>
      </c>
      <c r="D396" s="3" t="s">
        <v>162</v>
      </c>
      <c r="E396" s="1" t="s">
        <v>1356</v>
      </c>
      <c r="F396" s="8" t="s">
        <v>1400</v>
      </c>
      <c r="G396" s="8" t="s">
        <v>1365</v>
      </c>
      <c r="H396" s="10">
        <v>1</v>
      </c>
      <c r="I396" s="10"/>
      <c r="J396" s="10">
        <v>1</v>
      </c>
      <c r="K396" s="10"/>
      <c r="L396" s="10"/>
      <c r="M396" s="10">
        <f t="shared" si="8"/>
        <v>0.43000000000000005</v>
      </c>
      <c r="N396" s="38"/>
      <c r="O396" s="38"/>
      <c r="P396" s="38"/>
      <c r="Q396" s="27"/>
    </row>
    <row r="397" spans="1:17" customFormat="1" ht="15.75">
      <c r="A397" s="2">
        <v>900</v>
      </c>
      <c r="B397" s="30" t="str">
        <f>VLOOKUP(C397,Sheet1!$A$2:$B$1132,2,FALSE)</f>
        <v>NORMAL</v>
      </c>
      <c r="C397" s="50" t="s">
        <v>1086</v>
      </c>
      <c r="D397" s="5" t="s">
        <v>162</v>
      </c>
      <c r="E397" s="1" t="s">
        <v>1356</v>
      </c>
      <c r="F397" s="8" t="s">
        <v>1400</v>
      </c>
      <c r="G397" s="8" t="s">
        <v>1365</v>
      </c>
      <c r="H397" s="10">
        <v>1</v>
      </c>
      <c r="I397" s="10"/>
      <c r="J397" s="10">
        <v>1</v>
      </c>
      <c r="K397" s="10"/>
      <c r="L397" s="10"/>
      <c r="M397" s="10">
        <f t="shared" si="8"/>
        <v>0.43000000000000005</v>
      </c>
      <c r="N397" s="38"/>
      <c r="O397" s="38"/>
      <c r="P397" s="38"/>
      <c r="Q397" s="27"/>
    </row>
    <row r="398" spans="1:17" customFormat="1" ht="15.75">
      <c r="A398" s="2">
        <v>900</v>
      </c>
      <c r="B398" s="30" t="str">
        <f>VLOOKUP(C398,Sheet1!$A$2:$B$1132,2,FALSE)</f>
        <v>NORMAL</v>
      </c>
      <c r="C398" s="50" t="s">
        <v>1043</v>
      </c>
      <c r="D398" s="5" t="s">
        <v>4</v>
      </c>
      <c r="E398" s="1" t="s">
        <v>1356</v>
      </c>
      <c r="F398" s="8" t="s">
        <v>1400</v>
      </c>
      <c r="G398" s="8" t="s">
        <v>1365</v>
      </c>
      <c r="H398" s="10"/>
      <c r="I398" s="10"/>
      <c r="J398" s="10"/>
      <c r="K398" s="10"/>
      <c r="L398" s="10"/>
      <c r="M398" s="10">
        <f t="shared" si="8"/>
        <v>0</v>
      </c>
      <c r="N398" s="38"/>
      <c r="O398" s="38"/>
      <c r="P398" s="38"/>
      <c r="Q398" s="27"/>
    </row>
    <row r="399" spans="1:17" customFormat="1" ht="15.75">
      <c r="A399" s="2">
        <v>900</v>
      </c>
      <c r="B399" s="30" t="str">
        <f>VLOOKUP(C399,Sheet1!$A$2:$B$1132,2,FALSE)</f>
        <v>NORMAL</v>
      </c>
      <c r="C399" s="50" t="s">
        <v>1106</v>
      </c>
      <c r="D399" s="5" t="s">
        <v>109</v>
      </c>
      <c r="E399" s="1" t="s">
        <v>1356</v>
      </c>
      <c r="F399" s="8" t="s">
        <v>1400</v>
      </c>
      <c r="G399" s="8" t="s">
        <v>1365</v>
      </c>
      <c r="H399" s="10">
        <v>1</v>
      </c>
      <c r="I399" s="10"/>
      <c r="J399" s="10">
        <v>1</v>
      </c>
      <c r="K399" s="10"/>
      <c r="L399" s="10"/>
      <c r="M399" s="10">
        <f t="shared" si="8"/>
        <v>0.43000000000000005</v>
      </c>
      <c r="N399" s="38"/>
      <c r="O399" s="38"/>
      <c r="P399" s="38"/>
      <c r="Q399" s="27"/>
    </row>
    <row r="400" spans="1:17" customFormat="1" ht="15.75">
      <c r="A400" s="2">
        <v>900</v>
      </c>
      <c r="B400" s="30" t="str">
        <f>VLOOKUP(C400,Sheet1!$A$2:$B$1132,2,FALSE)</f>
        <v>VITAL</v>
      </c>
      <c r="C400" s="51" t="s">
        <v>683</v>
      </c>
      <c r="D400" s="3" t="s">
        <v>5</v>
      </c>
      <c r="E400" s="1" t="s">
        <v>1356</v>
      </c>
      <c r="F400" s="8" t="s">
        <v>1400</v>
      </c>
      <c r="G400" s="8" t="s">
        <v>1365</v>
      </c>
      <c r="H400" s="10">
        <v>1</v>
      </c>
      <c r="I400" s="28">
        <v>1</v>
      </c>
      <c r="J400" s="10">
        <v>1</v>
      </c>
      <c r="K400" s="28">
        <v>1</v>
      </c>
      <c r="L400" s="28">
        <v>1</v>
      </c>
      <c r="M400" s="10">
        <f t="shared" si="8"/>
        <v>1</v>
      </c>
      <c r="N400" s="38"/>
      <c r="O400" s="38"/>
      <c r="P400" s="38"/>
      <c r="Q400" s="27"/>
    </row>
    <row r="401" spans="1:17" customFormat="1" ht="15.75">
      <c r="A401" s="2">
        <v>900</v>
      </c>
      <c r="B401" s="30" t="str">
        <f>VLOOKUP(C401,Sheet1!$A$2:$B$1132,2,FALSE)</f>
        <v>ESSENTIAL</v>
      </c>
      <c r="C401" s="51" t="s">
        <v>812</v>
      </c>
      <c r="D401" s="3" t="s">
        <v>5</v>
      </c>
      <c r="E401" s="1" t="s">
        <v>1356</v>
      </c>
      <c r="F401" s="8" t="s">
        <v>1400</v>
      </c>
      <c r="G401" s="8" t="s">
        <v>1365</v>
      </c>
      <c r="H401" s="10">
        <v>1</v>
      </c>
      <c r="I401" s="28">
        <v>1</v>
      </c>
      <c r="J401" s="10">
        <v>1</v>
      </c>
      <c r="K401" s="28">
        <v>1</v>
      </c>
      <c r="L401" s="28">
        <v>1</v>
      </c>
      <c r="M401" s="10">
        <f t="shared" si="8"/>
        <v>1</v>
      </c>
      <c r="N401" s="38"/>
      <c r="O401" s="38"/>
      <c r="P401" s="38"/>
      <c r="Q401" s="27"/>
    </row>
    <row r="402" spans="1:17" customFormat="1" ht="15.75">
      <c r="A402" s="2">
        <v>900</v>
      </c>
      <c r="B402" s="30" t="str">
        <f>VLOOKUP(C402,Sheet1!$A$2:$B$1132,2,FALSE)</f>
        <v>ESSENTIAL</v>
      </c>
      <c r="C402" s="50" t="s">
        <v>813</v>
      </c>
      <c r="D402" s="5" t="s">
        <v>5</v>
      </c>
      <c r="E402" s="1" t="s">
        <v>1356</v>
      </c>
      <c r="F402" s="8" t="s">
        <v>1400</v>
      </c>
      <c r="G402" s="8" t="s">
        <v>1365</v>
      </c>
      <c r="H402" s="10">
        <v>1</v>
      </c>
      <c r="I402" s="28">
        <v>1</v>
      </c>
      <c r="J402" s="10">
        <v>1</v>
      </c>
      <c r="K402" s="28">
        <v>1</v>
      </c>
      <c r="L402" s="28">
        <v>1</v>
      </c>
      <c r="M402" s="10">
        <f t="shared" si="8"/>
        <v>1</v>
      </c>
      <c r="N402" s="38"/>
      <c r="O402" s="38"/>
      <c r="P402" s="38"/>
      <c r="Q402" s="27"/>
    </row>
    <row r="403" spans="1:17" customFormat="1" ht="15.75">
      <c r="A403" s="2">
        <v>900</v>
      </c>
      <c r="B403" s="30" t="str">
        <f>VLOOKUP(C403,Sheet1!$A$2:$B$1132,2,FALSE)</f>
        <v>NORMAL</v>
      </c>
      <c r="C403" s="51" t="s">
        <v>1087</v>
      </c>
      <c r="D403" s="3" t="s">
        <v>162</v>
      </c>
      <c r="E403" s="1" t="s">
        <v>1356</v>
      </c>
      <c r="F403" s="8" t="s">
        <v>1400</v>
      </c>
      <c r="G403" s="8" t="s">
        <v>1365</v>
      </c>
      <c r="H403" s="10">
        <v>1</v>
      </c>
      <c r="I403" s="10"/>
      <c r="J403" s="10">
        <v>1</v>
      </c>
      <c r="K403" s="10"/>
      <c r="L403" s="10"/>
      <c r="M403" s="10">
        <f t="shared" si="8"/>
        <v>0.43000000000000005</v>
      </c>
      <c r="N403" s="38"/>
      <c r="O403" s="38"/>
      <c r="P403" s="38"/>
      <c r="Q403" s="27"/>
    </row>
    <row r="404" spans="1:17" ht="15.75">
      <c r="A404" s="30">
        <v>900</v>
      </c>
      <c r="B404" s="30" t="e">
        <f>VLOOKUP(C404,Sheet1!$A$2:$B$1132,2,FALSE)</f>
        <v>#N/A</v>
      </c>
      <c r="C404" s="49" t="s">
        <v>1387</v>
      </c>
      <c r="D404" s="31" t="s">
        <v>1388</v>
      </c>
      <c r="E404" s="35" t="s">
        <v>1356</v>
      </c>
      <c r="F404" s="32" t="s">
        <v>1400</v>
      </c>
      <c r="G404" s="32" t="s">
        <v>1365</v>
      </c>
      <c r="H404" s="28"/>
      <c r="I404" s="28"/>
      <c r="J404" s="28"/>
      <c r="K404" s="28"/>
      <c r="L404" s="28"/>
      <c r="M404" s="28">
        <v>0</v>
      </c>
    </row>
    <row r="405" spans="1:17" customFormat="1" ht="15.75">
      <c r="A405" s="2">
        <v>900</v>
      </c>
      <c r="B405" s="30" t="str">
        <f>VLOOKUP(C405,Sheet1!$A$2:$B$1132,2,FALSE)</f>
        <v>NORMAL</v>
      </c>
      <c r="C405" s="51" t="s">
        <v>1044</v>
      </c>
      <c r="D405" s="3" t="s">
        <v>4</v>
      </c>
      <c r="E405" s="1" t="s">
        <v>1356</v>
      </c>
      <c r="F405" s="8" t="s">
        <v>1400</v>
      </c>
      <c r="G405" s="8" t="s">
        <v>1365</v>
      </c>
      <c r="H405" s="10"/>
      <c r="I405" s="10"/>
      <c r="J405" s="10"/>
      <c r="K405" s="10"/>
      <c r="L405" s="10"/>
      <c r="M405" s="10">
        <f t="shared" ref="M405:M436" si="9">SUMPRODUCT(H405:L405,$AA$2:$AE$2)</f>
        <v>0</v>
      </c>
      <c r="N405" s="38"/>
      <c r="O405" s="38"/>
      <c r="P405" s="38"/>
      <c r="Q405" s="27"/>
    </row>
    <row r="406" spans="1:17" customFormat="1" ht="15.75">
      <c r="A406" s="2">
        <v>900</v>
      </c>
      <c r="B406" s="30" t="str">
        <f>VLOOKUP(C406,Sheet1!$A$2:$B$1132,2,FALSE)</f>
        <v>ESSENTIAL</v>
      </c>
      <c r="C406" s="51" t="s">
        <v>814</v>
      </c>
      <c r="D406" s="3" t="s">
        <v>5</v>
      </c>
      <c r="E406" s="1" t="s">
        <v>1356</v>
      </c>
      <c r="F406" s="8" t="s">
        <v>1400</v>
      </c>
      <c r="G406" s="8" t="s">
        <v>1365</v>
      </c>
      <c r="H406" s="10">
        <v>1</v>
      </c>
      <c r="I406" s="28">
        <v>1</v>
      </c>
      <c r="J406" s="10">
        <v>1</v>
      </c>
      <c r="K406" s="28">
        <v>1</v>
      </c>
      <c r="L406" s="28">
        <v>1</v>
      </c>
      <c r="M406" s="10">
        <f t="shared" si="9"/>
        <v>1</v>
      </c>
      <c r="N406" s="38"/>
      <c r="O406" s="38"/>
      <c r="P406" s="38"/>
      <c r="Q406" s="27"/>
    </row>
    <row r="407" spans="1:17" customFormat="1" ht="15.75">
      <c r="A407" s="2">
        <v>900</v>
      </c>
      <c r="B407" s="30" t="str">
        <f>VLOOKUP(C407,Sheet1!$A$2:$B$1132,2,FALSE)</f>
        <v>IMPORTANT</v>
      </c>
      <c r="C407" s="50" t="s">
        <v>943</v>
      </c>
      <c r="D407" s="5" t="s">
        <v>106</v>
      </c>
      <c r="E407" s="1" t="s">
        <v>1356</v>
      </c>
      <c r="F407" s="8" t="s">
        <v>1400</v>
      </c>
      <c r="G407" s="8" t="s">
        <v>1365</v>
      </c>
      <c r="H407" s="10">
        <v>1</v>
      </c>
      <c r="I407" s="10">
        <v>1</v>
      </c>
      <c r="J407" s="10"/>
      <c r="K407" s="10"/>
      <c r="L407" s="10"/>
      <c r="M407" s="10">
        <f t="shared" si="9"/>
        <v>0.6</v>
      </c>
      <c r="N407" s="38"/>
      <c r="O407" s="38"/>
      <c r="P407" s="38"/>
      <c r="Q407" s="27"/>
    </row>
    <row r="408" spans="1:17" ht="15.75">
      <c r="A408" s="30">
        <v>900</v>
      </c>
      <c r="B408" s="30" t="str">
        <f>VLOOKUP(C408,Sheet1!$A$2:$B$1132,2,FALSE)</f>
        <v>VITAL</v>
      </c>
      <c r="C408" s="49" t="s">
        <v>677</v>
      </c>
      <c r="D408" s="31" t="s">
        <v>156</v>
      </c>
      <c r="E408" s="35" t="s">
        <v>1356</v>
      </c>
      <c r="F408" s="32" t="s">
        <v>1400</v>
      </c>
      <c r="G408" s="32" t="s">
        <v>1365</v>
      </c>
      <c r="H408" s="10">
        <v>1</v>
      </c>
      <c r="I408" s="28">
        <v>1</v>
      </c>
      <c r="J408" s="28">
        <v>1</v>
      </c>
      <c r="K408" s="28">
        <v>1</v>
      </c>
      <c r="L408" s="28">
        <v>1</v>
      </c>
      <c r="M408" s="28">
        <f t="shared" si="9"/>
        <v>1</v>
      </c>
    </row>
    <row r="409" spans="1:17" customFormat="1" ht="15.75">
      <c r="A409" s="2">
        <v>900</v>
      </c>
      <c r="B409" s="30" t="str">
        <f>VLOOKUP(C409,Sheet1!$A$2:$B$1132,2,FALSE)</f>
        <v>NORMAL</v>
      </c>
      <c r="C409" s="50" t="s">
        <v>1088</v>
      </c>
      <c r="D409" s="5" t="s">
        <v>162</v>
      </c>
      <c r="E409" s="1" t="s">
        <v>1356</v>
      </c>
      <c r="F409" s="8" t="s">
        <v>1400</v>
      </c>
      <c r="G409" s="8" t="s">
        <v>1365</v>
      </c>
      <c r="H409" s="10">
        <v>1</v>
      </c>
      <c r="I409" s="10"/>
      <c r="J409" s="10">
        <v>1</v>
      </c>
      <c r="K409" s="10"/>
      <c r="L409" s="10"/>
      <c r="M409" s="10">
        <f t="shared" si="9"/>
        <v>0.43000000000000005</v>
      </c>
      <c r="N409" s="38"/>
      <c r="O409" s="38"/>
      <c r="P409" s="38"/>
      <c r="Q409" s="27"/>
    </row>
    <row r="410" spans="1:17" customFormat="1" ht="15.75">
      <c r="A410" s="2">
        <v>900</v>
      </c>
      <c r="B410" s="30" t="str">
        <f>VLOOKUP(C410,Sheet1!$A$2:$B$1132,2,FALSE)</f>
        <v>NORMAL</v>
      </c>
      <c r="C410" s="50" t="s">
        <v>1045</v>
      </c>
      <c r="D410" s="5" t="s">
        <v>4</v>
      </c>
      <c r="E410" s="1" t="s">
        <v>1356</v>
      </c>
      <c r="F410" s="8" t="s">
        <v>1400</v>
      </c>
      <c r="G410" s="8" t="s">
        <v>1365</v>
      </c>
      <c r="H410" s="10"/>
      <c r="I410" s="10"/>
      <c r="J410" s="10"/>
      <c r="K410" s="10"/>
      <c r="L410" s="10"/>
      <c r="M410" s="10">
        <f t="shared" si="9"/>
        <v>0</v>
      </c>
      <c r="N410" s="38"/>
      <c r="O410" s="38"/>
      <c r="P410" s="38"/>
      <c r="Q410" s="27"/>
    </row>
    <row r="411" spans="1:17" customFormat="1" ht="15.75">
      <c r="A411" s="2">
        <v>900</v>
      </c>
      <c r="B411" s="30" t="str">
        <f>VLOOKUP(C411,Sheet1!$A$2:$B$1132,2,FALSE)</f>
        <v>IMPORTANT</v>
      </c>
      <c r="C411" s="50" t="s">
        <v>926</v>
      </c>
      <c r="D411" s="5" t="s">
        <v>144</v>
      </c>
      <c r="E411" s="1" t="s">
        <v>1361</v>
      </c>
      <c r="F411" s="8" t="s">
        <v>1400</v>
      </c>
      <c r="G411" s="8" t="s">
        <v>1365</v>
      </c>
      <c r="H411" s="10"/>
      <c r="I411" s="10">
        <v>1</v>
      </c>
      <c r="J411" s="10"/>
      <c r="K411" s="10"/>
      <c r="L411" s="10"/>
      <c r="M411" s="10">
        <f t="shared" si="9"/>
        <v>0.45</v>
      </c>
      <c r="N411" s="38"/>
      <c r="O411" s="38"/>
      <c r="P411" s="38"/>
      <c r="Q411" s="27"/>
    </row>
    <row r="412" spans="1:17" customFormat="1" ht="15.75">
      <c r="A412" s="2">
        <v>900</v>
      </c>
      <c r="B412" s="30" t="str">
        <f>VLOOKUP(C412,Sheet1!$A$2:$B$1132,2,FALSE)</f>
        <v>NORMAL</v>
      </c>
      <c r="C412" s="51" t="s">
        <v>1092</v>
      </c>
      <c r="D412" s="3" t="s">
        <v>243</v>
      </c>
      <c r="E412" s="1" t="s">
        <v>1361</v>
      </c>
      <c r="F412" s="8" t="s">
        <v>1400</v>
      </c>
      <c r="G412" s="8" t="s">
        <v>1365</v>
      </c>
      <c r="H412" s="10">
        <v>1</v>
      </c>
      <c r="I412" s="10">
        <v>1</v>
      </c>
      <c r="J412" s="10"/>
      <c r="K412" s="10"/>
      <c r="L412" s="10"/>
      <c r="M412" s="10">
        <f t="shared" si="9"/>
        <v>0.6</v>
      </c>
      <c r="N412" s="38"/>
      <c r="O412" s="38"/>
      <c r="P412" s="38"/>
      <c r="Q412" s="27"/>
    </row>
    <row r="413" spans="1:17" customFormat="1" ht="15.75">
      <c r="A413" s="2">
        <v>900</v>
      </c>
      <c r="B413" s="30" t="str">
        <f>VLOOKUP(C413,Sheet1!$A$2:$B$1132,2,FALSE)</f>
        <v>ESSENTIAL</v>
      </c>
      <c r="C413" s="51" t="s">
        <v>810</v>
      </c>
      <c r="D413" s="3" t="s">
        <v>128</v>
      </c>
      <c r="E413" s="1" t="s">
        <v>1361</v>
      </c>
      <c r="F413" s="8" t="s">
        <v>1400</v>
      </c>
      <c r="G413" s="8" t="s">
        <v>1365</v>
      </c>
      <c r="H413" s="10">
        <v>1</v>
      </c>
      <c r="I413" s="10">
        <v>1</v>
      </c>
      <c r="J413" s="10">
        <v>1</v>
      </c>
      <c r="K413" s="28">
        <v>1</v>
      </c>
      <c r="L413" s="28">
        <v>1</v>
      </c>
      <c r="M413" s="10">
        <f t="shared" si="9"/>
        <v>1</v>
      </c>
      <c r="N413" s="38"/>
      <c r="O413" s="38"/>
      <c r="P413" s="38"/>
      <c r="Q413" s="27"/>
    </row>
    <row r="414" spans="1:17" customFormat="1" ht="15.75">
      <c r="A414" s="2">
        <v>900</v>
      </c>
      <c r="B414" s="30" t="str">
        <f>VLOOKUP(C414,Sheet1!$A$2:$B$1132,2,FALSE)</f>
        <v>ESSENTIAL</v>
      </c>
      <c r="C414" s="50" t="s">
        <v>811</v>
      </c>
      <c r="D414" s="5" t="s">
        <v>128</v>
      </c>
      <c r="E414" s="1" t="s">
        <v>1361</v>
      </c>
      <c r="F414" s="8" t="s">
        <v>1400</v>
      </c>
      <c r="G414" s="8" t="s">
        <v>1365</v>
      </c>
      <c r="H414" s="10">
        <v>1</v>
      </c>
      <c r="I414" s="10">
        <v>1</v>
      </c>
      <c r="J414" s="10">
        <v>1</v>
      </c>
      <c r="K414" s="28">
        <v>1</v>
      </c>
      <c r="L414" s="28">
        <v>1</v>
      </c>
      <c r="M414" s="10">
        <f t="shared" si="9"/>
        <v>1</v>
      </c>
      <c r="N414" s="38"/>
      <c r="O414" s="38"/>
      <c r="P414" s="38"/>
      <c r="Q414" s="27"/>
    </row>
    <row r="415" spans="1:17" customFormat="1" ht="15.75">
      <c r="A415" s="2">
        <v>900</v>
      </c>
      <c r="B415" s="30" t="str">
        <f>VLOOKUP(C415,Sheet1!$A$2:$B$1132,2,FALSE)</f>
        <v>ESSENTIAL</v>
      </c>
      <c r="C415" s="50" t="s">
        <v>1096</v>
      </c>
      <c r="D415" s="5" t="s">
        <v>139</v>
      </c>
      <c r="E415" s="1" t="s">
        <v>1361</v>
      </c>
      <c r="F415" s="8" t="s">
        <v>1400</v>
      </c>
      <c r="G415" s="8" t="s">
        <v>1365</v>
      </c>
      <c r="H415" s="10">
        <v>1</v>
      </c>
      <c r="I415" s="10">
        <v>1</v>
      </c>
      <c r="J415" s="10"/>
      <c r="K415" s="10"/>
      <c r="L415" s="10"/>
      <c r="M415" s="10">
        <f t="shared" si="9"/>
        <v>0.6</v>
      </c>
      <c r="N415" s="38"/>
      <c r="O415" s="38"/>
      <c r="P415" s="38"/>
      <c r="Q415" s="27"/>
    </row>
    <row r="416" spans="1:17" customFormat="1" ht="15.75">
      <c r="A416" s="2">
        <v>900</v>
      </c>
      <c r="B416" s="30" t="str">
        <f>VLOOKUP(C416,Sheet1!$A$2:$B$1132,2,FALSE)</f>
        <v>VITAL</v>
      </c>
      <c r="C416" s="51" t="s">
        <v>746</v>
      </c>
      <c r="D416" s="3" t="s">
        <v>237</v>
      </c>
      <c r="E416" s="1" t="s">
        <v>1356</v>
      </c>
      <c r="F416" s="8" t="s">
        <v>1400</v>
      </c>
      <c r="G416" s="8" t="s">
        <v>1365</v>
      </c>
      <c r="H416" s="10">
        <v>1</v>
      </c>
      <c r="I416" s="10">
        <v>1</v>
      </c>
      <c r="J416" s="10">
        <v>1</v>
      </c>
      <c r="K416" s="28">
        <v>1</v>
      </c>
      <c r="L416" s="28">
        <v>1</v>
      </c>
      <c r="M416" s="10">
        <f t="shared" si="9"/>
        <v>1</v>
      </c>
      <c r="N416" s="38"/>
      <c r="O416" s="38"/>
      <c r="P416" s="38"/>
      <c r="Q416" s="27"/>
    </row>
    <row r="417" spans="1:17" customFormat="1" ht="15.75">
      <c r="A417" s="2">
        <v>900</v>
      </c>
      <c r="B417" s="30" t="str">
        <f>VLOOKUP(C417,Sheet1!$A$2:$B$1132,2,FALSE)</f>
        <v>NORMAL</v>
      </c>
      <c r="C417" s="51" t="s">
        <v>1131</v>
      </c>
      <c r="D417" s="3" t="s">
        <v>239</v>
      </c>
      <c r="E417" s="1" t="s">
        <v>1356</v>
      </c>
      <c r="F417" s="8" t="s">
        <v>1400</v>
      </c>
      <c r="G417" s="8" t="s">
        <v>1365</v>
      </c>
      <c r="H417" s="10"/>
      <c r="I417" s="10"/>
      <c r="J417" s="10"/>
      <c r="K417" s="10"/>
      <c r="L417" s="10"/>
      <c r="M417" s="10">
        <f t="shared" si="9"/>
        <v>0</v>
      </c>
      <c r="N417" s="38"/>
      <c r="O417" s="38"/>
      <c r="P417" s="38"/>
      <c r="Q417" s="27"/>
    </row>
    <row r="418" spans="1:17" ht="15.75">
      <c r="A418" s="30">
        <v>900</v>
      </c>
      <c r="B418" s="30" t="str">
        <f>VLOOKUP(C418,Sheet1!$A$2:$B$1132,2,FALSE)</f>
        <v>VITAL</v>
      </c>
      <c r="C418" s="49" t="s">
        <v>693</v>
      </c>
      <c r="D418" s="31" t="s">
        <v>150</v>
      </c>
      <c r="E418" s="35" t="s">
        <v>1356</v>
      </c>
      <c r="F418" s="32" t="s">
        <v>1400</v>
      </c>
      <c r="G418" s="32" t="s">
        <v>1365</v>
      </c>
      <c r="H418" s="28"/>
      <c r="I418" s="28">
        <v>1</v>
      </c>
      <c r="J418" s="28"/>
      <c r="K418" s="28"/>
      <c r="L418" s="28"/>
      <c r="M418" s="28">
        <f t="shared" si="9"/>
        <v>0.45</v>
      </c>
    </row>
    <row r="419" spans="1:17" customFormat="1" ht="15.75">
      <c r="A419" s="2">
        <v>900</v>
      </c>
      <c r="B419" s="30" t="str">
        <f>VLOOKUP(C419,Sheet1!$A$2:$B$1132,2,FALSE)</f>
        <v>VITAL</v>
      </c>
      <c r="C419" s="50" t="s">
        <v>760</v>
      </c>
      <c r="D419" s="5" t="s">
        <v>150</v>
      </c>
      <c r="E419" s="1" t="s">
        <v>1356</v>
      </c>
      <c r="F419" s="8" t="s">
        <v>1400</v>
      </c>
      <c r="G419" s="8" t="s">
        <v>1365</v>
      </c>
      <c r="H419" s="10"/>
      <c r="I419" s="10">
        <v>1</v>
      </c>
      <c r="J419" s="10"/>
      <c r="K419" s="10"/>
      <c r="L419" s="10"/>
      <c r="M419" s="10">
        <f t="shared" si="9"/>
        <v>0.45</v>
      </c>
      <c r="N419" s="38"/>
      <c r="O419" s="38"/>
      <c r="P419" s="38"/>
      <c r="Q419" s="27"/>
    </row>
    <row r="420" spans="1:17" ht="15.75">
      <c r="A420" s="30">
        <v>900</v>
      </c>
      <c r="B420" s="30" t="str">
        <f>VLOOKUP(C420,Sheet1!$A$2:$B$1132,2,FALSE)</f>
        <v>VITAL</v>
      </c>
      <c r="C420" s="49" t="s">
        <v>724</v>
      </c>
      <c r="D420" s="31" t="s">
        <v>213</v>
      </c>
      <c r="E420" s="35" t="s">
        <v>1356</v>
      </c>
      <c r="F420" s="32" t="s">
        <v>1400</v>
      </c>
      <c r="G420" s="32" t="s">
        <v>1365</v>
      </c>
      <c r="H420" s="28"/>
      <c r="I420" s="28">
        <v>1</v>
      </c>
      <c r="J420" s="28"/>
      <c r="K420" s="28"/>
      <c r="L420" s="28"/>
      <c r="M420" s="28">
        <f t="shared" si="9"/>
        <v>0.45</v>
      </c>
    </row>
    <row r="421" spans="1:17" customFormat="1" ht="15.75">
      <c r="A421" s="2">
        <v>900</v>
      </c>
      <c r="B421" s="30" t="str">
        <f>VLOOKUP(C421,Sheet1!$A$2:$B$1132,2,FALSE)</f>
        <v>ESSENTIAL</v>
      </c>
      <c r="C421" s="50" t="s">
        <v>872</v>
      </c>
      <c r="D421" s="5" t="s">
        <v>144</v>
      </c>
      <c r="E421" s="1" t="s">
        <v>1361</v>
      </c>
      <c r="F421" s="8" t="s">
        <v>1400</v>
      </c>
      <c r="G421" s="8" t="s">
        <v>1365</v>
      </c>
      <c r="H421" s="10">
        <v>1</v>
      </c>
      <c r="I421" s="10">
        <v>1</v>
      </c>
      <c r="J421" s="10"/>
      <c r="K421" s="10"/>
      <c r="L421" s="10"/>
      <c r="M421" s="10">
        <f t="shared" si="9"/>
        <v>0.6</v>
      </c>
      <c r="N421" s="38"/>
      <c r="O421" s="38"/>
      <c r="P421" s="38"/>
      <c r="Q421" s="27"/>
    </row>
    <row r="422" spans="1:17" customFormat="1" ht="15.75">
      <c r="A422" s="2">
        <v>900</v>
      </c>
      <c r="B422" s="30" t="str">
        <f>VLOOKUP(C422,Sheet1!$A$2:$B$1132,2,FALSE)</f>
        <v>ESSENTIAL</v>
      </c>
      <c r="C422" s="51" t="s">
        <v>873</v>
      </c>
      <c r="D422" s="3" t="s">
        <v>144</v>
      </c>
      <c r="E422" s="1" t="s">
        <v>1361</v>
      </c>
      <c r="F422" s="8" t="s">
        <v>1400</v>
      </c>
      <c r="G422" s="8" t="s">
        <v>1365</v>
      </c>
      <c r="H422" s="10">
        <v>1</v>
      </c>
      <c r="I422" s="10">
        <v>1</v>
      </c>
      <c r="J422" s="10"/>
      <c r="K422" s="10"/>
      <c r="L422" s="10"/>
      <c r="M422" s="10">
        <f t="shared" si="9"/>
        <v>0.6</v>
      </c>
      <c r="N422" s="38"/>
      <c r="O422" s="38"/>
      <c r="P422" s="38"/>
      <c r="Q422" s="27"/>
    </row>
    <row r="423" spans="1:17" customFormat="1" ht="15.75">
      <c r="A423" s="2">
        <v>900</v>
      </c>
      <c r="B423" s="30" t="str">
        <f>VLOOKUP(C423,Sheet1!$A$2:$B$1132,2,FALSE)</f>
        <v>ESSENTIAL</v>
      </c>
      <c r="C423" s="51" t="s">
        <v>868</v>
      </c>
      <c r="D423" s="3" t="s">
        <v>144</v>
      </c>
      <c r="E423" s="1" t="s">
        <v>1361</v>
      </c>
      <c r="F423" s="8" t="s">
        <v>1400</v>
      </c>
      <c r="G423" s="8" t="s">
        <v>1365</v>
      </c>
      <c r="H423" s="10">
        <v>1</v>
      </c>
      <c r="I423" s="10">
        <v>1</v>
      </c>
      <c r="J423" s="10"/>
      <c r="K423" s="10"/>
      <c r="L423" s="10"/>
      <c r="M423" s="10">
        <f t="shared" si="9"/>
        <v>0.6</v>
      </c>
      <c r="N423" s="38"/>
      <c r="O423" s="38"/>
      <c r="P423" s="38"/>
      <c r="Q423" s="27"/>
    </row>
    <row r="424" spans="1:17" customFormat="1" ht="15.75">
      <c r="A424" s="2">
        <v>900</v>
      </c>
      <c r="B424" s="30" t="str">
        <f>VLOOKUP(C424,Sheet1!$A$2:$B$1132,2,FALSE)</f>
        <v>ESSENTIAL</v>
      </c>
      <c r="C424" s="50" t="s">
        <v>869</v>
      </c>
      <c r="D424" s="5" t="s">
        <v>144</v>
      </c>
      <c r="E424" s="1" t="s">
        <v>1361</v>
      </c>
      <c r="F424" s="8" t="s">
        <v>1400</v>
      </c>
      <c r="G424" s="8" t="s">
        <v>1365</v>
      </c>
      <c r="H424" s="10">
        <v>1</v>
      </c>
      <c r="I424" s="10">
        <v>1</v>
      </c>
      <c r="J424" s="10"/>
      <c r="K424" s="10"/>
      <c r="L424" s="10"/>
      <c r="M424" s="10">
        <f t="shared" si="9"/>
        <v>0.6</v>
      </c>
      <c r="N424" s="38"/>
      <c r="O424" s="38"/>
      <c r="P424" s="38"/>
      <c r="Q424" s="27"/>
    </row>
    <row r="425" spans="1:17" customFormat="1" ht="15.75">
      <c r="A425" s="2">
        <v>900</v>
      </c>
      <c r="B425" s="30" t="str">
        <f>VLOOKUP(C425,Sheet1!$A$2:$B$1132,2,FALSE)</f>
        <v>ESSENTIAL</v>
      </c>
      <c r="C425" s="51" t="s">
        <v>870</v>
      </c>
      <c r="D425" s="3" t="s">
        <v>144</v>
      </c>
      <c r="E425" s="1" t="s">
        <v>1361</v>
      </c>
      <c r="F425" s="8" t="s">
        <v>1400</v>
      </c>
      <c r="G425" s="8" t="s">
        <v>1365</v>
      </c>
      <c r="H425" s="10">
        <v>1</v>
      </c>
      <c r="I425" s="10">
        <v>1</v>
      </c>
      <c r="J425" s="10"/>
      <c r="K425" s="10"/>
      <c r="L425" s="10"/>
      <c r="M425" s="10">
        <f t="shared" si="9"/>
        <v>0.6</v>
      </c>
      <c r="N425" s="38"/>
      <c r="O425" s="38"/>
      <c r="P425" s="38"/>
      <c r="Q425" s="27"/>
    </row>
    <row r="426" spans="1:17" customFormat="1" ht="15.75">
      <c r="A426" s="2">
        <v>900</v>
      </c>
      <c r="B426" s="30" t="str">
        <f>VLOOKUP(C426,Sheet1!$A$2:$B$1132,2,FALSE)</f>
        <v>ESSENTIAL</v>
      </c>
      <c r="C426" s="50" t="s">
        <v>871</v>
      </c>
      <c r="D426" s="5" t="s">
        <v>144</v>
      </c>
      <c r="E426" s="1" t="s">
        <v>1361</v>
      </c>
      <c r="F426" s="8" t="s">
        <v>1400</v>
      </c>
      <c r="G426" s="8" t="s">
        <v>1365</v>
      </c>
      <c r="H426" s="10">
        <v>1</v>
      </c>
      <c r="I426" s="10">
        <v>1</v>
      </c>
      <c r="J426" s="10"/>
      <c r="K426" s="10"/>
      <c r="L426" s="10"/>
      <c r="M426" s="10">
        <f t="shared" si="9"/>
        <v>0.6</v>
      </c>
      <c r="N426" s="38"/>
      <c r="O426" s="38"/>
      <c r="P426" s="38"/>
      <c r="Q426" s="27"/>
    </row>
    <row r="427" spans="1:17" customFormat="1" ht="15.75">
      <c r="A427" s="2">
        <v>900</v>
      </c>
      <c r="B427" s="30" t="str">
        <f>VLOOKUP(C427,Sheet1!$A$2:$B$1132,2,FALSE)</f>
        <v>ESSENTIAL</v>
      </c>
      <c r="C427" s="50" t="s">
        <v>833</v>
      </c>
      <c r="D427" s="5" t="s">
        <v>144</v>
      </c>
      <c r="E427" s="1" t="s">
        <v>1361</v>
      </c>
      <c r="F427" s="8" t="s">
        <v>1400</v>
      </c>
      <c r="G427" s="8" t="s">
        <v>1365</v>
      </c>
      <c r="H427" s="10">
        <v>1</v>
      </c>
      <c r="I427" s="10">
        <v>1</v>
      </c>
      <c r="J427" s="10"/>
      <c r="K427" s="10"/>
      <c r="L427" s="10"/>
      <c r="M427" s="10">
        <f t="shared" si="9"/>
        <v>0.6</v>
      </c>
      <c r="N427" s="38"/>
      <c r="O427" s="38"/>
      <c r="P427" s="38"/>
      <c r="Q427" s="27"/>
    </row>
    <row r="428" spans="1:17" customFormat="1" ht="15.75">
      <c r="A428" s="2">
        <v>900</v>
      </c>
      <c r="B428" s="30" t="str">
        <f>VLOOKUP(C428,Sheet1!$A$2:$B$1132,2,FALSE)</f>
        <v>ESSENTIAL</v>
      </c>
      <c r="C428" s="51" t="s">
        <v>834</v>
      </c>
      <c r="D428" s="3" t="s">
        <v>144</v>
      </c>
      <c r="E428" s="1" t="s">
        <v>1361</v>
      </c>
      <c r="F428" s="8" t="s">
        <v>1400</v>
      </c>
      <c r="G428" s="8" t="s">
        <v>1365</v>
      </c>
      <c r="H428" s="10">
        <v>1</v>
      </c>
      <c r="I428" s="10">
        <v>1</v>
      </c>
      <c r="J428" s="10"/>
      <c r="K428" s="10"/>
      <c r="L428" s="10"/>
      <c r="M428" s="10">
        <f t="shared" si="9"/>
        <v>0.6</v>
      </c>
      <c r="N428" s="38"/>
      <c r="O428" s="38"/>
      <c r="P428" s="38"/>
      <c r="Q428" s="27"/>
    </row>
    <row r="429" spans="1:17" customFormat="1" ht="15.75">
      <c r="A429" s="2">
        <v>900</v>
      </c>
      <c r="B429" s="30" t="str">
        <f>VLOOKUP(C429,Sheet1!$A$2:$B$1132,2,FALSE)</f>
        <v>ESSENTIAL</v>
      </c>
      <c r="C429" s="50" t="s">
        <v>874</v>
      </c>
      <c r="D429" s="5" t="s">
        <v>144</v>
      </c>
      <c r="E429" s="1" t="s">
        <v>1361</v>
      </c>
      <c r="F429" s="8" t="s">
        <v>1400</v>
      </c>
      <c r="G429" s="8" t="s">
        <v>1365</v>
      </c>
      <c r="H429" s="10">
        <v>1</v>
      </c>
      <c r="I429" s="10">
        <v>1</v>
      </c>
      <c r="J429" s="10"/>
      <c r="K429" s="10"/>
      <c r="L429" s="10"/>
      <c r="M429" s="10">
        <f t="shared" si="9"/>
        <v>0.6</v>
      </c>
      <c r="N429" s="38"/>
      <c r="O429" s="38"/>
      <c r="P429" s="38"/>
      <c r="Q429" s="27"/>
    </row>
    <row r="430" spans="1:17" customFormat="1" ht="15.75">
      <c r="A430" s="2">
        <v>900</v>
      </c>
      <c r="B430" s="30" t="str">
        <f>VLOOKUP(C430,Sheet1!$A$2:$B$1132,2,FALSE)</f>
        <v>ESSENTIAL</v>
      </c>
      <c r="C430" s="51" t="s">
        <v>875</v>
      </c>
      <c r="D430" s="3" t="s">
        <v>144</v>
      </c>
      <c r="E430" s="1" t="s">
        <v>1361</v>
      </c>
      <c r="F430" s="8" t="s">
        <v>1400</v>
      </c>
      <c r="G430" s="8" t="s">
        <v>1365</v>
      </c>
      <c r="H430" s="10">
        <v>1</v>
      </c>
      <c r="I430" s="10">
        <v>1</v>
      </c>
      <c r="J430" s="10"/>
      <c r="K430" s="10"/>
      <c r="L430" s="10"/>
      <c r="M430" s="10">
        <f t="shared" si="9"/>
        <v>0.6</v>
      </c>
      <c r="N430" s="38"/>
      <c r="O430" s="38"/>
      <c r="P430" s="38"/>
      <c r="Q430" s="27"/>
    </row>
    <row r="431" spans="1:17" customFormat="1" ht="15.75">
      <c r="A431" s="2">
        <v>900</v>
      </c>
      <c r="B431" s="30" t="str">
        <f>VLOOKUP(C431,Sheet1!$A$2:$B$1132,2,FALSE)</f>
        <v>NORMAL</v>
      </c>
      <c r="C431" s="50" t="s">
        <v>1147</v>
      </c>
      <c r="D431" s="5" t="s">
        <v>4</v>
      </c>
      <c r="E431" s="1" t="s">
        <v>1356</v>
      </c>
      <c r="F431" s="8" t="s">
        <v>1400</v>
      </c>
      <c r="G431" s="8" t="s">
        <v>1365</v>
      </c>
      <c r="H431" s="10"/>
      <c r="I431" s="10"/>
      <c r="J431" s="10"/>
      <c r="K431" s="10"/>
      <c r="L431" s="10"/>
      <c r="M431" s="10">
        <f t="shared" si="9"/>
        <v>0</v>
      </c>
      <c r="N431" s="38"/>
      <c r="O431" s="38"/>
      <c r="P431" s="38"/>
      <c r="Q431" s="27"/>
    </row>
    <row r="432" spans="1:17" customFormat="1" ht="15.75">
      <c r="A432" s="2">
        <v>900</v>
      </c>
      <c r="B432" s="30" t="str">
        <f>VLOOKUP(C432,Sheet1!$A$2:$B$1132,2,FALSE)</f>
        <v>IMPORTANT</v>
      </c>
      <c r="C432" s="51" t="s">
        <v>927</v>
      </c>
      <c r="D432" s="3" t="s">
        <v>144</v>
      </c>
      <c r="E432" s="1" t="s">
        <v>1361</v>
      </c>
      <c r="F432" s="8" t="s">
        <v>1400</v>
      </c>
      <c r="G432" s="8" t="s">
        <v>1365</v>
      </c>
      <c r="H432" s="10"/>
      <c r="I432" s="10">
        <v>1</v>
      </c>
      <c r="J432" s="10"/>
      <c r="K432" s="10"/>
      <c r="L432" s="10"/>
      <c r="M432" s="10">
        <f t="shared" si="9"/>
        <v>0.45</v>
      </c>
      <c r="N432" s="38"/>
      <c r="O432" s="38"/>
      <c r="P432" s="38"/>
      <c r="Q432" s="27"/>
    </row>
    <row r="433" spans="1:17" customFormat="1" ht="15.75">
      <c r="A433" s="2">
        <v>900</v>
      </c>
      <c r="B433" s="30" t="str">
        <f>VLOOKUP(C433,Sheet1!$A$2:$B$1132,2,FALSE)</f>
        <v>IMPORTANT</v>
      </c>
      <c r="C433" s="50" t="s">
        <v>928</v>
      </c>
      <c r="D433" s="5" t="s">
        <v>144</v>
      </c>
      <c r="E433" s="1" t="s">
        <v>1361</v>
      </c>
      <c r="F433" s="8" t="s">
        <v>1400</v>
      </c>
      <c r="G433" s="8" t="s">
        <v>1365</v>
      </c>
      <c r="H433" s="10"/>
      <c r="I433" s="10">
        <v>1</v>
      </c>
      <c r="J433" s="10"/>
      <c r="K433" s="10"/>
      <c r="L433" s="10"/>
      <c r="M433" s="10">
        <f t="shared" si="9"/>
        <v>0.45</v>
      </c>
      <c r="N433" s="38"/>
      <c r="O433" s="38"/>
      <c r="P433" s="38"/>
      <c r="Q433" s="27"/>
    </row>
    <row r="434" spans="1:17" customFormat="1" ht="15.75">
      <c r="A434" s="2">
        <v>900</v>
      </c>
      <c r="B434" s="30" t="str">
        <f>VLOOKUP(C434,Sheet1!$A$2:$B$1132,2,FALSE)</f>
        <v>IMPORTANT</v>
      </c>
      <c r="C434" s="51" t="s">
        <v>929</v>
      </c>
      <c r="D434" s="3" t="s">
        <v>144</v>
      </c>
      <c r="E434" s="1" t="s">
        <v>1361</v>
      </c>
      <c r="F434" s="8" t="s">
        <v>1400</v>
      </c>
      <c r="G434" s="8" t="s">
        <v>1365</v>
      </c>
      <c r="H434" s="10"/>
      <c r="I434" s="10">
        <v>1</v>
      </c>
      <c r="J434" s="10"/>
      <c r="K434" s="10"/>
      <c r="L434" s="10"/>
      <c r="M434" s="10">
        <f t="shared" si="9"/>
        <v>0.45</v>
      </c>
      <c r="N434" s="38"/>
      <c r="O434" s="38"/>
      <c r="P434" s="38"/>
      <c r="Q434" s="27"/>
    </row>
    <row r="435" spans="1:17" customFormat="1" ht="15.75">
      <c r="A435" s="2">
        <v>900</v>
      </c>
      <c r="B435" s="30" t="str">
        <f>VLOOKUP(C435,Sheet1!$A$2:$B$1132,2,FALSE)</f>
        <v>IMPORTANT</v>
      </c>
      <c r="C435" s="50" t="s">
        <v>930</v>
      </c>
      <c r="D435" s="5" t="s">
        <v>144</v>
      </c>
      <c r="E435" s="1" t="s">
        <v>1361</v>
      </c>
      <c r="F435" s="8" t="s">
        <v>1400</v>
      </c>
      <c r="G435" s="8" t="s">
        <v>1365</v>
      </c>
      <c r="H435" s="10"/>
      <c r="I435" s="10">
        <v>1</v>
      </c>
      <c r="J435" s="10"/>
      <c r="K435" s="10"/>
      <c r="L435" s="10"/>
      <c r="M435" s="10">
        <f t="shared" si="9"/>
        <v>0.45</v>
      </c>
      <c r="N435" s="38"/>
      <c r="O435" s="38"/>
      <c r="P435" s="38"/>
      <c r="Q435" s="27"/>
    </row>
    <row r="436" spans="1:17" customFormat="1" ht="15.75">
      <c r="A436" s="2">
        <v>900</v>
      </c>
      <c r="B436" s="30" t="str">
        <f>VLOOKUP(C436,Sheet1!$A$2:$B$1132,2,FALSE)</f>
        <v>ESSENTIAL</v>
      </c>
      <c r="C436" s="50" t="s">
        <v>758</v>
      </c>
      <c r="D436" s="5" t="s">
        <v>126</v>
      </c>
      <c r="E436" s="1" t="s">
        <v>1361</v>
      </c>
      <c r="F436" s="8" t="s">
        <v>1400</v>
      </c>
      <c r="G436" s="8" t="s">
        <v>1365</v>
      </c>
      <c r="H436" s="10"/>
      <c r="I436" s="10">
        <v>1</v>
      </c>
      <c r="J436" s="10"/>
      <c r="K436" s="10"/>
      <c r="L436" s="10"/>
      <c r="M436" s="10">
        <f t="shared" si="9"/>
        <v>0.45</v>
      </c>
      <c r="N436" s="38"/>
      <c r="O436" s="38"/>
      <c r="P436" s="38"/>
      <c r="Q436" s="27"/>
    </row>
    <row r="437" spans="1:17" customFormat="1" ht="15.75">
      <c r="A437" s="2">
        <v>900</v>
      </c>
      <c r="B437" s="30" t="str">
        <f>VLOOKUP(C437,Sheet1!$A$2:$B$1132,2,FALSE)</f>
        <v>NORMAL</v>
      </c>
      <c r="C437" s="50" t="s">
        <v>1093</v>
      </c>
      <c r="D437" s="5" t="s">
        <v>243</v>
      </c>
      <c r="E437" s="1" t="s">
        <v>1361</v>
      </c>
      <c r="F437" s="8" t="s">
        <v>1400</v>
      </c>
      <c r="G437" s="8" t="s">
        <v>1365</v>
      </c>
      <c r="H437" s="10"/>
      <c r="I437" s="10"/>
      <c r="J437" s="10"/>
      <c r="K437" s="10"/>
      <c r="L437" s="10"/>
      <c r="M437" s="10">
        <f t="shared" ref="M437:M468" si="10">SUMPRODUCT(H437:L437,$AA$2:$AE$2)</f>
        <v>0</v>
      </c>
      <c r="N437" s="38"/>
      <c r="O437" s="38"/>
      <c r="P437" s="38"/>
      <c r="Q437" s="27"/>
    </row>
    <row r="438" spans="1:17" customFormat="1" ht="15.75">
      <c r="A438" s="2">
        <v>900</v>
      </c>
      <c r="B438" s="30" t="str">
        <f>VLOOKUP(C438,Sheet1!$A$2:$B$1132,2,FALSE)</f>
        <v>ESSENTIAL</v>
      </c>
      <c r="C438" s="50" t="s">
        <v>847</v>
      </c>
      <c r="D438" s="5" t="s">
        <v>128</v>
      </c>
      <c r="E438" s="1" t="s">
        <v>1361</v>
      </c>
      <c r="F438" s="8" t="s">
        <v>1400</v>
      </c>
      <c r="G438" s="8" t="s">
        <v>1365</v>
      </c>
      <c r="H438" s="10">
        <v>1</v>
      </c>
      <c r="I438" s="10">
        <v>1</v>
      </c>
      <c r="J438" s="10">
        <v>1</v>
      </c>
      <c r="K438" s="28">
        <v>1</v>
      </c>
      <c r="L438" s="28">
        <v>1</v>
      </c>
      <c r="M438" s="10">
        <f t="shared" si="10"/>
        <v>1</v>
      </c>
      <c r="N438" s="38"/>
      <c r="O438" s="38"/>
      <c r="P438" s="38"/>
      <c r="Q438" s="27"/>
    </row>
    <row r="439" spans="1:17" customFormat="1" ht="15.75">
      <c r="A439" s="2">
        <v>900</v>
      </c>
      <c r="B439" s="30" t="str">
        <f>VLOOKUP(C439,Sheet1!$A$2:$B$1132,2,FALSE)</f>
        <v>ESSENTIAL</v>
      </c>
      <c r="C439" s="51" t="s">
        <v>848</v>
      </c>
      <c r="D439" s="3" t="s">
        <v>128</v>
      </c>
      <c r="E439" s="1" t="s">
        <v>1361</v>
      </c>
      <c r="F439" s="8" t="s">
        <v>1400</v>
      </c>
      <c r="G439" s="8" t="s">
        <v>1365</v>
      </c>
      <c r="H439" s="10">
        <v>1</v>
      </c>
      <c r="I439" s="10">
        <v>1</v>
      </c>
      <c r="J439" s="10">
        <v>1</v>
      </c>
      <c r="K439" s="28">
        <v>1</v>
      </c>
      <c r="L439" s="28">
        <v>1</v>
      </c>
      <c r="M439" s="10">
        <f t="shared" si="10"/>
        <v>1</v>
      </c>
      <c r="N439" s="38"/>
      <c r="O439" s="38"/>
      <c r="P439" s="38"/>
      <c r="Q439" s="27"/>
    </row>
    <row r="440" spans="1:17" customFormat="1" ht="15.75">
      <c r="A440" s="2">
        <v>900</v>
      </c>
      <c r="B440" s="30" t="str">
        <f>VLOOKUP(C440,Sheet1!$A$2:$B$1132,2,FALSE)</f>
        <v>ESSENTIAL</v>
      </c>
      <c r="C440" s="50" t="s">
        <v>849</v>
      </c>
      <c r="D440" s="5" t="s">
        <v>128</v>
      </c>
      <c r="E440" s="1" t="s">
        <v>1361</v>
      </c>
      <c r="F440" s="8" t="s">
        <v>1400</v>
      </c>
      <c r="G440" s="8" t="s">
        <v>1365</v>
      </c>
      <c r="H440" s="10">
        <v>1</v>
      </c>
      <c r="I440" s="10">
        <v>1</v>
      </c>
      <c r="J440" s="10">
        <v>1</v>
      </c>
      <c r="K440" s="28">
        <v>1</v>
      </c>
      <c r="L440" s="28">
        <v>1</v>
      </c>
      <c r="M440" s="10">
        <f t="shared" si="10"/>
        <v>1</v>
      </c>
      <c r="N440" s="38"/>
      <c r="O440" s="38"/>
      <c r="P440" s="38"/>
      <c r="Q440" s="27"/>
    </row>
    <row r="441" spans="1:17" customFormat="1" ht="15.75">
      <c r="A441" s="2">
        <v>900</v>
      </c>
      <c r="B441" s="30" t="str">
        <f>VLOOKUP(C441,Sheet1!$A$2:$B$1132,2,FALSE)</f>
        <v>ESSENTIAL</v>
      </c>
      <c r="C441" s="51" t="s">
        <v>850</v>
      </c>
      <c r="D441" s="3" t="s">
        <v>128</v>
      </c>
      <c r="E441" s="1" t="s">
        <v>1361</v>
      </c>
      <c r="F441" s="8" t="s">
        <v>1400</v>
      </c>
      <c r="G441" s="8" t="s">
        <v>1365</v>
      </c>
      <c r="H441" s="10">
        <v>1</v>
      </c>
      <c r="I441" s="10">
        <v>1</v>
      </c>
      <c r="J441" s="10">
        <v>1</v>
      </c>
      <c r="K441" s="28">
        <v>1</v>
      </c>
      <c r="L441" s="28">
        <v>1</v>
      </c>
      <c r="M441" s="10">
        <f t="shared" si="10"/>
        <v>1</v>
      </c>
      <c r="N441" s="38"/>
      <c r="O441" s="38"/>
      <c r="P441" s="38"/>
      <c r="Q441" s="27"/>
    </row>
    <row r="442" spans="1:17" customFormat="1" ht="15.75">
      <c r="A442" s="2">
        <v>900</v>
      </c>
      <c r="B442" s="30" t="str">
        <f>VLOOKUP(C442,Sheet1!$A$2:$B$1132,2,FALSE)</f>
        <v>ESSENTIAL</v>
      </c>
      <c r="C442" s="50" t="s">
        <v>851</v>
      </c>
      <c r="D442" s="5" t="s">
        <v>128</v>
      </c>
      <c r="E442" s="1" t="s">
        <v>1361</v>
      </c>
      <c r="F442" s="8" t="s">
        <v>1400</v>
      </c>
      <c r="G442" s="8" t="s">
        <v>1365</v>
      </c>
      <c r="H442" s="10">
        <v>1</v>
      </c>
      <c r="I442" s="10">
        <v>1</v>
      </c>
      <c r="J442" s="10">
        <v>1</v>
      </c>
      <c r="K442" s="28">
        <v>1</v>
      </c>
      <c r="L442" s="28">
        <v>1</v>
      </c>
      <c r="M442" s="10">
        <f t="shared" si="10"/>
        <v>1</v>
      </c>
      <c r="N442" s="38"/>
      <c r="O442" s="38"/>
      <c r="P442" s="38"/>
      <c r="Q442" s="27"/>
    </row>
    <row r="443" spans="1:17" customFormat="1" ht="15.75">
      <c r="A443" s="2">
        <v>900</v>
      </c>
      <c r="B443" s="30" t="str">
        <f>VLOOKUP(C443,Sheet1!$A$2:$B$1132,2,FALSE)</f>
        <v>ESSENTIAL</v>
      </c>
      <c r="C443" s="51" t="s">
        <v>852</v>
      </c>
      <c r="D443" s="3" t="s">
        <v>128</v>
      </c>
      <c r="E443" s="1" t="s">
        <v>1361</v>
      </c>
      <c r="F443" s="8" t="s">
        <v>1400</v>
      </c>
      <c r="G443" s="8" t="s">
        <v>1365</v>
      </c>
      <c r="H443" s="10">
        <v>1</v>
      </c>
      <c r="I443" s="10">
        <v>1</v>
      </c>
      <c r="J443" s="10">
        <v>1</v>
      </c>
      <c r="K443" s="28">
        <v>1</v>
      </c>
      <c r="L443" s="28">
        <v>1</v>
      </c>
      <c r="M443" s="10">
        <f t="shared" si="10"/>
        <v>1</v>
      </c>
      <c r="N443" s="38"/>
      <c r="O443" s="38"/>
      <c r="P443" s="38"/>
      <c r="Q443" s="27"/>
    </row>
    <row r="444" spans="1:17" customFormat="1" ht="15.75">
      <c r="A444" s="2">
        <v>900</v>
      </c>
      <c r="B444" s="30" t="str">
        <f>VLOOKUP(C444,Sheet1!$A$2:$B$1132,2,FALSE)</f>
        <v>ESSENTIAL</v>
      </c>
      <c r="C444" s="50" t="s">
        <v>856</v>
      </c>
      <c r="D444" s="5" t="s">
        <v>128</v>
      </c>
      <c r="E444" s="1" t="s">
        <v>1361</v>
      </c>
      <c r="F444" s="8" t="s">
        <v>1400</v>
      </c>
      <c r="G444" s="8" t="s">
        <v>1365</v>
      </c>
      <c r="H444" s="10">
        <v>1</v>
      </c>
      <c r="I444" s="10">
        <v>1</v>
      </c>
      <c r="J444" s="10">
        <v>1</v>
      </c>
      <c r="K444" s="28">
        <v>1</v>
      </c>
      <c r="L444" s="28">
        <v>1</v>
      </c>
      <c r="M444" s="10">
        <f t="shared" si="10"/>
        <v>1</v>
      </c>
      <c r="N444" s="38"/>
      <c r="O444" s="38"/>
      <c r="P444" s="38"/>
      <c r="Q444" s="27"/>
    </row>
    <row r="445" spans="1:17" customFormat="1" ht="15.75">
      <c r="A445" s="2">
        <v>900</v>
      </c>
      <c r="B445" s="30" t="str">
        <f>VLOOKUP(C445,Sheet1!$A$2:$B$1132,2,FALSE)</f>
        <v>ESSENTIAL</v>
      </c>
      <c r="C445" s="51" t="s">
        <v>857</v>
      </c>
      <c r="D445" s="3" t="s">
        <v>128</v>
      </c>
      <c r="E445" s="1" t="s">
        <v>1361</v>
      </c>
      <c r="F445" s="8" t="s">
        <v>1400</v>
      </c>
      <c r="G445" s="8" t="s">
        <v>1365</v>
      </c>
      <c r="H445" s="10">
        <v>1</v>
      </c>
      <c r="I445" s="10">
        <v>1</v>
      </c>
      <c r="J445" s="10">
        <v>1</v>
      </c>
      <c r="K445" s="28">
        <v>1</v>
      </c>
      <c r="L445" s="28">
        <v>1</v>
      </c>
      <c r="M445" s="10">
        <f t="shared" si="10"/>
        <v>1</v>
      </c>
      <c r="N445" s="38"/>
      <c r="O445" s="38"/>
      <c r="P445" s="38"/>
      <c r="Q445" s="27"/>
    </row>
    <row r="446" spans="1:17" customFormat="1" ht="15.75">
      <c r="A446" s="2">
        <v>900</v>
      </c>
      <c r="B446" s="30" t="str">
        <f>VLOOKUP(C446,Sheet1!$A$2:$B$1132,2,FALSE)</f>
        <v>ESSENTIAL</v>
      </c>
      <c r="C446" s="50" t="s">
        <v>858</v>
      </c>
      <c r="D446" s="5" t="s">
        <v>128</v>
      </c>
      <c r="E446" s="1" t="s">
        <v>1361</v>
      </c>
      <c r="F446" s="8" t="s">
        <v>1400</v>
      </c>
      <c r="G446" s="8" t="s">
        <v>1365</v>
      </c>
      <c r="H446" s="10">
        <v>1</v>
      </c>
      <c r="I446" s="10">
        <v>1</v>
      </c>
      <c r="J446" s="10">
        <v>1</v>
      </c>
      <c r="K446" s="28">
        <v>1</v>
      </c>
      <c r="L446" s="28">
        <v>1</v>
      </c>
      <c r="M446" s="10">
        <f t="shared" si="10"/>
        <v>1</v>
      </c>
      <c r="N446" s="38"/>
      <c r="O446" s="38"/>
      <c r="P446" s="38"/>
      <c r="Q446" s="27"/>
    </row>
    <row r="447" spans="1:17" customFormat="1" ht="15.75">
      <c r="A447" s="2">
        <v>900</v>
      </c>
      <c r="B447" s="30" t="str">
        <f>VLOOKUP(C447,Sheet1!$A$2:$B$1132,2,FALSE)</f>
        <v>ESSENTIAL</v>
      </c>
      <c r="C447" s="51" t="s">
        <v>859</v>
      </c>
      <c r="D447" s="3" t="s">
        <v>128</v>
      </c>
      <c r="E447" s="1" t="s">
        <v>1361</v>
      </c>
      <c r="F447" s="8" t="s">
        <v>1400</v>
      </c>
      <c r="G447" s="8" t="s">
        <v>1365</v>
      </c>
      <c r="H447" s="10">
        <v>1</v>
      </c>
      <c r="I447" s="10">
        <v>1</v>
      </c>
      <c r="J447" s="10">
        <v>1</v>
      </c>
      <c r="K447" s="28">
        <v>1</v>
      </c>
      <c r="L447" s="28">
        <v>1</v>
      </c>
      <c r="M447" s="10">
        <f t="shared" si="10"/>
        <v>1</v>
      </c>
      <c r="N447" s="38"/>
      <c r="O447" s="38"/>
      <c r="P447" s="38"/>
      <c r="Q447" s="27"/>
    </row>
    <row r="448" spans="1:17" customFormat="1" ht="15.75">
      <c r="A448" s="2">
        <v>900</v>
      </c>
      <c r="B448" s="30" t="str">
        <f>VLOOKUP(C448,Sheet1!$A$2:$B$1132,2,FALSE)</f>
        <v>ESSENTIAL</v>
      </c>
      <c r="C448" s="50" t="s">
        <v>860</v>
      </c>
      <c r="D448" s="5" t="s">
        <v>128</v>
      </c>
      <c r="E448" s="1" t="s">
        <v>1361</v>
      </c>
      <c r="F448" s="8" t="s">
        <v>1400</v>
      </c>
      <c r="G448" s="8" t="s">
        <v>1365</v>
      </c>
      <c r="H448" s="10">
        <v>1</v>
      </c>
      <c r="I448" s="10">
        <v>1</v>
      </c>
      <c r="J448" s="10">
        <v>1</v>
      </c>
      <c r="K448" s="28">
        <v>1</v>
      </c>
      <c r="L448" s="28">
        <v>1</v>
      </c>
      <c r="M448" s="10">
        <f t="shared" si="10"/>
        <v>1</v>
      </c>
      <c r="N448" s="38"/>
      <c r="O448" s="38"/>
      <c r="P448" s="38"/>
      <c r="Q448" s="27"/>
    </row>
    <row r="449" spans="1:17" customFormat="1" ht="15.75">
      <c r="A449" s="2">
        <v>900</v>
      </c>
      <c r="B449" s="30" t="str">
        <f>VLOOKUP(C449,Sheet1!$A$2:$B$1132,2,FALSE)</f>
        <v>ESSENTIAL</v>
      </c>
      <c r="C449" s="51" t="s">
        <v>861</v>
      </c>
      <c r="D449" s="3" t="s">
        <v>128</v>
      </c>
      <c r="E449" s="1" t="s">
        <v>1361</v>
      </c>
      <c r="F449" s="8" t="s">
        <v>1400</v>
      </c>
      <c r="G449" s="8" t="s">
        <v>1365</v>
      </c>
      <c r="H449" s="10">
        <v>1</v>
      </c>
      <c r="I449" s="10">
        <v>1</v>
      </c>
      <c r="J449" s="10">
        <v>1</v>
      </c>
      <c r="K449" s="28">
        <v>1</v>
      </c>
      <c r="L449" s="28">
        <v>1</v>
      </c>
      <c r="M449" s="10">
        <f t="shared" si="10"/>
        <v>1</v>
      </c>
      <c r="N449" s="38"/>
      <c r="O449" s="38"/>
      <c r="P449" s="38"/>
      <c r="Q449" s="27"/>
    </row>
    <row r="450" spans="1:17" customFormat="1" ht="15.75">
      <c r="A450" s="2">
        <v>900</v>
      </c>
      <c r="B450" s="30" t="str">
        <f>VLOOKUP(C450,Sheet1!$A$2:$B$1132,2,FALSE)</f>
        <v>ESSENTIAL</v>
      </c>
      <c r="C450" s="50" t="s">
        <v>862</v>
      </c>
      <c r="D450" s="5" t="s">
        <v>128</v>
      </c>
      <c r="E450" s="1" t="s">
        <v>1361</v>
      </c>
      <c r="F450" s="8" t="s">
        <v>1400</v>
      </c>
      <c r="G450" s="8" t="s">
        <v>1365</v>
      </c>
      <c r="H450" s="10">
        <v>1</v>
      </c>
      <c r="I450" s="10">
        <v>1</v>
      </c>
      <c r="J450" s="10">
        <v>1</v>
      </c>
      <c r="K450" s="28">
        <v>1</v>
      </c>
      <c r="L450" s="28">
        <v>1</v>
      </c>
      <c r="M450" s="10">
        <f t="shared" si="10"/>
        <v>1</v>
      </c>
      <c r="N450" s="38"/>
      <c r="O450" s="38"/>
      <c r="P450" s="38"/>
      <c r="Q450" s="27"/>
    </row>
    <row r="451" spans="1:17" customFormat="1" ht="15.75">
      <c r="A451" s="2">
        <v>900</v>
      </c>
      <c r="B451" s="30" t="str">
        <f>VLOOKUP(C451,Sheet1!$A$2:$B$1132,2,FALSE)</f>
        <v>ESSENTIAL</v>
      </c>
      <c r="C451" s="51" t="s">
        <v>863</v>
      </c>
      <c r="D451" s="3" t="s">
        <v>128</v>
      </c>
      <c r="E451" s="1" t="s">
        <v>1361</v>
      </c>
      <c r="F451" s="8" t="s">
        <v>1400</v>
      </c>
      <c r="G451" s="8" t="s">
        <v>1365</v>
      </c>
      <c r="H451" s="10">
        <v>1</v>
      </c>
      <c r="I451" s="10">
        <v>1</v>
      </c>
      <c r="J451" s="10">
        <v>1</v>
      </c>
      <c r="K451" s="28">
        <v>1</v>
      </c>
      <c r="L451" s="28">
        <v>1</v>
      </c>
      <c r="M451" s="10">
        <f t="shared" si="10"/>
        <v>1</v>
      </c>
      <c r="N451" s="38"/>
      <c r="O451" s="38"/>
      <c r="P451" s="38"/>
      <c r="Q451" s="27"/>
    </row>
    <row r="452" spans="1:17" customFormat="1" ht="15.75">
      <c r="A452" s="2">
        <v>900</v>
      </c>
      <c r="B452" s="30" t="str">
        <f>VLOOKUP(C452,Sheet1!$A$2:$B$1132,2,FALSE)</f>
        <v>NORMAL</v>
      </c>
      <c r="C452" s="51" t="s">
        <v>1115</v>
      </c>
      <c r="D452" s="3" t="s">
        <v>82</v>
      </c>
      <c r="E452" s="1" t="s">
        <v>1361</v>
      </c>
      <c r="F452" s="8" t="s">
        <v>1400</v>
      </c>
      <c r="G452" s="8" t="s">
        <v>1365</v>
      </c>
      <c r="H452" s="10"/>
      <c r="I452" s="10"/>
      <c r="J452" s="10"/>
      <c r="K452" s="10"/>
      <c r="L452" s="10"/>
      <c r="M452" s="10">
        <f t="shared" si="10"/>
        <v>0</v>
      </c>
      <c r="N452" s="38"/>
      <c r="O452" s="38"/>
      <c r="P452" s="38"/>
      <c r="Q452" s="27"/>
    </row>
    <row r="453" spans="1:17" customFormat="1" ht="15.75">
      <c r="A453" s="2">
        <v>900</v>
      </c>
      <c r="B453" s="30" t="str">
        <f>VLOOKUP(C453,Sheet1!$A$2:$B$1132,2,FALSE)</f>
        <v>NORMAL</v>
      </c>
      <c r="C453" s="50" t="s">
        <v>1116</v>
      </c>
      <c r="D453" s="5" t="s">
        <v>82</v>
      </c>
      <c r="E453" s="1" t="s">
        <v>1361</v>
      </c>
      <c r="F453" s="8" t="s">
        <v>1400</v>
      </c>
      <c r="G453" s="8" t="s">
        <v>1365</v>
      </c>
      <c r="H453" s="10"/>
      <c r="I453" s="10"/>
      <c r="J453" s="10"/>
      <c r="K453" s="10"/>
      <c r="L453" s="10"/>
      <c r="M453" s="10">
        <f t="shared" si="10"/>
        <v>0</v>
      </c>
      <c r="N453" s="38"/>
      <c r="O453" s="38"/>
      <c r="P453" s="38"/>
      <c r="Q453" s="27"/>
    </row>
    <row r="454" spans="1:17" customFormat="1" ht="15.75">
      <c r="A454" s="2">
        <v>900</v>
      </c>
      <c r="B454" s="30" t="str">
        <f>VLOOKUP(C454,Sheet1!$A$2:$B$1132,2,FALSE)</f>
        <v>NORMAL</v>
      </c>
      <c r="C454" s="51" t="s">
        <v>1117</v>
      </c>
      <c r="D454" s="3" t="s">
        <v>82</v>
      </c>
      <c r="E454" s="1" t="s">
        <v>1361</v>
      </c>
      <c r="F454" s="8" t="s">
        <v>1400</v>
      </c>
      <c r="G454" s="8" t="s">
        <v>1365</v>
      </c>
      <c r="H454" s="10"/>
      <c r="I454" s="10"/>
      <c r="J454" s="10"/>
      <c r="K454" s="10"/>
      <c r="L454" s="10"/>
      <c r="M454" s="10">
        <f t="shared" si="10"/>
        <v>0</v>
      </c>
      <c r="N454" s="38"/>
      <c r="O454" s="38"/>
      <c r="P454" s="38"/>
      <c r="Q454" s="27"/>
    </row>
    <row r="455" spans="1:17" customFormat="1" ht="15.75">
      <c r="A455" s="2">
        <v>900</v>
      </c>
      <c r="B455" s="30" t="str">
        <f>VLOOKUP(C455,Sheet1!$A$2:$B$1132,2,FALSE)</f>
        <v>NORMAL</v>
      </c>
      <c r="C455" s="50" t="s">
        <v>1118</v>
      </c>
      <c r="D455" s="5" t="s">
        <v>82</v>
      </c>
      <c r="E455" s="1" t="s">
        <v>1361</v>
      </c>
      <c r="F455" s="8" t="s">
        <v>1400</v>
      </c>
      <c r="G455" s="8" t="s">
        <v>1365</v>
      </c>
      <c r="H455" s="10"/>
      <c r="I455" s="10"/>
      <c r="J455" s="10"/>
      <c r="K455" s="10"/>
      <c r="L455" s="10"/>
      <c r="M455" s="10">
        <f t="shared" si="10"/>
        <v>0</v>
      </c>
      <c r="N455" s="38"/>
      <c r="O455" s="38"/>
      <c r="P455" s="38"/>
      <c r="Q455" s="27"/>
    </row>
    <row r="456" spans="1:17" customFormat="1" ht="15.75">
      <c r="A456" s="2">
        <v>900</v>
      </c>
      <c r="B456" s="30" t="str">
        <f>VLOOKUP(C456,Sheet1!$A$2:$B$1132,2,FALSE)</f>
        <v>NORMAL</v>
      </c>
      <c r="C456" s="51" t="s">
        <v>1119</v>
      </c>
      <c r="D456" s="3" t="s">
        <v>82</v>
      </c>
      <c r="E456" s="1" t="s">
        <v>1361</v>
      </c>
      <c r="F456" s="8" t="s">
        <v>1400</v>
      </c>
      <c r="G456" s="8" t="s">
        <v>1365</v>
      </c>
      <c r="H456" s="10"/>
      <c r="I456" s="10"/>
      <c r="J456" s="10"/>
      <c r="K456" s="10"/>
      <c r="L456" s="10"/>
      <c r="M456" s="10">
        <f t="shared" si="10"/>
        <v>0</v>
      </c>
      <c r="N456" s="38"/>
      <c r="O456" s="38"/>
      <c r="P456" s="38"/>
      <c r="Q456" s="27"/>
    </row>
    <row r="457" spans="1:17" customFormat="1" ht="15.75">
      <c r="A457" s="2">
        <v>900</v>
      </c>
      <c r="B457" s="30" t="str">
        <f>VLOOKUP(C457,Sheet1!$A$2:$B$1132,2,FALSE)</f>
        <v>NORMAL</v>
      </c>
      <c r="C457" s="50" t="s">
        <v>1120</v>
      </c>
      <c r="D457" s="5" t="s">
        <v>82</v>
      </c>
      <c r="E457" s="1" t="s">
        <v>1361</v>
      </c>
      <c r="F457" s="8" t="s">
        <v>1400</v>
      </c>
      <c r="G457" s="8" t="s">
        <v>1365</v>
      </c>
      <c r="H457" s="10"/>
      <c r="I457" s="10"/>
      <c r="J457" s="10"/>
      <c r="K457" s="10"/>
      <c r="L457" s="10"/>
      <c r="M457" s="10">
        <f t="shared" si="10"/>
        <v>0</v>
      </c>
      <c r="N457" s="38"/>
      <c r="O457" s="38"/>
      <c r="P457" s="38"/>
      <c r="Q457" s="27"/>
    </row>
    <row r="458" spans="1:17" customFormat="1" ht="15.75">
      <c r="A458" s="2">
        <v>900</v>
      </c>
      <c r="B458" s="30" t="str">
        <f>VLOOKUP(C458,Sheet1!$A$2:$B$1132,2,FALSE)</f>
        <v>ESSENTIAL</v>
      </c>
      <c r="C458" s="51" t="s">
        <v>882</v>
      </c>
      <c r="D458" s="3" t="s">
        <v>127</v>
      </c>
      <c r="E458" s="1" t="s">
        <v>1361</v>
      </c>
      <c r="F458" s="8" t="s">
        <v>1400</v>
      </c>
      <c r="G458" s="8" t="s">
        <v>1365</v>
      </c>
      <c r="H458" s="10"/>
      <c r="I458" s="10">
        <v>1</v>
      </c>
      <c r="J458" s="10"/>
      <c r="K458" s="10"/>
      <c r="L458" s="10"/>
      <c r="M458" s="10">
        <f t="shared" si="10"/>
        <v>0.45</v>
      </c>
      <c r="N458" s="38"/>
      <c r="O458" s="38"/>
      <c r="P458" s="38"/>
      <c r="Q458" s="27"/>
    </row>
    <row r="459" spans="1:17" customFormat="1" ht="15.75">
      <c r="A459" s="2">
        <v>900</v>
      </c>
      <c r="B459" s="30" t="str">
        <f>VLOOKUP(C459,Sheet1!$A$2:$B$1132,2,FALSE)</f>
        <v>ESSENTIAL</v>
      </c>
      <c r="C459" s="50" t="s">
        <v>877</v>
      </c>
      <c r="D459" s="5" t="s">
        <v>139</v>
      </c>
      <c r="E459" s="1" t="s">
        <v>1361</v>
      </c>
      <c r="F459" s="8" t="s">
        <v>1400</v>
      </c>
      <c r="G459" s="8" t="s">
        <v>1365</v>
      </c>
      <c r="H459" s="10"/>
      <c r="I459" s="10">
        <v>1</v>
      </c>
      <c r="J459" s="10"/>
      <c r="K459" s="10"/>
      <c r="L459" s="10"/>
      <c r="M459" s="10">
        <f t="shared" si="10"/>
        <v>0.45</v>
      </c>
      <c r="N459" s="38"/>
      <c r="O459" s="38"/>
      <c r="P459" s="38"/>
      <c r="Q459" s="27"/>
    </row>
    <row r="460" spans="1:17" customFormat="1" ht="15.75">
      <c r="A460" s="2">
        <v>900</v>
      </c>
      <c r="B460" s="30" t="str">
        <f>VLOOKUP(C460,Sheet1!$A$2:$B$1132,2,FALSE)</f>
        <v>ESSENTIAL</v>
      </c>
      <c r="C460" s="51" t="s">
        <v>878</v>
      </c>
      <c r="D460" s="3" t="s">
        <v>139</v>
      </c>
      <c r="E460" s="1" t="s">
        <v>1361</v>
      </c>
      <c r="F460" s="8" t="s">
        <v>1400</v>
      </c>
      <c r="G460" s="8" t="s">
        <v>1365</v>
      </c>
      <c r="H460" s="10"/>
      <c r="I460" s="10">
        <v>1</v>
      </c>
      <c r="J460" s="10"/>
      <c r="K460" s="10"/>
      <c r="L460" s="10"/>
      <c r="M460" s="10">
        <f t="shared" si="10"/>
        <v>0.45</v>
      </c>
      <c r="N460" s="38"/>
      <c r="O460" s="38"/>
      <c r="P460" s="38"/>
      <c r="Q460" s="27"/>
    </row>
    <row r="461" spans="1:17" customFormat="1" ht="15.75">
      <c r="A461" s="2">
        <v>900</v>
      </c>
      <c r="B461" s="30" t="str">
        <f>VLOOKUP(C461,Sheet1!$A$2:$B$1132,2,FALSE)</f>
        <v>ESSENTIAL</v>
      </c>
      <c r="C461" s="50" t="s">
        <v>879</v>
      </c>
      <c r="D461" s="5" t="s">
        <v>139</v>
      </c>
      <c r="E461" s="1" t="s">
        <v>1361</v>
      </c>
      <c r="F461" s="8" t="s">
        <v>1400</v>
      </c>
      <c r="G461" s="8" t="s">
        <v>1365</v>
      </c>
      <c r="H461" s="10"/>
      <c r="I461" s="10">
        <v>1</v>
      </c>
      <c r="J461" s="10"/>
      <c r="K461" s="10"/>
      <c r="L461" s="10"/>
      <c r="M461" s="10">
        <f t="shared" si="10"/>
        <v>0.45</v>
      </c>
      <c r="N461" s="38"/>
      <c r="O461" s="38"/>
      <c r="P461" s="38"/>
      <c r="Q461" s="27"/>
    </row>
    <row r="462" spans="1:17" customFormat="1" ht="15.75">
      <c r="A462" s="2">
        <v>900</v>
      </c>
      <c r="B462" s="30" t="str">
        <f>VLOOKUP(C462,Sheet1!$A$2:$B$1132,2,FALSE)</f>
        <v>ESSENTIAL</v>
      </c>
      <c r="C462" s="51" t="s">
        <v>880</v>
      </c>
      <c r="D462" s="3" t="s">
        <v>139</v>
      </c>
      <c r="E462" s="1" t="s">
        <v>1361</v>
      </c>
      <c r="F462" s="8" t="s">
        <v>1400</v>
      </c>
      <c r="G462" s="8" t="s">
        <v>1365</v>
      </c>
      <c r="H462" s="10"/>
      <c r="I462" s="10">
        <v>1</v>
      </c>
      <c r="J462" s="10"/>
      <c r="K462" s="10"/>
      <c r="L462" s="10"/>
      <c r="M462" s="10">
        <f t="shared" si="10"/>
        <v>0.45</v>
      </c>
      <c r="N462" s="38"/>
      <c r="O462" s="38"/>
      <c r="P462" s="38"/>
      <c r="Q462" s="27"/>
    </row>
    <row r="463" spans="1:17" customFormat="1" ht="15.75">
      <c r="A463" s="2">
        <v>900</v>
      </c>
      <c r="B463" s="30" t="str">
        <f>VLOOKUP(C463,Sheet1!$A$2:$B$1132,2,FALSE)</f>
        <v>ESSENTIAL</v>
      </c>
      <c r="C463" s="50" t="s">
        <v>881</v>
      </c>
      <c r="D463" s="5" t="s">
        <v>139</v>
      </c>
      <c r="E463" s="1" t="s">
        <v>1361</v>
      </c>
      <c r="F463" s="8" t="s">
        <v>1400</v>
      </c>
      <c r="G463" s="8" t="s">
        <v>1365</v>
      </c>
      <c r="H463" s="10"/>
      <c r="I463" s="10">
        <v>1</v>
      </c>
      <c r="J463" s="10"/>
      <c r="K463" s="10"/>
      <c r="L463" s="10"/>
      <c r="M463" s="10">
        <f t="shared" si="10"/>
        <v>0.45</v>
      </c>
      <c r="N463" s="38"/>
      <c r="O463" s="38"/>
      <c r="P463" s="38"/>
      <c r="Q463" s="27"/>
    </row>
    <row r="464" spans="1:17" ht="15.75">
      <c r="A464" s="30">
        <v>900</v>
      </c>
      <c r="B464" s="30" t="str">
        <f>VLOOKUP(C464,Sheet1!$A$2:$B$1132,2,FALSE)</f>
        <v>VITAL</v>
      </c>
      <c r="C464" s="49" t="s">
        <v>734</v>
      </c>
      <c r="D464" s="31" t="s">
        <v>12</v>
      </c>
      <c r="E464" s="35" t="s">
        <v>1361</v>
      </c>
      <c r="F464" s="32" t="s">
        <v>1400</v>
      </c>
      <c r="G464" s="32" t="s">
        <v>1365</v>
      </c>
      <c r="H464" s="28">
        <v>1</v>
      </c>
      <c r="I464" s="28">
        <v>1</v>
      </c>
      <c r="J464" s="28">
        <v>1</v>
      </c>
      <c r="K464" s="28">
        <v>1</v>
      </c>
      <c r="L464" s="28">
        <v>1</v>
      </c>
      <c r="M464" s="28">
        <f t="shared" si="10"/>
        <v>1</v>
      </c>
    </row>
    <row r="465" spans="1:17" ht="15.75">
      <c r="A465" s="30">
        <v>900</v>
      </c>
      <c r="B465" s="30" t="str">
        <f>VLOOKUP(C465,Sheet1!$A$2:$B$1132,2,FALSE)</f>
        <v>VITAL</v>
      </c>
      <c r="C465" s="52" t="s">
        <v>735</v>
      </c>
      <c r="D465" s="34" t="s">
        <v>12</v>
      </c>
      <c r="E465" s="35" t="s">
        <v>1361</v>
      </c>
      <c r="F465" s="32" t="s">
        <v>1400</v>
      </c>
      <c r="G465" s="32" t="s">
        <v>1365</v>
      </c>
      <c r="H465" s="28">
        <v>1</v>
      </c>
      <c r="I465" s="28">
        <v>1</v>
      </c>
      <c r="J465" s="28">
        <v>1</v>
      </c>
      <c r="K465" s="28">
        <v>1</v>
      </c>
      <c r="L465" s="28">
        <v>1</v>
      </c>
      <c r="M465" s="28">
        <f t="shared" si="10"/>
        <v>1</v>
      </c>
    </row>
    <row r="466" spans="1:17" customFormat="1" ht="15.75">
      <c r="A466" s="2">
        <v>900</v>
      </c>
      <c r="B466" s="30" t="str">
        <f>VLOOKUP(C466,Sheet1!$A$2:$B$1132,2,FALSE)</f>
        <v>IMPORTANT</v>
      </c>
      <c r="C466" s="50" t="s">
        <v>899</v>
      </c>
      <c r="D466" s="5" t="s">
        <v>173</v>
      </c>
      <c r="E466" s="1" t="s">
        <v>1361</v>
      </c>
      <c r="F466" s="8" t="s">
        <v>1400</v>
      </c>
      <c r="G466" s="8" t="s">
        <v>1365</v>
      </c>
      <c r="H466" s="10"/>
      <c r="I466" s="10"/>
      <c r="J466" s="10"/>
      <c r="K466" s="10"/>
      <c r="L466" s="10"/>
      <c r="M466" s="10">
        <f t="shared" si="10"/>
        <v>0</v>
      </c>
      <c r="N466" s="38"/>
      <c r="O466" s="38"/>
      <c r="P466" s="38"/>
      <c r="Q466" s="27"/>
    </row>
    <row r="467" spans="1:17" customFormat="1" ht="15.75">
      <c r="A467" s="2">
        <v>900</v>
      </c>
      <c r="B467" s="30" t="str">
        <f>VLOOKUP(C467,Sheet1!$A$2:$B$1132,2,FALSE)</f>
        <v>IMPORTANT</v>
      </c>
      <c r="C467" s="51" t="s">
        <v>900</v>
      </c>
      <c r="D467" s="3" t="s">
        <v>173</v>
      </c>
      <c r="E467" s="1" t="s">
        <v>1361</v>
      </c>
      <c r="F467" s="8" t="s">
        <v>1400</v>
      </c>
      <c r="G467" s="8" t="s">
        <v>1365</v>
      </c>
      <c r="H467" s="10"/>
      <c r="I467" s="10"/>
      <c r="J467" s="10"/>
      <c r="K467" s="10"/>
      <c r="L467" s="10"/>
      <c r="M467" s="10">
        <f t="shared" si="10"/>
        <v>0</v>
      </c>
      <c r="N467" s="38"/>
      <c r="O467" s="38"/>
      <c r="P467" s="38"/>
      <c r="Q467" s="27"/>
    </row>
    <row r="468" spans="1:17" customFormat="1" ht="15.75">
      <c r="A468" s="2">
        <v>900</v>
      </c>
      <c r="B468" s="30" t="str">
        <f>VLOOKUP(C468,Sheet1!$A$2:$B$1132,2,FALSE)</f>
        <v>IMPORTANT</v>
      </c>
      <c r="C468" s="50" t="s">
        <v>901</v>
      </c>
      <c r="D468" s="5" t="s">
        <v>173</v>
      </c>
      <c r="E468" s="1" t="s">
        <v>1361</v>
      </c>
      <c r="F468" s="8" t="s">
        <v>1400</v>
      </c>
      <c r="G468" s="8" t="s">
        <v>1365</v>
      </c>
      <c r="H468" s="10"/>
      <c r="I468" s="10"/>
      <c r="J468" s="10"/>
      <c r="K468" s="10"/>
      <c r="L468" s="10"/>
      <c r="M468" s="10">
        <f t="shared" si="10"/>
        <v>0</v>
      </c>
      <c r="N468" s="38"/>
      <c r="O468" s="38"/>
      <c r="P468" s="38"/>
      <c r="Q468" s="27"/>
    </row>
    <row r="469" spans="1:17" customFormat="1" ht="15.75">
      <c r="A469" s="2">
        <v>900</v>
      </c>
      <c r="B469" s="30" t="str">
        <f>VLOOKUP(C469,Sheet1!$A$2:$B$1132,2,FALSE)</f>
        <v>IMPORTANT</v>
      </c>
      <c r="C469" s="51" t="s">
        <v>902</v>
      </c>
      <c r="D469" s="3" t="s">
        <v>173</v>
      </c>
      <c r="E469" s="1" t="s">
        <v>1361</v>
      </c>
      <c r="F469" s="8" t="s">
        <v>1400</v>
      </c>
      <c r="G469" s="8" t="s">
        <v>1365</v>
      </c>
      <c r="H469" s="10"/>
      <c r="I469" s="10"/>
      <c r="J469" s="10"/>
      <c r="K469" s="10"/>
      <c r="L469" s="10"/>
      <c r="M469" s="10">
        <f t="shared" ref="M469:M500" si="11">SUMPRODUCT(H469:L469,$AA$2:$AE$2)</f>
        <v>0</v>
      </c>
      <c r="N469" s="38"/>
      <c r="O469" s="38"/>
      <c r="P469" s="38"/>
      <c r="Q469" s="27"/>
    </row>
    <row r="470" spans="1:17" customFormat="1" ht="15.75">
      <c r="A470" s="2">
        <v>900</v>
      </c>
      <c r="B470" s="30" t="str">
        <f>VLOOKUP(C470,Sheet1!$A$2:$B$1132,2,FALSE)</f>
        <v>IMPORTANT</v>
      </c>
      <c r="C470" s="50" t="s">
        <v>903</v>
      </c>
      <c r="D470" s="5" t="s">
        <v>173</v>
      </c>
      <c r="E470" s="1" t="s">
        <v>1361</v>
      </c>
      <c r="F470" s="8" t="s">
        <v>1400</v>
      </c>
      <c r="G470" s="8" t="s">
        <v>1365</v>
      </c>
      <c r="H470" s="10"/>
      <c r="I470" s="10"/>
      <c r="J470" s="10"/>
      <c r="K470" s="10"/>
      <c r="L470" s="10"/>
      <c r="M470" s="10">
        <f t="shared" si="11"/>
        <v>0</v>
      </c>
      <c r="N470" s="38"/>
      <c r="O470" s="38"/>
      <c r="P470" s="38"/>
      <c r="Q470" s="27"/>
    </row>
    <row r="471" spans="1:17" customFormat="1" ht="15.75">
      <c r="A471" s="2">
        <v>900</v>
      </c>
      <c r="B471" s="30" t="str">
        <f>VLOOKUP(C471,Sheet1!$A$2:$B$1132,2,FALSE)</f>
        <v>IMPORTANT</v>
      </c>
      <c r="C471" s="51" t="s">
        <v>904</v>
      </c>
      <c r="D471" s="3" t="s">
        <v>173</v>
      </c>
      <c r="E471" s="1" t="s">
        <v>1361</v>
      </c>
      <c r="F471" s="8" t="s">
        <v>1400</v>
      </c>
      <c r="G471" s="8" t="s">
        <v>1365</v>
      </c>
      <c r="H471" s="10"/>
      <c r="I471" s="10"/>
      <c r="J471" s="10"/>
      <c r="K471" s="10"/>
      <c r="L471" s="10"/>
      <c r="M471" s="10">
        <f t="shared" si="11"/>
        <v>0</v>
      </c>
      <c r="N471" s="38"/>
      <c r="O471" s="38"/>
      <c r="P471" s="38"/>
      <c r="Q471" s="27"/>
    </row>
    <row r="472" spans="1:17" customFormat="1" ht="15.75">
      <c r="A472" s="2">
        <v>900</v>
      </c>
      <c r="B472" s="30" t="str">
        <f>VLOOKUP(C472,Sheet1!$A$2:$B$1132,2,FALSE)</f>
        <v>IMPORTANT</v>
      </c>
      <c r="C472" s="50" t="s">
        <v>905</v>
      </c>
      <c r="D472" s="5" t="s">
        <v>220</v>
      </c>
      <c r="E472" s="1" t="s">
        <v>1361</v>
      </c>
      <c r="F472" s="8" t="s">
        <v>1400</v>
      </c>
      <c r="G472" s="8" t="s">
        <v>1365</v>
      </c>
      <c r="H472" s="10"/>
      <c r="I472" s="10"/>
      <c r="J472" s="10"/>
      <c r="K472" s="10"/>
      <c r="L472" s="10"/>
      <c r="M472" s="10">
        <f t="shared" si="11"/>
        <v>0</v>
      </c>
      <c r="N472" s="38"/>
      <c r="O472" s="38"/>
      <c r="P472" s="38"/>
      <c r="Q472" s="27"/>
    </row>
    <row r="473" spans="1:17" customFormat="1" ht="15.75">
      <c r="A473" s="2">
        <v>900</v>
      </c>
      <c r="B473" s="30" t="str">
        <f>VLOOKUP(C473,Sheet1!$A$2:$B$1132,2,FALSE)</f>
        <v>IMPORTANT</v>
      </c>
      <c r="C473" s="50" t="s">
        <v>1113</v>
      </c>
      <c r="D473" s="5" t="s">
        <v>238</v>
      </c>
      <c r="E473" s="1" t="s">
        <v>1356</v>
      </c>
      <c r="F473" s="8" t="s">
        <v>1400</v>
      </c>
      <c r="G473" s="8" t="s">
        <v>1365</v>
      </c>
      <c r="H473" s="10"/>
      <c r="I473" s="10"/>
      <c r="J473" s="10"/>
      <c r="K473" s="10"/>
      <c r="L473" s="10"/>
      <c r="M473" s="10">
        <f t="shared" si="11"/>
        <v>0</v>
      </c>
      <c r="N473" s="38"/>
      <c r="O473" s="38"/>
      <c r="P473" s="38"/>
      <c r="Q473" s="27"/>
    </row>
    <row r="474" spans="1:17" customFormat="1" ht="15.75">
      <c r="A474" s="2">
        <v>900</v>
      </c>
      <c r="B474" s="30" t="str">
        <f>VLOOKUP(C474,Sheet1!$A$2:$B$1132,2,FALSE)</f>
        <v>VITAL</v>
      </c>
      <c r="C474" s="50" t="s">
        <v>749</v>
      </c>
      <c r="D474" s="5" t="s">
        <v>147</v>
      </c>
      <c r="E474" s="1" t="s">
        <v>1361</v>
      </c>
      <c r="F474" s="8" t="s">
        <v>1400</v>
      </c>
      <c r="G474" s="8" t="s">
        <v>1365</v>
      </c>
      <c r="H474" s="10">
        <v>1</v>
      </c>
      <c r="I474" s="10">
        <v>1</v>
      </c>
      <c r="J474" s="10">
        <v>1</v>
      </c>
      <c r="K474" s="28">
        <v>1</v>
      </c>
      <c r="L474" s="28">
        <v>1</v>
      </c>
      <c r="M474" s="10">
        <f t="shared" si="11"/>
        <v>1</v>
      </c>
      <c r="N474" s="38"/>
      <c r="O474" s="38"/>
      <c r="P474" s="38"/>
      <c r="Q474" s="27"/>
    </row>
    <row r="475" spans="1:17" customFormat="1" ht="15.75">
      <c r="A475" s="2">
        <v>900</v>
      </c>
      <c r="B475" s="30" t="str">
        <f>VLOOKUP(C475,Sheet1!$A$2:$B$1132,2,FALSE)</f>
        <v>ESSENTIAL</v>
      </c>
      <c r="C475" s="50" t="s">
        <v>820</v>
      </c>
      <c r="D475" s="5" t="s">
        <v>219</v>
      </c>
      <c r="E475" s="1" t="s">
        <v>1361</v>
      </c>
      <c r="F475" s="8" t="s">
        <v>1400</v>
      </c>
      <c r="G475" s="8" t="s">
        <v>1365</v>
      </c>
      <c r="H475" s="10"/>
      <c r="I475" s="10">
        <v>1</v>
      </c>
      <c r="J475" s="10"/>
      <c r="K475" s="10"/>
      <c r="L475" s="10"/>
      <c r="M475" s="10">
        <f t="shared" si="11"/>
        <v>0.45</v>
      </c>
      <c r="N475" s="38"/>
      <c r="O475" s="38"/>
      <c r="P475" s="38"/>
      <c r="Q475" s="27"/>
    </row>
    <row r="476" spans="1:17" customFormat="1" ht="15.75">
      <c r="A476" s="2">
        <v>900</v>
      </c>
      <c r="B476" s="30" t="str">
        <f>VLOOKUP(C476,Sheet1!$A$2:$B$1132,2,FALSE)</f>
        <v>IMPORTANT</v>
      </c>
      <c r="C476" s="50" t="s">
        <v>891</v>
      </c>
      <c r="D476" s="5" t="s">
        <v>144</v>
      </c>
      <c r="E476" s="1" t="s">
        <v>1361</v>
      </c>
      <c r="F476" s="8" t="s">
        <v>1400</v>
      </c>
      <c r="G476" s="8" t="s">
        <v>1365</v>
      </c>
      <c r="H476" s="10">
        <v>1</v>
      </c>
      <c r="I476" s="10">
        <v>1</v>
      </c>
      <c r="J476" s="10"/>
      <c r="K476" s="10"/>
      <c r="L476" s="10"/>
      <c r="M476" s="10">
        <f t="shared" si="11"/>
        <v>0.6</v>
      </c>
      <c r="N476" s="38"/>
      <c r="O476" s="38"/>
      <c r="P476" s="38"/>
      <c r="Q476" s="27"/>
    </row>
    <row r="477" spans="1:17" customFormat="1" ht="15.75">
      <c r="A477" s="2">
        <v>900</v>
      </c>
      <c r="B477" s="30" t="str">
        <f>VLOOKUP(C477,Sheet1!$A$2:$B$1132,2,FALSE)</f>
        <v>IMPORTANT</v>
      </c>
      <c r="C477" s="51" t="s">
        <v>892</v>
      </c>
      <c r="D477" s="3" t="s">
        <v>144</v>
      </c>
      <c r="E477" s="1" t="s">
        <v>1361</v>
      </c>
      <c r="F477" s="8" t="s">
        <v>1400</v>
      </c>
      <c r="G477" s="8" t="s">
        <v>1365</v>
      </c>
      <c r="H477" s="10">
        <v>1</v>
      </c>
      <c r="I477" s="10">
        <v>1</v>
      </c>
      <c r="J477" s="10"/>
      <c r="K477" s="10"/>
      <c r="L477" s="10"/>
      <c r="M477" s="10">
        <f t="shared" si="11"/>
        <v>0.6</v>
      </c>
      <c r="N477" s="38"/>
      <c r="O477" s="38"/>
      <c r="P477" s="38"/>
      <c r="Q477" s="27"/>
    </row>
    <row r="478" spans="1:17" customFormat="1" ht="15.75">
      <c r="A478" s="2">
        <v>900</v>
      </c>
      <c r="B478" s="30" t="str">
        <f>VLOOKUP(C478,Sheet1!$A$2:$B$1132,2,FALSE)</f>
        <v>VITAL</v>
      </c>
      <c r="C478" s="50" t="s">
        <v>751</v>
      </c>
      <c r="D478" s="5" t="s">
        <v>211</v>
      </c>
      <c r="E478" s="1" t="s">
        <v>1356</v>
      </c>
      <c r="F478" s="8" t="s">
        <v>1400</v>
      </c>
      <c r="G478" s="8" t="s">
        <v>1365</v>
      </c>
      <c r="H478" s="10"/>
      <c r="I478" s="10">
        <v>1</v>
      </c>
      <c r="J478" s="10"/>
      <c r="K478" s="10"/>
      <c r="L478" s="10"/>
      <c r="M478" s="10">
        <f t="shared" si="11"/>
        <v>0.45</v>
      </c>
      <c r="N478" s="38"/>
      <c r="O478" s="38"/>
      <c r="P478" s="38"/>
      <c r="Q478" s="27"/>
    </row>
    <row r="479" spans="1:17" customFormat="1" ht="15.75">
      <c r="A479" s="2">
        <v>900</v>
      </c>
      <c r="B479" s="30" t="str">
        <f>VLOOKUP(C479,Sheet1!$A$2:$B$1132,2,FALSE)</f>
        <v>VITAL</v>
      </c>
      <c r="C479" s="51" t="s">
        <v>752</v>
      </c>
      <c r="D479" s="3" t="s">
        <v>211</v>
      </c>
      <c r="E479" s="1" t="s">
        <v>1356</v>
      </c>
      <c r="F479" s="8" t="s">
        <v>1400</v>
      </c>
      <c r="G479" s="8" t="s">
        <v>1365</v>
      </c>
      <c r="H479" s="10"/>
      <c r="I479" s="10">
        <v>1</v>
      </c>
      <c r="J479" s="10"/>
      <c r="K479" s="10"/>
      <c r="L479" s="10"/>
      <c r="M479" s="10">
        <f t="shared" si="11"/>
        <v>0.45</v>
      </c>
      <c r="N479" s="38"/>
      <c r="O479" s="38"/>
      <c r="P479" s="38"/>
      <c r="Q479" s="27"/>
    </row>
    <row r="480" spans="1:17" customFormat="1" ht="15.75">
      <c r="A480" s="2">
        <v>900</v>
      </c>
      <c r="B480" s="30" t="str">
        <f>VLOOKUP(C480,Sheet1!$A$2:$B$1132,2,FALSE)</f>
        <v>ESSENTIAL</v>
      </c>
      <c r="C480" s="51" t="s">
        <v>1097</v>
      </c>
      <c r="D480" s="3" t="s">
        <v>126</v>
      </c>
      <c r="E480" s="1" t="s">
        <v>1361</v>
      </c>
      <c r="F480" s="8" t="s">
        <v>1400</v>
      </c>
      <c r="G480" s="8" t="s">
        <v>1365</v>
      </c>
      <c r="H480" s="10"/>
      <c r="I480" s="10">
        <v>1</v>
      </c>
      <c r="J480" s="10"/>
      <c r="K480" s="10"/>
      <c r="L480" s="10"/>
      <c r="M480" s="10">
        <f t="shared" si="11"/>
        <v>0.45</v>
      </c>
      <c r="N480" s="38"/>
      <c r="O480" s="38"/>
      <c r="P480" s="38"/>
      <c r="Q480" s="27"/>
    </row>
    <row r="481" spans="1:17" customFormat="1" ht="15.75">
      <c r="A481" s="2">
        <v>900</v>
      </c>
      <c r="B481" s="30" t="str">
        <f>VLOOKUP(C481,Sheet1!$A$2:$B$1132,2,FALSE)</f>
        <v>NORMAL</v>
      </c>
      <c r="C481" s="51" t="s">
        <v>1094</v>
      </c>
      <c r="D481" s="3" t="s">
        <v>243</v>
      </c>
      <c r="E481" s="1" t="s">
        <v>1361</v>
      </c>
      <c r="F481" s="8" t="s">
        <v>1400</v>
      </c>
      <c r="G481" s="8" t="s">
        <v>1365</v>
      </c>
      <c r="H481" s="10"/>
      <c r="I481" s="10"/>
      <c r="J481" s="10"/>
      <c r="K481" s="10"/>
      <c r="L481" s="10"/>
      <c r="M481" s="10">
        <f t="shared" si="11"/>
        <v>0</v>
      </c>
      <c r="N481" s="38"/>
      <c r="O481" s="38"/>
      <c r="P481" s="38"/>
      <c r="Q481" s="27"/>
    </row>
    <row r="482" spans="1:17" customFormat="1" ht="15.75">
      <c r="A482" s="2">
        <v>900</v>
      </c>
      <c r="B482" s="30" t="str">
        <f>VLOOKUP(C482,Sheet1!$A$2:$B$1132,2,FALSE)</f>
        <v>ESSENTIAL</v>
      </c>
      <c r="C482" s="50" t="s">
        <v>816</v>
      </c>
      <c r="D482" s="5" t="s">
        <v>128</v>
      </c>
      <c r="E482" s="1" t="s">
        <v>1361</v>
      </c>
      <c r="F482" s="8" t="s">
        <v>1400</v>
      </c>
      <c r="G482" s="8" t="s">
        <v>1365</v>
      </c>
      <c r="H482" s="10">
        <v>1</v>
      </c>
      <c r="I482" s="10">
        <v>1</v>
      </c>
      <c r="J482" s="10">
        <v>1</v>
      </c>
      <c r="K482" s="28">
        <v>1</v>
      </c>
      <c r="L482" s="28">
        <v>1</v>
      </c>
      <c r="M482" s="10">
        <f t="shared" si="11"/>
        <v>1</v>
      </c>
      <c r="N482" s="38"/>
      <c r="O482" s="38"/>
      <c r="P482" s="38"/>
      <c r="Q482" s="27"/>
    </row>
    <row r="483" spans="1:17" customFormat="1" ht="15.75">
      <c r="A483" s="2">
        <v>900</v>
      </c>
      <c r="B483" s="30" t="str">
        <f>VLOOKUP(C483,Sheet1!$A$2:$B$1132,2,FALSE)</f>
        <v>ESSENTIAL</v>
      </c>
      <c r="C483" s="51" t="s">
        <v>817</v>
      </c>
      <c r="D483" s="3" t="s">
        <v>128</v>
      </c>
      <c r="E483" s="1" t="s">
        <v>1361</v>
      </c>
      <c r="F483" s="8" t="s">
        <v>1400</v>
      </c>
      <c r="G483" s="8" t="s">
        <v>1365</v>
      </c>
      <c r="H483" s="10">
        <v>1</v>
      </c>
      <c r="I483" s="10">
        <v>1</v>
      </c>
      <c r="J483" s="10">
        <v>1</v>
      </c>
      <c r="K483" s="28">
        <v>1</v>
      </c>
      <c r="L483" s="28">
        <v>1</v>
      </c>
      <c r="M483" s="10">
        <f t="shared" si="11"/>
        <v>1</v>
      </c>
      <c r="N483" s="38"/>
      <c r="O483" s="38"/>
      <c r="P483" s="38"/>
      <c r="Q483" s="27"/>
    </row>
    <row r="484" spans="1:17" customFormat="1" ht="15.75">
      <c r="A484" s="2">
        <v>900</v>
      </c>
      <c r="B484" s="30" t="str">
        <f>VLOOKUP(C484,Sheet1!$A$2:$B$1132,2,FALSE)</f>
        <v>ESSENTIAL</v>
      </c>
      <c r="C484" s="50" t="s">
        <v>818</v>
      </c>
      <c r="D484" s="5" t="s">
        <v>128</v>
      </c>
      <c r="E484" s="1" t="s">
        <v>1361</v>
      </c>
      <c r="F484" s="8" t="s">
        <v>1400</v>
      </c>
      <c r="G484" s="8" t="s">
        <v>1365</v>
      </c>
      <c r="H484" s="10">
        <v>1</v>
      </c>
      <c r="I484" s="10">
        <v>1</v>
      </c>
      <c r="J484" s="10">
        <v>1</v>
      </c>
      <c r="K484" s="28">
        <v>1</v>
      </c>
      <c r="L484" s="28">
        <v>1</v>
      </c>
      <c r="M484" s="10">
        <f t="shared" si="11"/>
        <v>1</v>
      </c>
      <c r="N484" s="38"/>
      <c r="O484" s="38"/>
      <c r="P484" s="38"/>
      <c r="Q484" s="27"/>
    </row>
    <row r="485" spans="1:17" customFormat="1" ht="15.75">
      <c r="A485" s="2">
        <v>900</v>
      </c>
      <c r="B485" s="30" t="str">
        <f>VLOOKUP(C485,Sheet1!$A$2:$B$1132,2,FALSE)</f>
        <v>ESSENTIAL</v>
      </c>
      <c r="C485" s="51" t="s">
        <v>819</v>
      </c>
      <c r="D485" s="3" t="s">
        <v>128</v>
      </c>
      <c r="E485" s="1" t="s">
        <v>1361</v>
      </c>
      <c r="F485" s="8" t="s">
        <v>1400</v>
      </c>
      <c r="G485" s="8" t="s">
        <v>1365</v>
      </c>
      <c r="H485" s="10">
        <v>1</v>
      </c>
      <c r="I485" s="10">
        <v>1</v>
      </c>
      <c r="J485" s="10">
        <v>1</v>
      </c>
      <c r="K485" s="28">
        <v>1</v>
      </c>
      <c r="L485" s="28">
        <v>1</v>
      </c>
      <c r="M485" s="10">
        <f t="shared" si="11"/>
        <v>1</v>
      </c>
      <c r="N485" s="38"/>
      <c r="O485" s="38"/>
      <c r="P485" s="38"/>
      <c r="Q485" s="27"/>
    </row>
    <row r="486" spans="1:17" customFormat="1" ht="15.75">
      <c r="A486" s="2">
        <v>900</v>
      </c>
      <c r="B486" s="30" t="str">
        <f>VLOOKUP(C486,Sheet1!$A$2:$B$1132,2,FALSE)</f>
        <v>NORMAL</v>
      </c>
      <c r="C486" s="51" t="s">
        <v>1121</v>
      </c>
      <c r="D486" s="3" t="s">
        <v>82</v>
      </c>
      <c r="E486" s="1" t="s">
        <v>1361</v>
      </c>
      <c r="F486" s="8" t="s">
        <v>1400</v>
      </c>
      <c r="G486" s="8" t="s">
        <v>1365</v>
      </c>
      <c r="H486" s="10"/>
      <c r="I486" s="10"/>
      <c r="J486" s="10"/>
      <c r="K486" s="10"/>
      <c r="L486" s="10"/>
      <c r="M486" s="10">
        <f t="shared" si="11"/>
        <v>0</v>
      </c>
      <c r="N486" s="38"/>
      <c r="O486" s="38"/>
      <c r="P486" s="38"/>
      <c r="Q486" s="27"/>
    </row>
    <row r="487" spans="1:17" ht="15.75">
      <c r="A487" s="30">
        <v>900</v>
      </c>
      <c r="B487" s="30" t="str">
        <f>VLOOKUP(C487,Sheet1!$A$2:$B$1132,2,FALSE)</f>
        <v>VITAL</v>
      </c>
      <c r="C487" s="49" t="s">
        <v>707</v>
      </c>
      <c r="D487" s="31" t="s">
        <v>129</v>
      </c>
      <c r="E487" s="35" t="s">
        <v>1356</v>
      </c>
      <c r="F487" s="32" t="s">
        <v>1400</v>
      </c>
      <c r="G487" s="32" t="s">
        <v>1365</v>
      </c>
      <c r="H487" s="28"/>
      <c r="I487" s="28">
        <v>1</v>
      </c>
      <c r="J487" s="28"/>
      <c r="K487" s="28"/>
      <c r="L487" s="28"/>
      <c r="M487" s="28">
        <f t="shared" si="11"/>
        <v>0.45</v>
      </c>
    </row>
    <row r="488" spans="1:17" ht="15.75">
      <c r="A488" s="30">
        <v>900</v>
      </c>
      <c r="B488" s="30" t="str">
        <f>VLOOKUP(C488,Sheet1!$A$2:$B$1132,2,FALSE)</f>
        <v>VITAL</v>
      </c>
      <c r="C488" s="49" t="s">
        <v>715</v>
      </c>
      <c r="D488" s="31" t="s">
        <v>175</v>
      </c>
      <c r="E488" s="35" t="s">
        <v>1356</v>
      </c>
      <c r="F488" s="32" t="s">
        <v>1400</v>
      </c>
      <c r="G488" s="32" t="s">
        <v>1365</v>
      </c>
      <c r="H488" s="28"/>
      <c r="I488" s="28">
        <v>1</v>
      </c>
      <c r="J488" s="28"/>
      <c r="K488" s="28"/>
      <c r="L488" s="28"/>
      <c r="M488" s="28">
        <f t="shared" si="11"/>
        <v>0.45</v>
      </c>
    </row>
    <row r="489" spans="1:17" customFormat="1" ht="15.75">
      <c r="A489" s="2">
        <v>900</v>
      </c>
      <c r="B489" s="30" t="str">
        <f>VLOOKUP(C489,Sheet1!$A$2:$B$1132,2,FALSE)</f>
        <v>ESSENTIAL</v>
      </c>
      <c r="C489" s="50" t="s">
        <v>800</v>
      </c>
      <c r="D489" s="5" t="s">
        <v>234</v>
      </c>
      <c r="E489" s="1" t="s">
        <v>1361</v>
      </c>
      <c r="F489" s="8" t="s">
        <v>1400</v>
      </c>
      <c r="G489" s="8" t="s">
        <v>1365</v>
      </c>
      <c r="H489" s="10"/>
      <c r="I489" s="10">
        <v>1</v>
      </c>
      <c r="J489" s="10"/>
      <c r="K489" s="10"/>
      <c r="L489" s="10"/>
      <c r="M489" s="10">
        <f t="shared" si="11"/>
        <v>0.45</v>
      </c>
      <c r="N489" s="38"/>
      <c r="O489" s="38"/>
      <c r="P489" s="38"/>
      <c r="Q489" s="27"/>
    </row>
    <row r="490" spans="1:17" customFormat="1" ht="15.75">
      <c r="A490" s="2">
        <v>900</v>
      </c>
      <c r="B490" s="30" t="str">
        <f>VLOOKUP(C490,Sheet1!$A$2:$B$1132,2,FALSE)</f>
        <v>ESSENTIAL</v>
      </c>
      <c r="C490" s="51" t="s">
        <v>801</v>
      </c>
      <c r="D490" s="3" t="s">
        <v>234</v>
      </c>
      <c r="E490" s="1" t="s">
        <v>1361</v>
      </c>
      <c r="F490" s="8" t="s">
        <v>1400</v>
      </c>
      <c r="G490" s="8" t="s">
        <v>1365</v>
      </c>
      <c r="H490" s="10"/>
      <c r="I490" s="10">
        <v>1</v>
      </c>
      <c r="J490" s="10"/>
      <c r="K490" s="10"/>
      <c r="L490" s="10"/>
      <c r="M490" s="10">
        <f t="shared" si="11"/>
        <v>0.45</v>
      </c>
      <c r="N490" s="38"/>
      <c r="O490" s="38"/>
      <c r="P490" s="38"/>
      <c r="Q490" s="27"/>
    </row>
    <row r="491" spans="1:17" customFormat="1" ht="15.75">
      <c r="A491" s="2">
        <v>900</v>
      </c>
      <c r="B491" s="30" t="str">
        <f>VLOOKUP(C491,Sheet1!$A$2:$B$1132,2,FALSE)</f>
        <v>IMPORTANT</v>
      </c>
      <c r="C491" s="50" t="s">
        <v>917</v>
      </c>
      <c r="D491" s="5" t="s">
        <v>12</v>
      </c>
      <c r="E491" s="1" t="s">
        <v>1361</v>
      </c>
      <c r="F491" s="8" t="s">
        <v>1400</v>
      </c>
      <c r="G491" s="8" t="s">
        <v>1365</v>
      </c>
      <c r="H491" s="10">
        <v>1</v>
      </c>
      <c r="I491" s="10">
        <v>1</v>
      </c>
      <c r="J491" s="28">
        <v>1</v>
      </c>
      <c r="K491" s="28">
        <v>1</v>
      </c>
      <c r="L491" s="28">
        <v>1</v>
      </c>
      <c r="M491" s="10">
        <f t="shared" si="11"/>
        <v>1</v>
      </c>
      <c r="N491" s="38"/>
      <c r="O491" s="38"/>
      <c r="P491" s="38"/>
      <c r="Q491" s="27"/>
    </row>
    <row r="492" spans="1:17" customFormat="1" ht="15.75">
      <c r="A492" s="2">
        <v>900</v>
      </c>
      <c r="B492" s="30" t="str">
        <f>VLOOKUP(C492,Sheet1!$A$2:$B$1132,2,FALSE)</f>
        <v>IMPORTANT</v>
      </c>
      <c r="C492" s="51" t="s">
        <v>918</v>
      </c>
      <c r="D492" s="3" t="s">
        <v>12</v>
      </c>
      <c r="E492" s="1" t="s">
        <v>1361</v>
      </c>
      <c r="F492" s="8" t="s">
        <v>1400</v>
      </c>
      <c r="G492" s="8" t="s">
        <v>1365</v>
      </c>
      <c r="H492" s="10">
        <v>1</v>
      </c>
      <c r="I492" s="10">
        <v>1</v>
      </c>
      <c r="J492" s="28">
        <v>1</v>
      </c>
      <c r="K492" s="28">
        <v>1</v>
      </c>
      <c r="L492" s="28">
        <v>1</v>
      </c>
      <c r="M492" s="10">
        <f t="shared" si="11"/>
        <v>1</v>
      </c>
      <c r="N492" s="38"/>
      <c r="O492" s="38"/>
      <c r="P492" s="38"/>
      <c r="Q492" s="27"/>
    </row>
    <row r="493" spans="1:17" customFormat="1" ht="15.75">
      <c r="A493" s="2">
        <v>900</v>
      </c>
      <c r="B493" s="30" t="str">
        <f>VLOOKUP(C493,Sheet1!$A$2:$B$1132,2,FALSE)</f>
        <v>NORMAL</v>
      </c>
      <c r="C493" s="50" t="s">
        <v>1154</v>
      </c>
      <c r="D493" s="5" t="s">
        <v>12</v>
      </c>
      <c r="E493" s="1" t="s">
        <v>1361</v>
      </c>
      <c r="F493" s="8" t="s">
        <v>1400</v>
      </c>
      <c r="G493" s="8" t="s">
        <v>1365</v>
      </c>
      <c r="H493" s="10">
        <v>1</v>
      </c>
      <c r="I493" s="10"/>
      <c r="J493" s="28">
        <v>1</v>
      </c>
      <c r="K493" s="10"/>
      <c r="L493" s="10"/>
      <c r="M493" s="10">
        <f t="shared" si="11"/>
        <v>0.43000000000000005</v>
      </c>
      <c r="N493" s="38"/>
      <c r="O493" s="38"/>
      <c r="P493" s="38"/>
      <c r="Q493" s="27"/>
    </row>
    <row r="494" spans="1:17" customFormat="1" ht="15.75">
      <c r="A494" s="2">
        <v>900</v>
      </c>
      <c r="B494" s="30" t="str">
        <f>VLOOKUP(C494,Sheet1!$A$2:$B$1132,2,FALSE)</f>
        <v>NORMAL</v>
      </c>
      <c r="C494" s="51" t="s">
        <v>1155</v>
      </c>
      <c r="D494" s="3" t="s">
        <v>12</v>
      </c>
      <c r="E494" s="1" t="s">
        <v>1361</v>
      </c>
      <c r="F494" s="8" t="s">
        <v>1400</v>
      </c>
      <c r="G494" s="8" t="s">
        <v>1365</v>
      </c>
      <c r="H494" s="10">
        <v>1</v>
      </c>
      <c r="I494" s="10"/>
      <c r="J494" s="28">
        <v>1</v>
      </c>
      <c r="K494" s="10"/>
      <c r="L494" s="10"/>
      <c r="M494" s="10">
        <f t="shared" si="11"/>
        <v>0.43000000000000005</v>
      </c>
      <c r="N494" s="38"/>
      <c r="O494" s="38"/>
      <c r="P494" s="38"/>
      <c r="Q494" s="27"/>
    </row>
    <row r="495" spans="1:17" customFormat="1" ht="15.75">
      <c r="A495" s="2">
        <v>1000</v>
      </c>
      <c r="B495" s="30" t="str">
        <f>VLOOKUP(C495,Sheet1!$A$2:$B$1132,2,FALSE)</f>
        <v>ESSENTIAL</v>
      </c>
      <c r="C495" s="51" t="s">
        <v>33</v>
      </c>
      <c r="D495" s="3" t="s">
        <v>181</v>
      </c>
      <c r="E495" s="1" t="s">
        <v>1356</v>
      </c>
      <c r="F495" s="8" t="s">
        <v>1400</v>
      </c>
      <c r="G495" s="8" t="s">
        <v>1367</v>
      </c>
      <c r="H495" s="10"/>
      <c r="I495" s="10"/>
      <c r="J495" s="10"/>
      <c r="K495" s="10"/>
      <c r="L495" s="10"/>
      <c r="M495" s="10">
        <f t="shared" si="11"/>
        <v>0</v>
      </c>
      <c r="N495" s="38"/>
      <c r="O495" s="38"/>
      <c r="P495" s="38"/>
      <c r="Q495" s="27"/>
    </row>
    <row r="496" spans="1:17" customFormat="1" ht="15.75">
      <c r="A496" s="2">
        <v>1000</v>
      </c>
      <c r="B496" s="30" t="str">
        <f>VLOOKUP(C496,Sheet1!$A$2:$B$1132,2,FALSE)</f>
        <v>ESSENTIAL</v>
      </c>
      <c r="C496" s="50" t="s">
        <v>32</v>
      </c>
      <c r="D496" s="5" t="s">
        <v>184</v>
      </c>
      <c r="E496" s="1" t="s">
        <v>1356</v>
      </c>
      <c r="F496" s="8" t="s">
        <v>1400</v>
      </c>
      <c r="G496" s="8" t="s">
        <v>1367</v>
      </c>
      <c r="H496" s="10"/>
      <c r="I496" s="10"/>
      <c r="J496" s="10"/>
      <c r="K496" s="10"/>
      <c r="L496" s="10"/>
      <c r="M496" s="10">
        <f t="shared" si="11"/>
        <v>0</v>
      </c>
      <c r="N496" s="38"/>
      <c r="O496" s="38"/>
      <c r="P496" s="38"/>
      <c r="Q496" s="27"/>
    </row>
    <row r="497" spans="1:17" customFormat="1" ht="15.75">
      <c r="A497" s="2">
        <v>1000</v>
      </c>
      <c r="B497" s="30" t="str">
        <f>VLOOKUP(C497,Sheet1!$A$2:$B$1132,2,FALSE)</f>
        <v>ESSENTIAL</v>
      </c>
      <c r="C497" s="51" t="s">
        <v>31</v>
      </c>
      <c r="D497" s="3" t="s">
        <v>182</v>
      </c>
      <c r="E497" s="1" t="s">
        <v>1356</v>
      </c>
      <c r="F497" s="8" t="s">
        <v>1400</v>
      </c>
      <c r="G497" s="8" t="s">
        <v>1367</v>
      </c>
      <c r="H497" s="10"/>
      <c r="I497" s="10"/>
      <c r="J497" s="10"/>
      <c r="K497" s="10"/>
      <c r="L497" s="10"/>
      <c r="M497" s="10">
        <f t="shared" si="11"/>
        <v>0</v>
      </c>
      <c r="N497" s="38"/>
      <c r="O497" s="38"/>
      <c r="P497" s="38"/>
      <c r="Q497" s="27"/>
    </row>
    <row r="498" spans="1:17" customFormat="1" ht="15.75">
      <c r="A498" s="2">
        <v>1000</v>
      </c>
      <c r="B498" s="30" t="str">
        <f>VLOOKUP(C498,Sheet1!$A$2:$B$1132,2,FALSE)</f>
        <v>ESSENTIAL</v>
      </c>
      <c r="C498" s="51" t="s">
        <v>30</v>
      </c>
      <c r="D498" s="3" t="s">
        <v>188</v>
      </c>
      <c r="E498" s="1" t="s">
        <v>1356</v>
      </c>
      <c r="F498" s="8" t="s">
        <v>1400</v>
      </c>
      <c r="G498" s="8" t="s">
        <v>1367</v>
      </c>
      <c r="H498" s="10"/>
      <c r="I498" s="10"/>
      <c r="J498" s="10"/>
      <c r="K498" s="10"/>
      <c r="L498" s="10"/>
      <c r="M498" s="10">
        <f t="shared" si="11"/>
        <v>0</v>
      </c>
      <c r="N498" s="38"/>
      <c r="O498" s="38"/>
      <c r="P498" s="38"/>
      <c r="Q498" s="27"/>
    </row>
    <row r="499" spans="1:17" customFormat="1" ht="15.75">
      <c r="A499" s="2">
        <v>1000</v>
      </c>
      <c r="B499" s="30" t="str">
        <f>VLOOKUP(C499,Sheet1!$A$2:$B$1132,2,FALSE)</f>
        <v>ESSENTIAL</v>
      </c>
      <c r="C499" s="50" t="s">
        <v>29</v>
      </c>
      <c r="D499" s="5" t="s">
        <v>183</v>
      </c>
      <c r="E499" s="1" t="s">
        <v>1356</v>
      </c>
      <c r="F499" s="8" t="s">
        <v>1400</v>
      </c>
      <c r="G499" s="8" t="s">
        <v>1367</v>
      </c>
      <c r="H499" s="10"/>
      <c r="I499" s="10"/>
      <c r="J499" s="10"/>
      <c r="K499" s="10"/>
      <c r="L499" s="10"/>
      <c r="M499" s="10">
        <f t="shared" si="11"/>
        <v>0</v>
      </c>
      <c r="N499" s="38"/>
      <c r="O499" s="38"/>
      <c r="P499" s="38"/>
      <c r="Q499" s="27"/>
    </row>
    <row r="500" spans="1:17" customFormat="1" ht="15.75">
      <c r="A500" s="2">
        <v>1000</v>
      </c>
      <c r="B500" s="30" t="str">
        <f>VLOOKUP(C500,Sheet1!$A$2:$B$1132,2,FALSE)</f>
        <v>ESSENTIAL</v>
      </c>
      <c r="C500" s="50" t="s">
        <v>28</v>
      </c>
      <c r="D500" s="5" t="s">
        <v>178</v>
      </c>
      <c r="E500" s="1" t="s">
        <v>1356</v>
      </c>
      <c r="F500" s="8" t="s">
        <v>1400</v>
      </c>
      <c r="G500" s="8" t="s">
        <v>1367</v>
      </c>
      <c r="H500" s="10"/>
      <c r="I500" s="10"/>
      <c r="J500" s="10"/>
      <c r="K500" s="10"/>
      <c r="L500" s="10"/>
      <c r="M500" s="10">
        <f t="shared" si="11"/>
        <v>0</v>
      </c>
      <c r="N500" s="38"/>
      <c r="O500" s="38"/>
      <c r="P500" s="38"/>
      <c r="Q500" s="27"/>
    </row>
    <row r="501" spans="1:17" customFormat="1" ht="15.75">
      <c r="A501" s="2">
        <v>1000</v>
      </c>
      <c r="B501" s="30" t="str">
        <f>VLOOKUP(C501,Sheet1!$A$2:$B$1132,2,FALSE)</f>
        <v>ESSENTIAL</v>
      </c>
      <c r="C501" s="50" t="s">
        <v>27</v>
      </c>
      <c r="D501" s="5" t="s">
        <v>176</v>
      </c>
      <c r="E501" s="1" t="s">
        <v>1356</v>
      </c>
      <c r="F501" s="8" t="s">
        <v>1400</v>
      </c>
      <c r="G501" s="8" t="s">
        <v>1367</v>
      </c>
      <c r="H501" s="10"/>
      <c r="I501" s="10"/>
      <c r="J501" s="10"/>
      <c r="K501" s="10"/>
      <c r="L501" s="10"/>
      <c r="M501" s="10">
        <f t="shared" ref="M501:M532" si="12">SUMPRODUCT(H501:L501,$AA$2:$AE$2)</f>
        <v>0</v>
      </c>
      <c r="N501" s="38"/>
      <c r="O501" s="38"/>
      <c r="P501" s="38"/>
      <c r="Q501" s="27"/>
    </row>
    <row r="502" spans="1:17" customFormat="1" ht="15.75">
      <c r="A502" s="2">
        <v>1000</v>
      </c>
      <c r="B502" s="30" t="str">
        <f>VLOOKUP(C502,Sheet1!$A$2:$B$1132,2,FALSE)</f>
        <v>ESSENTIAL</v>
      </c>
      <c r="C502" s="51" t="s">
        <v>26</v>
      </c>
      <c r="D502" s="3" t="s">
        <v>186</v>
      </c>
      <c r="E502" s="1" t="s">
        <v>1356</v>
      </c>
      <c r="F502" s="8" t="s">
        <v>1400</v>
      </c>
      <c r="G502" s="8" t="s">
        <v>1367</v>
      </c>
      <c r="H502" s="10"/>
      <c r="I502" s="10"/>
      <c r="J502" s="10"/>
      <c r="K502" s="10"/>
      <c r="L502" s="10"/>
      <c r="M502" s="10">
        <f t="shared" si="12"/>
        <v>0</v>
      </c>
      <c r="N502" s="38"/>
      <c r="O502" s="38"/>
      <c r="P502" s="38"/>
      <c r="Q502" s="27"/>
    </row>
    <row r="503" spans="1:17" customFormat="1" ht="15.75">
      <c r="A503" s="2">
        <v>1000</v>
      </c>
      <c r="B503" s="30" t="str">
        <f>VLOOKUP(C503,Sheet1!$A$2:$B$1132,2,FALSE)</f>
        <v>ESSENTIAL</v>
      </c>
      <c r="C503" s="51" t="s">
        <v>25</v>
      </c>
      <c r="D503" s="3" t="s">
        <v>179</v>
      </c>
      <c r="E503" s="1" t="s">
        <v>1356</v>
      </c>
      <c r="F503" s="8" t="s">
        <v>1400</v>
      </c>
      <c r="G503" s="8" t="s">
        <v>1367</v>
      </c>
      <c r="H503" s="10"/>
      <c r="I503" s="10"/>
      <c r="J503" s="10"/>
      <c r="K503" s="10"/>
      <c r="L503" s="10"/>
      <c r="M503" s="10">
        <f t="shared" si="12"/>
        <v>0</v>
      </c>
      <c r="N503" s="38"/>
      <c r="O503" s="38"/>
      <c r="P503" s="38"/>
      <c r="Q503" s="27"/>
    </row>
    <row r="504" spans="1:17" customFormat="1" ht="15.75">
      <c r="A504" s="2">
        <v>1000</v>
      </c>
      <c r="B504" s="30" t="str">
        <f>VLOOKUP(C504,Sheet1!$A$2:$B$1132,2,FALSE)</f>
        <v>ESSENTIAL</v>
      </c>
      <c r="C504" s="50" t="s">
        <v>24</v>
      </c>
      <c r="D504" s="5" t="s">
        <v>180</v>
      </c>
      <c r="E504" s="1" t="s">
        <v>1356</v>
      </c>
      <c r="F504" s="8" t="s">
        <v>1400</v>
      </c>
      <c r="G504" s="8" t="s">
        <v>1367</v>
      </c>
      <c r="H504" s="10"/>
      <c r="I504" s="10"/>
      <c r="J504" s="10"/>
      <c r="K504" s="10"/>
      <c r="L504" s="10"/>
      <c r="M504" s="10">
        <f t="shared" si="12"/>
        <v>0</v>
      </c>
      <c r="N504" s="38"/>
      <c r="O504" s="38"/>
      <c r="P504" s="38"/>
      <c r="Q504" s="27"/>
    </row>
    <row r="505" spans="1:17" customFormat="1" ht="15.75">
      <c r="A505" s="2">
        <v>1000</v>
      </c>
      <c r="B505" s="30" t="str">
        <f>VLOOKUP(C505,Sheet1!$A$2:$B$1132,2,FALSE)</f>
        <v>ESSENTIAL</v>
      </c>
      <c r="C505" s="51" t="s">
        <v>23</v>
      </c>
      <c r="D505" s="3" t="s">
        <v>180</v>
      </c>
      <c r="E505" s="1" t="s">
        <v>1356</v>
      </c>
      <c r="F505" s="8" t="s">
        <v>1400</v>
      </c>
      <c r="G505" s="8" t="s">
        <v>1367</v>
      </c>
      <c r="H505" s="10"/>
      <c r="I505" s="10"/>
      <c r="J505" s="10"/>
      <c r="K505" s="10"/>
      <c r="L505" s="10"/>
      <c r="M505" s="10">
        <f t="shared" si="12"/>
        <v>0</v>
      </c>
      <c r="N505" s="38"/>
      <c r="O505" s="38"/>
      <c r="P505" s="38"/>
      <c r="Q505" s="27"/>
    </row>
    <row r="506" spans="1:17" customFormat="1" ht="15.75">
      <c r="A506" s="2">
        <v>1000</v>
      </c>
      <c r="B506" s="30" t="str">
        <f>VLOOKUP(C506,Sheet1!$A$2:$B$1132,2,FALSE)</f>
        <v>ESSENTIAL</v>
      </c>
      <c r="C506" s="50" t="s">
        <v>22</v>
      </c>
      <c r="D506" s="5" t="s">
        <v>180</v>
      </c>
      <c r="E506" s="1" t="s">
        <v>1356</v>
      </c>
      <c r="F506" s="8" t="s">
        <v>1400</v>
      </c>
      <c r="G506" s="8" t="s">
        <v>1367</v>
      </c>
      <c r="H506" s="10"/>
      <c r="I506" s="10"/>
      <c r="J506" s="10"/>
      <c r="K506" s="10"/>
      <c r="L506" s="10"/>
      <c r="M506" s="10">
        <f t="shared" si="12"/>
        <v>0</v>
      </c>
      <c r="N506" s="38"/>
      <c r="O506" s="38"/>
      <c r="P506" s="38"/>
      <c r="Q506" s="27"/>
    </row>
    <row r="507" spans="1:17" customFormat="1" ht="15.75">
      <c r="A507" s="2">
        <v>1000</v>
      </c>
      <c r="B507" s="30" t="str">
        <f>VLOOKUP(C507,Sheet1!$A$2:$B$1132,2,FALSE)</f>
        <v>ESSENTIAL</v>
      </c>
      <c r="C507" s="50" t="s">
        <v>21</v>
      </c>
      <c r="D507" s="5" t="s">
        <v>189</v>
      </c>
      <c r="E507" s="1" t="s">
        <v>1356</v>
      </c>
      <c r="F507" s="8" t="s">
        <v>1400</v>
      </c>
      <c r="G507" s="8" t="s">
        <v>1367</v>
      </c>
      <c r="H507" s="10"/>
      <c r="I507" s="10"/>
      <c r="J507" s="10"/>
      <c r="K507" s="10"/>
      <c r="L507" s="10"/>
      <c r="M507" s="10">
        <f t="shared" si="12"/>
        <v>0</v>
      </c>
      <c r="N507" s="38"/>
      <c r="O507" s="38"/>
      <c r="P507" s="38"/>
      <c r="Q507" s="27"/>
    </row>
    <row r="508" spans="1:17" customFormat="1" ht="15.75">
      <c r="A508" s="2">
        <v>1000</v>
      </c>
      <c r="B508" s="30" t="str">
        <f>VLOOKUP(C508,Sheet1!$A$2:$B$1132,2,FALSE)</f>
        <v>ESSENTIAL</v>
      </c>
      <c r="C508" s="50" t="s">
        <v>20</v>
      </c>
      <c r="D508" s="5" t="s">
        <v>192</v>
      </c>
      <c r="E508" s="1" t="s">
        <v>1356</v>
      </c>
      <c r="F508" s="8" t="s">
        <v>1400</v>
      </c>
      <c r="G508" s="8" t="s">
        <v>1367</v>
      </c>
      <c r="H508" s="10"/>
      <c r="I508" s="10"/>
      <c r="J508" s="10"/>
      <c r="K508" s="10"/>
      <c r="L508" s="10"/>
      <c r="M508" s="10">
        <f t="shared" si="12"/>
        <v>0</v>
      </c>
      <c r="N508" s="38"/>
      <c r="O508" s="38"/>
      <c r="P508" s="38"/>
      <c r="Q508" s="27"/>
    </row>
    <row r="509" spans="1:17" customFormat="1" ht="15.75">
      <c r="A509" s="2">
        <v>1000</v>
      </c>
      <c r="B509" s="30" t="str">
        <f>VLOOKUP(C509,Sheet1!$A$2:$B$1132,2,FALSE)</f>
        <v>ESSENTIAL</v>
      </c>
      <c r="C509" s="50" t="s">
        <v>19</v>
      </c>
      <c r="D509" s="5" t="s">
        <v>187</v>
      </c>
      <c r="E509" s="1" t="s">
        <v>1356</v>
      </c>
      <c r="F509" s="8" t="s">
        <v>1400</v>
      </c>
      <c r="G509" s="8" t="s">
        <v>1367</v>
      </c>
      <c r="H509" s="10"/>
      <c r="I509" s="10"/>
      <c r="J509" s="10"/>
      <c r="K509" s="10"/>
      <c r="L509" s="10"/>
      <c r="M509" s="10">
        <f t="shared" si="12"/>
        <v>0</v>
      </c>
      <c r="N509" s="38"/>
      <c r="O509" s="38"/>
      <c r="P509" s="38"/>
      <c r="Q509" s="27"/>
    </row>
    <row r="510" spans="1:17" customFormat="1" ht="15.75">
      <c r="A510" s="2">
        <v>1000</v>
      </c>
      <c r="B510" s="30" t="str">
        <f>VLOOKUP(C510,Sheet1!$A$2:$B$1132,2,FALSE)</f>
        <v>ESSENTIAL</v>
      </c>
      <c r="C510" s="51" t="s">
        <v>18</v>
      </c>
      <c r="D510" s="3" t="s">
        <v>191</v>
      </c>
      <c r="E510" s="1" t="s">
        <v>1356</v>
      </c>
      <c r="F510" s="8" t="s">
        <v>1400</v>
      </c>
      <c r="G510" s="8" t="s">
        <v>1367</v>
      </c>
      <c r="H510" s="10"/>
      <c r="I510" s="10"/>
      <c r="J510" s="10"/>
      <c r="K510" s="10"/>
      <c r="L510" s="10"/>
      <c r="M510" s="10">
        <f t="shared" si="12"/>
        <v>0</v>
      </c>
      <c r="N510" s="38"/>
      <c r="O510" s="38"/>
      <c r="P510" s="38"/>
      <c r="Q510" s="27"/>
    </row>
    <row r="511" spans="1:17" customFormat="1" ht="15.75">
      <c r="A511" s="2">
        <v>1000</v>
      </c>
      <c r="B511" s="30" t="str">
        <f>VLOOKUP(C511,Sheet1!$A$2:$B$1132,2,FALSE)</f>
        <v>ESSENTIAL</v>
      </c>
      <c r="C511" s="51" t="s">
        <v>17</v>
      </c>
      <c r="D511" s="3" t="s">
        <v>185</v>
      </c>
      <c r="E511" s="1" t="s">
        <v>1356</v>
      </c>
      <c r="F511" s="8" t="s">
        <v>1400</v>
      </c>
      <c r="G511" s="8" t="s">
        <v>1367</v>
      </c>
      <c r="H511" s="10"/>
      <c r="I511" s="10"/>
      <c r="J511" s="10"/>
      <c r="K511" s="10"/>
      <c r="L511" s="10"/>
      <c r="M511" s="10">
        <f t="shared" si="12"/>
        <v>0</v>
      </c>
      <c r="N511" s="38"/>
      <c r="O511" s="38"/>
      <c r="P511" s="38"/>
      <c r="Q511" s="27"/>
    </row>
    <row r="512" spans="1:17" customFormat="1" ht="15.75">
      <c r="A512" s="2">
        <v>1000</v>
      </c>
      <c r="B512" s="30" t="str">
        <f>VLOOKUP(C512,Sheet1!$A$2:$B$1132,2,FALSE)</f>
        <v>ESSENTIAL</v>
      </c>
      <c r="C512" s="51" t="s">
        <v>107</v>
      </c>
      <c r="D512" s="3" t="s">
        <v>190</v>
      </c>
      <c r="E512" s="1" t="s">
        <v>1356</v>
      </c>
      <c r="F512" s="8" t="s">
        <v>1400</v>
      </c>
      <c r="G512" s="8" t="s">
        <v>1367</v>
      </c>
      <c r="H512" s="10"/>
      <c r="I512" s="10"/>
      <c r="J512" s="10"/>
      <c r="K512" s="10"/>
      <c r="L512" s="10"/>
      <c r="M512" s="10">
        <f t="shared" si="12"/>
        <v>0</v>
      </c>
      <c r="N512" s="38"/>
      <c r="O512" s="38"/>
      <c r="P512" s="38"/>
      <c r="Q512" s="27"/>
    </row>
    <row r="513" spans="1:17" customFormat="1" ht="15.75">
      <c r="A513" s="2">
        <v>1000</v>
      </c>
      <c r="B513" s="30" t="str">
        <f>VLOOKUP(C513,Sheet1!$A$2:$B$1132,2,FALSE)</f>
        <v>ESSENTIAL</v>
      </c>
      <c r="C513" s="51" t="s">
        <v>16</v>
      </c>
      <c r="D513" s="3" t="s">
        <v>177</v>
      </c>
      <c r="E513" s="1" t="s">
        <v>1356</v>
      </c>
      <c r="F513" s="8" t="s">
        <v>1400</v>
      </c>
      <c r="G513" s="8" t="s">
        <v>1367</v>
      </c>
      <c r="H513" s="10"/>
      <c r="I513" s="10"/>
      <c r="J513" s="10"/>
      <c r="K513" s="10"/>
      <c r="L513" s="10"/>
      <c r="M513" s="10">
        <f t="shared" si="12"/>
        <v>0</v>
      </c>
      <c r="N513" s="38"/>
      <c r="O513" s="38"/>
      <c r="P513" s="38"/>
      <c r="Q513" s="27"/>
    </row>
    <row r="514" spans="1:17" customFormat="1" ht="15.75">
      <c r="A514" s="2">
        <v>1000</v>
      </c>
      <c r="B514" s="30" t="str">
        <f>VLOOKUP(C514,Sheet1!$A$2:$B$1132,2,FALSE)</f>
        <v>ESSENTIAL</v>
      </c>
      <c r="C514" s="50" t="s">
        <v>15</v>
      </c>
      <c r="D514" s="5" t="s">
        <v>177</v>
      </c>
      <c r="E514" s="1" t="s">
        <v>1356</v>
      </c>
      <c r="F514" s="8" t="s">
        <v>1400</v>
      </c>
      <c r="G514" s="8" t="s">
        <v>1367</v>
      </c>
      <c r="H514" s="10"/>
      <c r="I514" s="10"/>
      <c r="J514" s="10"/>
      <c r="K514" s="10"/>
      <c r="L514" s="10"/>
      <c r="M514" s="10">
        <f t="shared" si="12"/>
        <v>0</v>
      </c>
      <c r="N514" s="38"/>
      <c r="O514" s="38"/>
      <c r="P514" s="38"/>
      <c r="Q514" s="27"/>
    </row>
    <row r="515" spans="1:17" customFormat="1" ht="15.75">
      <c r="A515" s="2">
        <v>1000</v>
      </c>
      <c r="B515" s="30" t="str">
        <f>VLOOKUP(C515,Sheet1!$A$2:$B$1132,2,FALSE)</f>
        <v>VITAL</v>
      </c>
      <c r="C515" s="50" t="s">
        <v>309</v>
      </c>
      <c r="D515" s="5" t="s">
        <v>38</v>
      </c>
      <c r="E515" s="1" t="s">
        <v>1356</v>
      </c>
      <c r="F515" s="8" t="s">
        <v>1400</v>
      </c>
      <c r="G515" s="8" t="s">
        <v>1367</v>
      </c>
      <c r="H515" s="10"/>
      <c r="I515" s="10"/>
      <c r="J515" s="10"/>
      <c r="K515" s="10"/>
      <c r="L515" s="10"/>
      <c r="M515" s="10">
        <f t="shared" si="12"/>
        <v>0</v>
      </c>
      <c r="N515" s="38"/>
      <c r="O515" s="38"/>
      <c r="P515" s="38"/>
      <c r="Q515" s="27"/>
    </row>
    <row r="516" spans="1:17" customFormat="1" ht="15.75">
      <c r="A516" s="2">
        <v>1000</v>
      </c>
      <c r="B516" s="30" t="str">
        <f>VLOOKUP(C516,Sheet1!$A$2:$B$1132,2,FALSE)</f>
        <v>VITAL</v>
      </c>
      <c r="C516" s="50" t="s">
        <v>308</v>
      </c>
      <c r="D516" s="5" t="s">
        <v>154</v>
      </c>
      <c r="E516" s="1" t="s">
        <v>1356</v>
      </c>
      <c r="F516" s="8" t="s">
        <v>1400</v>
      </c>
      <c r="G516" s="8" t="s">
        <v>1367</v>
      </c>
      <c r="H516" s="10"/>
      <c r="I516" s="10"/>
      <c r="J516" s="10"/>
      <c r="K516" s="10"/>
      <c r="L516" s="10"/>
      <c r="M516" s="10">
        <f t="shared" si="12"/>
        <v>0</v>
      </c>
      <c r="N516" s="38"/>
      <c r="O516" s="38"/>
      <c r="P516" s="38"/>
      <c r="Q516" s="27"/>
    </row>
    <row r="517" spans="1:17" customFormat="1" ht="15.75">
      <c r="A517" s="2">
        <v>1000</v>
      </c>
      <c r="B517" s="30" t="str">
        <f>VLOOKUP(C517,Sheet1!$A$2:$B$1132,2,FALSE)</f>
        <v>VITAL</v>
      </c>
      <c r="C517" s="51" t="s">
        <v>307</v>
      </c>
      <c r="D517" s="3" t="s">
        <v>153</v>
      </c>
      <c r="E517" s="1" t="s">
        <v>1356</v>
      </c>
      <c r="F517" s="8" t="s">
        <v>1400</v>
      </c>
      <c r="G517" s="8" t="s">
        <v>1367</v>
      </c>
      <c r="H517" s="10"/>
      <c r="I517" s="10"/>
      <c r="J517" s="10"/>
      <c r="K517" s="10"/>
      <c r="L517" s="10"/>
      <c r="M517" s="10">
        <f t="shared" si="12"/>
        <v>0</v>
      </c>
      <c r="N517" s="38"/>
      <c r="O517" s="38"/>
      <c r="P517" s="38"/>
      <c r="Q517" s="27"/>
    </row>
    <row r="518" spans="1:17" customFormat="1" ht="15.75">
      <c r="A518" s="4">
        <v>1100</v>
      </c>
      <c r="B518" s="30" t="str">
        <f>VLOOKUP(C518,Sheet1!$A$2:$B$1132,2,FALSE)</f>
        <v>ESSENTIAL</v>
      </c>
      <c r="C518" s="50" t="s">
        <v>648</v>
      </c>
      <c r="D518" s="5" t="s">
        <v>414</v>
      </c>
      <c r="E518" s="8"/>
      <c r="F518" s="8" t="s">
        <v>1400</v>
      </c>
      <c r="G518" s="8" t="s">
        <v>1367</v>
      </c>
      <c r="H518" s="10"/>
      <c r="I518" s="10"/>
      <c r="J518" s="10"/>
      <c r="K518" s="10"/>
      <c r="L518" s="10"/>
      <c r="M518" s="10">
        <f t="shared" si="12"/>
        <v>0</v>
      </c>
      <c r="N518" s="38"/>
      <c r="O518" s="38"/>
      <c r="P518" s="38"/>
      <c r="Q518" s="27"/>
    </row>
    <row r="519" spans="1:17" customFormat="1" ht="15.75">
      <c r="A519" s="4">
        <v>1300</v>
      </c>
      <c r="B519" s="30" t="str">
        <f>VLOOKUP(C519,Sheet1!$A$2:$B$1132,2,FALSE)</f>
        <v>NORMAL</v>
      </c>
      <c r="C519" s="50" t="s">
        <v>110</v>
      </c>
      <c r="D519" s="5" t="s">
        <v>243</v>
      </c>
      <c r="E519" s="1" t="s">
        <v>1363</v>
      </c>
      <c r="F519" s="8" t="s">
        <v>1400</v>
      </c>
      <c r="G519" s="8" t="s">
        <v>1367</v>
      </c>
      <c r="H519" s="10"/>
      <c r="I519" s="10"/>
      <c r="J519" s="10"/>
      <c r="K519" s="10"/>
      <c r="L519" s="10"/>
      <c r="M519" s="10">
        <f t="shared" si="12"/>
        <v>0</v>
      </c>
      <c r="N519" s="38"/>
      <c r="O519" s="38"/>
      <c r="P519" s="38"/>
      <c r="Q519" s="27"/>
    </row>
    <row r="520" spans="1:17" customFormat="1" ht="15.75">
      <c r="A520" s="4">
        <v>1300</v>
      </c>
      <c r="B520" s="30" t="str">
        <f>VLOOKUP(C520,Sheet1!$A$2:$B$1132,2,FALSE)</f>
        <v>ESSENTIAL</v>
      </c>
      <c r="C520" s="50" t="s">
        <v>306</v>
      </c>
      <c r="D520" s="5" t="s">
        <v>12</v>
      </c>
      <c r="E520" s="1" t="s">
        <v>1363</v>
      </c>
      <c r="F520" s="8" t="s">
        <v>1400</v>
      </c>
      <c r="G520" s="8" t="s">
        <v>1367</v>
      </c>
      <c r="H520" s="10">
        <v>1</v>
      </c>
      <c r="I520" s="10"/>
      <c r="J520" s="10">
        <v>1</v>
      </c>
      <c r="K520" s="10"/>
      <c r="L520" s="10"/>
      <c r="M520" s="10">
        <f t="shared" si="12"/>
        <v>0.43000000000000005</v>
      </c>
      <c r="N520" s="38"/>
      <c r="O520" s="38"/>
      <c r="P520" s="38"/>
      <c r="Q520" s="27"/>
    </row>
    <row r="521" spans="1:17" customFormat="1" ht="15.75">
      <c r="A521" s="4">
        <v>1300</v>
      </c>
      <c r="B521" s="30" t="str">
        <f>VLOOKUP(C521,Sheet1!$A$2:$B$1132,2,FALSE)</f>
        <v>ESSENTIAL</v>
      </c>
      <c r="C521" s="51" t="s">
        <v>305</v>
      </c>
      <c r="D521" s="3" t="s">
        <v>12</v>
      </c>
      <c r="E521" s="1" t="s">
        <v>1363</v>
      </c>
      <c r="F521" s="8" t="s">
        <v>1400</v>
      </c>
      <c r="G521" s="8" t="s">
        <v>1367</v>
      </c>
      <c r="H521" s="10">
        <v>1</v>
      </c>
      <c r="I521" s="10"/>
      <c r="J521" s="10">
        <v>1</v>
      </c>
      <c r="K521" s="10"/>
      <c r="L521" s="10"/>
      <c r="M521" s="10">
        <f t="shared" si="12"/>
        <v>0.43000000000000005</v>
      </c>
      <c r="N521" s="38"/>
      <c r="O521" s="38"/>
      <c r="P521" s="38"/>
      <c r="Q521" s="27"/>
    </row>
    <row r="522" spans="1:17" customFormat="1" ht="15.75">
      <c r="A522" s="4">
        <v>1300</v>
      </c>
      <c r="B522" s="30" t="str">
        <f>VLOOKUP(C522,Sheet1!$A$2:$B$1132,2,FALSE)</f>
        <v>IMPORTANT</v>
      </c>
      <c r="C522" s="51" t="s">
        <v>317</v>
      </c>
      <c r="D522" s="3" t="s">
        <v>145</v>
      </c>
      <c r="E522" s="1" t="s">
        <v>1363</v>
      </c>
      <c r="F522" s="8" t="s">
        <v>1400</v>
      </c>
      <c r="G522" s="8" t="s">
        <v>1367</v>
      </c>
      <c r="H522" s="10"/>
      <c r="I522" s="10"/>
      <c r="J522" s="10"/>
      <c r="K522" s="10"/>
      <c r="L522" s="10"/>
      <c r="M522" s="10">
        <f t="shared" si="12"/>
        <v>0</v>
      </c>
      <c r="N522" s="38"/>
      <c r="O522" s="38"/>
      <c r="P522" s="38"/>
      <c r="Q522" s="27"/>
    </row>
    <row r="523" spans="1:17" customFormat="1" ht="15.75">
      <c r="A523" s="4">
        <v>1300</v>
      </c>
      <c r="B523" s="30" t="str">
        <f>VLOOKUP(C523,Sheet1!$A$2:$B$1132,2,FALSE)</f>
        <v>IMPORTANT</v>
      </c>
      <c r="C523" s="51" t="s">
        <v>304</v>
      </c>
      <c r="D523" s="3" t="s">
        <v>242</v>
      </c>
      <c r="E523" s="1" t="s">
        <v>1363</v>
      </c>
      <c r="F523" s="8" t="s">
        <v>1400</v>
      </c>
      <c r="G523" s="8" t="s">
        <v>1367</v>
      </c>
      <c r="H523" s="10"/>
      <c r="I523" s="10"/>
      <c r="J523" s="10"/>
      <c r="K523" s="10"/>
      <c r="L523" s="10"/>
      <c r="M523" s="10">
        <f t="shared" si="12"/>
        <v>0</v>
      </c>
      <c r="N523" s="38"/>
      <c r="O523" s="38"/>
      <c r="P523" s="38"/>
      <c r="Q523" s="27"/>
    </row>
    <row r="524" spans="1:17" customFormat="1" ht="15.75">
      <c r="A524" s="4">
        <v>1300</v>
      </c>
      <c r="B524" s="30" t="str">
        <f>VLOOKUP(C524,Sheet1!$A$2:$B$1132,2,FALSE)</f>
        <v>IMPORTANT</v>
      </c>
      <c r="C524" s="51" t="s">
        <v>246</v>
      </c>
      <c r="D524" s="3" t="s">
        <v>201</v>
      </c>
      <c r="E524" s="1" t="s">
        <v>1363</v>
      </c>
      <c r="F524" s="8" t="s">
        <v>1400</v>
      </c>
      <c r="G524" s="8" t="s">
        <v>1367</v>
      </c>
      <c r="H524" s="10"/>
      <c r="I524" s="10"/>
      <c r="J524" s="10"/>
      <c r="K524" s="10"/>
      <c r="L524" s="10"/>
      <c r="M524" s="10">
        <f t="shared" si="12"/>
        <v>0</v>
      </c>
      <c r="N524" s="38"/>
      <c r="O524" s="38"/>
      <c r="P524" s="38"/>
      <c r="Q524" s="27"/>
    </row>
    <row r="525" spans="1:17" customFormat="1" ht="15.75">
      <c r="A525" s="4">
        <v>1300</v>
      </c>
      <c r="B525" s="30" t="str">
        <f>VLOOKUP(C525,Sheet1!$A$2:$B$1132,2,FALSE)</f>
        <v>IMPORTANT</v>
      </c>
      <c r="C525" s="50" t="s">
        <v>247</v>
      </c>
      <c r="D525" s="5" t="s">
        <v>201</v>
      </c>
      <c r="E525" s="1" t="s">
        <v>1363</v>
      </c>
      <c r="F525" s="8" t="s">
        <v>1400</v>
      </c>
      <c r="G525" s="8" t="s">
        <v>1367</v>
      </c>
      <c r="H525" s="10"/>
      <c r="I525" s="10"/>
      <c r="J525" s="10"/>
      <c r="K525" s="10"/>
      <c r="L525" s="10"/>
      <c r="M525" s="10">
        <f t="shared" si="12"/>
        <v>0</v>
      </c>
      <c r="N525" s="38"/>
      <c r="O525" s="38"/>
      <c r="P525" s="38"/>
      <c r="Q525" s="27"/>
    </row>
    <row r="526" spans="1:17" customFormat="1" ht="15.75">
      <c r="A526" s="4">
        <v>1300</v>
      </c>
      <c r="B526" s="30" t="str">
        <f>VLOOKUP(C526,Sheet1!$A$2:$B$1132,2,FALSE)</f>
        <v>ESSENTIAL</v>
      </c>
      <c r="C526" s="51" t="s">
        <v>248</v>
      </c>
      <c r="D526" s="3" t="s">
        <v>202</v>
      </c>
      <c r="E526" s="1" t="s">
        <v>1363</v>
      </c>
      <c r="F526" s="8" t="s">
        <v>1400</v>
      </c>
      <c r="G526" s="8" t="s">
        <v>1367</v>
      </c>
      <c r="H526" s="10"/>
      <c r="I526" s="10"/>
      <c r="J526" s="10"/>
      <c r="K526" s="10"/>
      <c r="L526" s="10"/>
      <c r="M526" s="10">
        <f t="shared" si="12"/>
        <v>0</v>
      </c>
      <c r="N526" s="38"/>
      <c r="O526" s="38"/>
      <c r="P526" s="38"/>
      <c r="Q526" s="27"/>
    </row>
    <row r="527" spans="1:17" customFormat="1" ht="15.75">
      <c r="A527" s="4">
        <v>1300</v>
      </c>
      <c r="B527" s="30" t="str">
        <f>VLOOKUP(C527,Sheet1!$A$2:$B$1132,2,FALSE)</f>
        <v>ESSENTIAL</v>
      </c>
      <c r="C527" s="50" t="s">
        <v>249</v>
      </c>
      <c r="D527" s="5" t="s">
        <v>202</v>
      </c>
      <c r="E527" s="1" t="s">
        <v>1363</v>
      </c>
      <c r="F527" s="8" t="s">
        <v>1400</v>
      </c>
      <c r="G527" s="8" t="s">
        <v>1367</v>
      </c>
      <c r="H527" s="10"/>
      <c r="I527" s="10"/>
      <c r="J527" s="10"/>
      <c r="K527" s="10"/>
      <c r="L527" s="10"/>
      <c r="M527" s="10">
        <f t="shared" si="12"/>
        <v>0</v>
      </c>
      <c r="N527" s="38"/>
      <c r="O527" s="38"/>
      <c r="P527" s="38"/>
      <c r="Q527" s="27"/>
    </row>
    <row r="528" spans="1:17" customFormat="1" ht="15.75">
      <c r="A528" s="4">
        <v>1300</v>
      </c>
      <c r="B528" s="30" t="str">
        <f>VLOOKUP(C528,Sheet1!$A$2:$B$1132,2,FALSE)</f>
        <v>ESSENTIAL</v>
      </c>
      <c r="C528" s="51" t="s">
        <v>303</v>
      </c>
      <c r="D528" s="3" t="s">
        <v>218</v>
      </c>
      <c r="E528" s="1" t="s">
        <v>1363</v>
      </c>
      <c r="F528" s="8" t="s">
        <v>1400</v>
      </c>
      <c r="G528" s="8" t="s">
        <v>1367</v>
      </c>
      <c r="H528" s="10">
        <v>1</v>
      </c>
      <c r="I528" s="10"/>
      <c r="J528" s="10">
        <v>1</v>
      </c>
      <c r="K528" s="10"/>
      <c r="L528" s="10"/>
      <c r="M528" s="10">
        <f t="shared" si="12"/>
        <v>0.43000000000000005</v>
      </c>
      <c r="N528" s="38"/>
      <c r="O528" s="38"/>
      <c r="P528" s="38"/>
      <c r="Q528" s="27"/>
    </row>
    <row r="529" spans="1:17" customFormat="1" ht="15.75">
      <c r="A529" s="4">
        <v>1300</v>
      </c>
      <c r="B529" s="30" t="str">
        <f>VLOOKUP(C529,Sheet1!$A$2:$B$1132,2,FALSE)</f>
        <v>ESSENTIAL</v>
      </c>
      <c r="C529" s="50" t="s">
        <v>302</v>
      </c>
      <c r="D529" s="5" t="s">
        <v>218</v>
      </c>
      <c r="E529" s="1" t="s">
        <v>1363</v>
      </c>
      <c r="F529" s="8" t="s">
        <v>1400</v>
      </c>
      <c r="G529" s="8" t="s">
        <v>1367</v>
      </c>
      <c r="H529" s="10">
        <v>1</v>
      </c>
      <c r="I529" s="10"/>
      <c r="J529" s="10">
        <v>1</v>
      </c>
      <c r="K529" s="10"/>
      <c r="L529" s="10"/>
      <c r="M529" s="10">
        <f t="shared" si="12"/>
        <v>0.43000000000000005</v>
      </c>
      <c r="N529" s="38"/>
      <c r="O529" s="38"/>
      <c r="P529" s="38"/>
      <c r="Q529" s="27"/>
    </row>
    <row r="530" spans="1:17" customFormat="1" ht="15.75">
      <c r="A530" s="4">
        <v>1300</v>
      </c>
      <c r="B530" s="30" t="str">
        <f>VLOOKUP(C530,Sheet1!$A$2:$B$1132,2,FALSE)</f>
        <v>NORMAL</v>
      </c>
      <c r="C530" s="51" t="s">
        <v>132</v>
      </c>
      <c r="D530" s="3" t="s">
        <v>243</v>
      </c>
      <c r="E530" s="1" t="s">
        <v>1363</v>
      </c>
      <c r="F530" s="8" t="s">
        <v>1400</v>
      </c>
      <c r="G530" s="8" t="s">
        <v>1367</v>
      </c>
      <c r="H530" s="10"/>
      <c r="I530" s="10"/>
      <c r="J530" s="10"/>
      <c r="K530" s="10"/>
      <c r="L530" s="10"/>
      <c r="M530" s="10">
        <f t="shared" si="12"/>
        <v>0</v>
      </c>
      <c r="N530" s="38"/>
      <c r="O530" s="38"/>
      <c r="P530" s="38"/>
      <c r="Q530" s="27"/>
    </row>
    <row r="531" spans="1:17" customFormat="1" ht="15.75">
      <c r="A531" s="4">
        <v>1300</v>
      </c>
      <c r="B531" s="30" t="str">
        <f>VLOOKUP(C531,Sheet1!$A$2:$B$1132,2,FALSE)</f>
        <v>ESSENTIAL</v>
      </c>
      <c r="C531" s="51" t="s">
        <v>301</v>
      </c>
      <c r="D531" s="3" t="s">
        <v>199</v>
      </c>
      <c r="E531" s="1" t="s">
        <v>1363</v>
      </c>
      <c r="F531" s="8" t="s">
        <v>1400</v>
      </c>
      <c r="G531" s="8" t="s">
        <v>1367</v>
      </c>
      <c r="H531" s="10"/>
      <c r="I531" s="10"/>
      <c r="J531" s="10"/>
      <c r="K531" s="10"/>
      <c r="L531" s="10"/>
      <c r="M531" s="10">
        <f t="shared" si="12"/>
        <v>0</v>
      </c>
      <c r="N531" s="38"/>
      <c r="O531" s="38"/>
      <c r="P531" s="38"/>
      <c r="Q531" s="27"/>
    </row>
    <row r="532" spans="1:17" customFormat="1" ht="15.75">
      <c r="A532" s="4">
        <v>1300</v>
      </c>
      <c r="B532" s="30" t="str">
        <f>VLOOKUP(C532,Sheet1!$A$2:$B$1132,2,FALSE)</f>
        <v>VITAL</v>
      </c>
      <c r="C532" s="50" t="s">
        <v>300</v>
      </c>
      <c r="D532" s="5" t="s">
        <v>12</v>
      </c>
      <c r="E532" s="1" t="s">
        <v>1363</v>
      </c>
      <c r="F532" s="8" t="s">
        <v>1400</v>
      </c>
      <c r="G532" s="8" t="s">
        <v>1367</v>
      </c>
      <c r="H532" s="10">
        <v>1</v>
      </c>
      <c r="I532" s="10"/>
      <c r="J532" s="10">
        <v>1</v>
      </c>
      <c r="K532" s="10"/>
      <c r="L532" s="10"/>
      <c r="M532" s="10">
        <f t="shared" si="12"/>
        <v>0.43000000000000005</v>
      </c>
      <c r="N532" s="38"/>
      <c r="O532" s="38"/>
      <c r="P532" s="38"/>
      <c r="Q532" s="27"/>
    </row>
    <row r="533" spans="1:17" customFormat="1" ht="15.75">
      <c r="A533" s="4">
        <v>1300</v>
      </c>
      <c r="B533" s="30" t="str">
        <f>VLOOKUP(C533,Sheet1!$A$2:$B$1132,2,FALSE)</f>
        <v>VITAL</v>
      </c>
      <c r="C533" s="51" t="s">
        <v>299</v>
      </c>
      <c r="D533" s="3" t="s">
        <v>12</v>
      </c>
      <c r="E533" s="1" t="s">
        <v>1363</v>
      </c>
      <c r="F533" s="8" t="s">
        <v>1400</v>
      </c>
      <c r="G533" s="8" t="s">
        <v>1367</v>
      </c>
      <c r="H533" s="10">
        <v>1</v>
      </c>
      <c r="I533" s="10"/>
      <c r="J533" s="10">
        <v>1</v>
      </c>
      <c r="K533" s="10"/>
      <c r="L533" s="10"/>
      <c r="M533" s="10">
        <f t="shared" ref="M533:M564" si="13">SUMPRODUCT(H533:L533,$AA$2:$AE$2)</f>
        <v>0.43000000000000005</v>
      </c>
      <c r="N533" s="38"/>
      <c r="O533" s="38"/>
      <c r="P533" s="38"/>
      <c r="Q533" s="27"/>
    </row>
    <row r="534" spans="1:17" customFormat="1" ht="15.75">
      <c r="A534" s="4">
        <v>1300</v>
      </c>
      <c r="B534" s="30" t="str">
        <f>VLOOKUP(C534,Sheet1!$A$2:$B$1132,2,FALSE)</f>
        <v>ESSENTIAL</v>
      </c>
      <c r="C534" s="51" t="s">
        <v>298</v>
      </c>
      <c r="D534" s="3" t="s">
        <v>12</v>
      </c>
      <c r="E534" s="1" t="s">
        <v>1363</v>
      </c>
      <c r="F534" s="8" t="s">
        <v>1400</v>
      </c>
      <c r="G534" s="8" t="s">
        <v>1367</v>
      </c>
      <c r="H534" s="10">
        <v>1</v>
      </c>
      <c r="I534" s="10"/>
      <c r="J534" s="10">
        <v>1</v>
      </c>
      <c r="K534" s="10"/>
      <c r="L534" s="10"/>
      <c r="M534" s="10">
        <f t="shared" si="13"/>
        <v>0.43000000000000005</v>
      </c>
      <c r="N534" s="38"/>
      <c r="O534" s="38"/>
      <c r="P534" s="38"/>
      <c r="Q534" s="27"/>
    </row>
    <row r="535" spans="1:17" customFormat="1" ht="15.75">
      <c r="A535" s="4">
        <v>1300</v>
      </c>
      <c r="B535" s="30" t="str">
        <f>VLOOKUP(C535,Sheet1!$A$2:$B$1132,2,FALSE)</f>
        <v>ESSENTIAL</v>
      </c>
      <c r="C535" s="50" t="s">
        <v>297</v>
      </c>
      <c r="D535" s="5" t="s">
        <v>12</v>
      </c>
      <c r="E535" s="1" t="s">
        <v>1363</v>
      </c>
      <c r="F535" s="8" t="s">
        <v>1400</v>
      </c>
      <c r="G535" s="8" t="s">
        <v>1367</v>
      </c>
      <c r="H535" s="10">
        <v>1</v>
      </c>
      <c r="I535" s="10"/>
      <c r="J535" s="10">
        <v>1</v>
      </c>
      <c r="K535" s="10"/>
      <c r="L535" s="10"/>
      <c r="M535" s="10">
        <f t="shared" si="13"/>
        <v>0.43000000000000005</v>
      </c>
      <c r="N535" s="38"/>
      <c r="O535" s="38"/>
      <c r="P535" s="38"/>
      <c r="Q535" s="27"/>
    </row>
    <row r="536" spans="1:17" customFormat="1" ht="15.75">
      <c r="A536" s="4">
        <v>1300</v>
      </c>
      <c r="B536" s="30" t="str">
        <f>VLOOKUP(C536,Sheet1!$A$2:$B$1132,2,FALSE)</f>
        <v>ESSENTIAL</v>
      </c>
      <c r="C536" s="51" t="s">
        <v>296</v>
      </c>
      <c r="D536" s="3" t="s">
        <v>12</v>
      </c>
      <c r="E536" s="1" t="s">
        <v>1363</v>
      </c>
      <c r="F536" s="8" t="s">
        <v>1400</v>
      </c>
      <c r="G536" s="8" t="s">
        <v>1367</v>
      </c>
      <c r="H536" s="10">
        <v>1</v>
      </c>
      <c r="I536" s="10"/>
      <c r="J536" s="10">
        <v>1</v>
      </c>
      <c r="K536" s="10"/>
      <c r="L536" s="10"/>
      <c r="M536" s="10">
        <f t="shared" si="13"/>
        <v>0.43000000000000005</v>
      </c>
      <c r="N536" s="38"/>
      <c r="O536" s="38"/>
      <c r="P536" s="38"/>
      <c r="Q536" s="27"/>
    </row>
    <row r="537" spans="1:17" customFormat="1" ht="15.75">
      <c r="A537" s="4">
        <v>1300</v>
      </c>
      <c r="B537" s="30" t="str">
        <f>VLOOKUP(C537,Sheet1!$A$2:$B$1132,2,FALSE)</f>
        <v>ESSENTIAL</v>
      </c>
      <c r="C537" s="50" t="s">
        <v>295</v>
      </c>
      <c r="D537" s="5" t="s">
        <v>12</v>
      </c>
      <c r="E537" s="1" t="s">
        <v>1363</v>
      </c>
      <c r="F537" s="8" t="s">
        <v>1400</v>
      </c>
      <c r="G537" s="8" t="s">
        <v>1367</v>
      </c>
      <c r="H537" s="10">
        <v>1</v>
      </c>
      <c r="I537" s="10"/>
      <c r="J537" s="10">
        <v>1</v>
      </c>
      <c r="K537" s="10"/>
      <c r="L537" s="10"/>
      <c r="M537" s="10">
        <f t="shared" si="13"/>
        <v>0.43000000000000005</v>
      </c>
      <c r="N537" s="38"/>
      <c r="O537" s="38"/>
      <c r="P537" s="38"/>
      <c r="Q537" s="27"/>
    </row>
    <row r="538" spans="1:17" customFormat="1" ht="15.75">
      <c r="A538" s="4">
        <v>1300</v>
      </c>
      <c r="B538" s="30" t="str">
        <f>VLOOKUP(C538,Sheet1!$A$2:$B$1132,2,FALSE)</f>
        <v>ESSENTIAL</v>
      </c>
      <c r="C538" s="51" t="s">
        <v>294</v>
      </c>
      <c r="D538" s="3" t="s">
        <v>12</v>
      </c>
      <c r="E538" s="1" t="s">
        <v>1363</v>
      </c>
      <c r="F538" s="8" t="s">
        <v>1400</v>
      </c>
      <c r="G538" s="8" t="s">
        <v>1367</v>
      </c>
      <c r="H538" s="10">
        <v>1</v>
      </c>
      <c r="I538" s="10"/>
      <c r="J538" s="10">
        <v>1</v>
      </c>
      <c r="K538" s="10"/>
      <c r="L538" s="10"/>
      <c r="M538" s="10">
        <f t="shared" si="13"/>
        <v>0.43000000000000005</v>
      </c>
      <c r="N538" s="38"/>
      <c r="O538" s="38"/>
      <c r="P538" s="38"/>
      <c r="Q538" s="27"/>
    </row>
    <row r="539" spans="1:17" customFormat="1" ht="15.75">
      <c r="A539" s="4">
        <v>1300</v>
      </c>
      <c r="B539" s="30" t="str">
        <f>VLOOKUP(C539,Sheet1!$A$2:$B$1132,2,FALSE)</f>
        <v>ESSENTIAL</v>
      </c>
      <c r="C539" s="50" t="s">
        <v>293</v>
      </c>
      <c r="D539" s="5" t="s">
        <v>12</v>
      </c>
      <c r="E539" s="1" t="s">
        <v>1363</v>
      </c>
      <c r="F539" s="8" t="s">
        <v>1400</v>
      </c>
      <c r="G539" s="8" t="s">
        <v>1367</v>
      </c>
      <c r="H539" s="10">
        <v>1</v>
      </c>
      <c r="I539" s="10"/>
      <c r="J539" s="10">
        <v>1</v>
      </c>
      <c r="K539" s="10"/>
      <c r="L539" s="10"/>
      <c r="M539" s="10">
        <f t="shared" si="13"/>
        <v>0.43000000000000005</v>
      </c>
      <c r="N539" s="38"/>
      <c r="O539" s="38"/>
      <c r="P539" s="38"/>
      <c r="Q539" s="27"/>
    </row>
    <row r="540" spans="1:17" customFormat="1" ht="15.75">
      <c r="A540" s="4">
        <v>1300</v>
      </c>
      <c r="B540" s="30" t="str">
        <f>VLOOKUP(C540,Sheet1!$A$2:$B$1132,2,FALSE)</f>
        <v>ESSENTIAL</v>
      </c>
      <c r="C540" s="51" t="s">
        <v>292</v>
      </c>
      <c r="D540" s="3" t="s">
        <v>12</v>
      </c>
      <c r="E540" s="1" t="s">
        <v>1363</v>
      </c>
      <c r="F540" s="8" t="s">
        <v>1400</v>
      </c>
      <c r="G540" s="8" t="s">
        <v>1367</v>
      </c>
      <c r="H540" s="10">
        <v>1</v>
      </c>
      <c r="I540" s="10"/>
      <c r="J540" s="10">
        <v>1</v>
      </c>
      <c r="K540" s="10"/>
      <c r="L540" s="10"/>
      <c r="M540" s="10">
        <f t="shared" si="13"/>
        <v>0.43000000000000005</v>
      </c>
      <c r="N540" s="38"/>
      <c r="O540" s="38"/>
      <c r="P540" s="38"/>
      <c r="Q540" s="27"/>
    </row>
    <row r="541" spans="1:17" customFormat="1" ht="15.75">
      <c r="A541" s="4">
        <v>1300</v>
      </c>
      <c r="B541" s="30" t="str">
        <f>VLOOKUP(C541,Sheet1!$A$2:$B$1132,2,FALSE)</f>
        <v>ESSENTIAL</v>
      </c>
      <c r="C541" s="50" t="s">
        <v>77</v>
      </c>
      <c r="D541" s="5" t="s">
        <v>12</v>
      </c>
      <c r="E541" s="1" t="s">
        <v>1363</v>
      </c>
      <c r="F541" s="8" t="s">
        <v>1400</v>
      </c>
      <c r="G541" s="8" t="s">
        <v>1367</v>
      </c>
      <c r="H541" s="10">
        <v>1</v>
      </c>
      <c r="I541" s="10"/>
      <c r="J541" s="10">
        <v>1</v>
      </c>
      <c r="K541" s="10"/>
      <c r="L541" s="10"/>
      <c r="M541" s="10">
        <f t="shared" si="13"/>
        <v>0.43000000000000005</v>
      </c>
      <c r="N541" s="38"/>
      <c r="O541" s="38"/>
      <c r="P541" s="38"/>
      <c r="Q541" s="27"/>
    </row>
    <row r="542" spans="1:17" customFormat="1" ht="15.75">
      <c r="A542" s="4">
        <v>1300</v>
      </c>
      <c r="B542" s="30" t="str">
        <f>VLOOKUP(C542,Sheet1!$A$2:$B$1132,2,FALSE)</f>
        <v>ESSENTIAL</v>
      </c>
      <c r="C542" s="51" t="s">
        <v>76</v>
      </c>
      <c r="D542" s="3" t="s">
        <v>12</v>
      </c>
      <c r="E542" s="1" t="s">
        <v>1363</v>
      </c>
      <c r="F542" s="8" t="s">
        <v>1400</v>
      </c>
      <c r="G542" s="8" t="s">
        <v>1367</v>
      </c>
      <c r="H542" s="10">
        <v>1</v>
      </c>
      <c r="I542" s="10"/>
      <c r="J542" s="10">
        <v>1</v>
      </c>
      <c r="K542" s="10"/>
      <c r="L542" s="10"/>
      <c r="M542" s="10">
        <f t="shared" si="13"/>
        <v>0.43000000000000005</v>
      </c>
      <c r="N542" s="38"/>
      <c r="O542" s="38"/>
      <c r="P542" s="38"/>
      <c r="Q542" s="27"/>
    </row>
    <row r="543" spans="1:17" customFormat="1" ht="15.75">
      <c r="A543" s="4">
        <v>1300</v>
      </c>
      <c r="B543" s="30" t="str">
        <f>VLOOKUP(C543,Sheet1!$A$2:$B$1132,2,FALSE)</f>
        <v>ESSENTIAL</v>
      </c>
      <c r="C543" s="50" t="s">
        <v>75</v>
      </c>
      <c r="D543" s="5" t="s">
        <v>12</v>
      </c>
      <c r="E543" s="1" t="s">
        <v>1363</v>
      </c>
      <c r="F543" s="8" t="s">
        <v>1400</v>
      </c>
      <c r="G543" s="8" t="s">
        <v>1367</v>
      </c>
      <c r="H543" s="10">
        <v>1</v>
      </c>
      <c r="I543" s="10"/>
      <c r="J543" s="10">
        <v>1</v>
      </c>
      <c r="K543" s="10"/>
      <c r="L543" s="10"/>
      <c r="M543" s="10">
        <f t="shared" si="13"/>
        <v>0.43000000000000005</v>
      </c>
      <c r="N543" s="38"/>
      <c r="O543" s="38"/>
      <c r="P543" s="38"/>
      <c r="Q543" s="27"/>
    </row>
    <row r="544" spans="1:17" customFormat="1" ht="15.75">
      <c r="A544" s="4">
        <v>1300</v>
      </c>
      <c r="B544" s="30" t="str">
        <f>VLOOKUP(C544,Sheet1!$A$2:$B$1132,2,FALSE)</f>
        <v>ESSENTIAL</v>
      </c>
      <c r="C544" s="51" t="s">
        <v>83</v>
      </c>
      <c r="D544" s="3" t="s">
        <v>12</v>
      </c>
      <c r="E544" s="1" t="s">
        <v>1363</v>
      </c>
      <c r="F544" s="8" t="s">
        <v>1400</v>
      </c>
      <c r="G544" s="8" t="s">
        <v>1367</v>
      </c>
      <c r="H544" s="10">
        <v>1</v>
      </c>
      <c r="I544" s="10"/>
      <c r="J544" s="10">
        <v>1</v>
      </c>
      <c r="K544" s="10"/>
      <c r="L544" s="10"/>
      <c r="M544" s="10">
        <f t="shared" si="13"/>
        <v>0.43000000000000005</v>
      </c>
      <c r="N544" s="38"/>
      <c r="O544" s="38"/>
      <c r="P544" s="38"/>
      <c r="Q544" s="27"/>
    </row>
    <row r="545" spans="1:17" customFormat="1" ht="15.75">
      <c r="A545" s="4">
        <v>1300</v>
      </c>
      <c r="B545" s="30" t="str">
        <f>VLOOKUP(C545,Sheet1!$A$2:$B$1132,2,FALSE)</f>
        <v>ESSENTIAL</v>
      </c>
      <c r="C545" s="50" t="s">
        <v>84</v>
      </c>
      <c r="D545" s="5" t="s">
        <v>12</v>
      </c>
      <c r="E545" s="1" t="s">
        <v>1363</v>
      </c>
      <c r="F545" s="8" t="s">
        <v>1400</v>
      </c>
      <c r="G545" s="8" t="s">
        <v>1367</v>
      </c>
      <c r="H545" s="10">
        <v>1</v>
      </c>
      <c r="I545" s="10"/>
      <c r="J545" s="10">
        <v>1</v>
      </c>
      <c r="K545" s="10"/>
      <c r="L545" s="10"/>
      <c r="M545" s="10">
        <f t="shared" si="13"/>
        <v>0.43000000000000005</v>
      </c>
      <c r="N545" s="38"/>
      <c r="O545" s="38"/>
      <c r="P545" s="38"/>
      <c r="Q545" s="27"/>
    </row>
    <row r="546" spans="1:17" customFormat="1" ht="15.75">
      <c r="A546" s="4">
        <v>1300</v>
      </c>
      <c r="B546" s="30" t="str">
        <f>VLOOKUP(C546,Sheet1!$A$2:$B$1132,2,FALSE)</f>
        <v>ESSENTIAL</v>
      </c>
      <c r="C546" s="51" t="s">
        <v>291</v>
      </c>
      <c r="D546" s="3" t="s">
        <v>145</v>
      </c>
      <c r="E546" s="1" t="s">
        <v>1363</v>
      </c>
      <c r="F546" s="8" t="s">
        <v>1400</v>
      </c>
      <c r="G546" s="8" t="s">
        <v>1367</v>
      </c>
      <c r="H546" s="10"/>
      <c r="I546" s="10"/>
      <c r="J546" s="10"/>
      <c r="K546" s="10"/>
      <c r="L546" s="10"/>
      <c r="M546" s="10">
        <f t="shared" si="13"/>
        <v>0</v>
      </c>
      <c r="N546" s="38"/>
      <c r="O546" s="38"/>
      <c r="P546" s="38"/>
      <c r="Q546" s="27"/>
    </row>
    <row r="547" spans="1:17" customFormat="1" ht="15.75">
      <c r="A547" s="4">
        <v>1300</v>
      </c>
      <c r="B547" s="30" t="str">
        <f>VLOOKUP(C547,Sheet1!$A$2:$B$1132,2,FALSE)</f>
        <v>IMPORTANT</v>
      </c>
      <c r="C547" s="50" t="s">
        <v>290</v>
      </c>
      <c r="D547" s="5" t="s">
        <v>145</v>
      </c>
      <c r="E547" s="1" t="s">
        <v>1363</v>
      </c>
      <c r="F547" s="8" t="s">
        <v>1400</v>
      </c>
      <c r="G547" s="8" t="s">
        <v>1367</v>
      </c>
      <c r="H547" s="10"/>
      <c r="I547" s="10"/>
      <c r="J547" s="10"/>
      <c r="K547" s="10"/>
      <c r="L547" s="10"/>
      <c r="M547" s="10">
        <f t="shared" si="13"/>
        <v>0</v>
      </c>
      <c r="N547" s="38"/>
      <c r="O547" s="38"/>
      <c r="P547" s="38"/>
      <c r="Q547" s="27"/>
    </row>
    <row r="548" spans="1:17" customFormat="1" ht="15.75">
      <c r="A548" s="4">
        <v>1300</v>
      </c>
      <c r="B548" s="30" t="str">
        <f>VLOOKUP(C548,Sheet1!$A$2:$B$1132,2,FALSE)</f>
        <v>NORMAL</v>
      </c>
      <c r="C548" s="50" t="s">
        <v>133</v>
      </c>
      <c r="D548" s="5" t="s">
        <v>243</v>
      </c>
      <c r="E548" s="1" t="s">
        <v>1363</v>
      </c>
      <c r="F548" s="8" t="s">
        <v>1400</v>
      </c>
      <c r="G548" s="8" t="s">
        <v>1367</v>
      </c>
      <c r="H548" s="10"/>
      <c r="I548" s="10"/>
      <c r="J548" s="10"/>
      <c r="K548" s="10"/>
      <c r="L548" s="10"/>
      <c r="M548" s="10">
        <f t="shared" si="13"/>
        <v>0</v>
      </c>
      <c r="N548" s="38"/>
      <c r="O548" s="38"/>
      <c r="P548" s="38"/>
      <c r="Q548" s="27"/>
    </row>
    <row r="549" spans="1:17" customFormat="1" ht="15.75">
      <c r="A549" s="4">
        <v>1300</v>
      </c>
      <c r="B549" s="30" t="str">
        <f>VLOOKUP(C549,Sheet1!$A$2:$B$1132,2,FALSE)</f>
        <v>ESSENTIAL</v>
      </c>
      <c r="C549" s="50" t="s">
        <v>289</v>
      </c>
      <c r="D549" s="5" t="s">
        <v>205</v>
      </c>
      <c r="E549" s="1" t="s">
        <v>1363</v>
      </c>
      <c r="F549" s="8" t="s">
        <v>1400</v>
      </c>
      <c r="G549" s="8" t="s">
        <v>1367</v>
      </c>
      <c r="H549" s="10"/>
      <c r="I549" s="10"/>
      <c r="J549" s="10"/>
      <c r="K549" s="10"/>
      <c r="L549" s="10"/>
      <c r="M549" s="10">
        <f t="shared" si="13"/>
        <v>0</v>
      </c>
      <c r="N549" s="38"/>
      <c r="O549" s="38"/>
      <c r="P549" s="38"/>
      <c r="Q549" s="27"/>
    </row>
    <row r="550" spans="1:17" customFormat="1" ht="15.75">
      <c r="A550" s="4">
        <v>1300</v>
      </c>
      <c r="B550" s="30" t="str">
        <f>VLOOKUP(C550,Sheet1!$A$2:$B$1132,2,FALSE)</f>
        <v>IMPORTANT</v>
      </c>
      <c r="C550" s="50" t="s">
        <v>288</v>
      </c>
      <c r="D550" s="5" t="s">
        <v>12</v>
      </c>
      <c r="E550" s="1" t="s">
        <v>1363</v>
      </c>
      <c r="F550" s="8" t="s">
        <v>1400</v>
      </c>
      <c r="G550" s="8" t="s">
        <v>1367</v>
      </c>
      <c r="H550" s="10">
        <v>1</v>
      </c>
      <c r="I550" s="10"/>
      <c r="J550" s="10">
        <v>1</v>
      </c>
      <c r="K550" s="10"/>
      <c r="L550" s="10"/>
      <c r="M550" s="10">
        <f t="shared" si="13"/>
        <v>0.43000000000000005</v>
      </c>
      <c r="N550" s="38"/>
      <c r="O550" s="38"/>
      <c r="P550" s="38"/>
      <c r="Q550" s="27"/>
    </row>
    <row r="551" spans="1:17" customFormat="1" ht="15.75">
      <c r="A551" s="4">
        <v>1300</v>
      </c>
      <c r="B551" s="30" t="str">
        <f>VLOOKUP(C551,Sheet1!$A$2:$B$1132,2,FALSE)</f>
        <v>IMPORTANT</v>
      </c>
      <c r="C551" s="51" t="s">
        <v>287</v>
      </c>
      <c r="D551" s="3" t="s">
        <v>12</v>
      </c>
      <c r="E551" s="1" t="s">
        <v>1363</v>
      </c>
      <c r="F551" s="8" t="s">
        <v>1400</v>
      </c>
      <c r="G551" s="8" t="s">
        <v>1367</v>
      </c>
      <c r="H551" s="10">
        <v>1</v>
      </c>
      <c r="I551" s="10"/>
      <c r="J551" s="10">
        <v>1</v>
      </c>
      <c r="K551" s="10"/>
      <c r="L551" s="10"/>
      <c r="M551" s="10">
        <f t="shared" si="13"/>
        <v>0.43000000000000005</v>
      </c>
      <c r="N551" s="38"/>
      <c r="O551" s="38"/>
      <c r="P551" s="38"/>
      <c r="Q551" s="27"/>
    </row>
    <row r="552" spans="1:17" customFormat="1" ht="15.75">
      <c r="A552" s="4">
        <v>1300</v>
      </c>
      <c r="B552" s="30" t="str">
        <f>VLOOKUP(C552,Sheet1!$A$2:$B$1132,2,FALSE)</f>
        <v>IMPORTANT</v>
      </c>
      <c r="C552" s="50" t="s">
        <v>286</v>
      </c>
      <c r="D552" s="5" t="s">
        <v>12</v>
      </c>
      <c r="E552" s="1" t="s">
        <v>1363</v>
      </c>
      <c r="F552" s="8" t="s">
        <v>1400</v>
      </c>
      <c r="G552" s="8" t="s">
        <v>1367</v>
      </c>
      <c r="H552" s="10">
        <v>1</v>
      </c>
      <c r="I552" s="10"/>
      <c r="J552" s="10">
        <v>1</v>
      </c>
      <c r="K552" s="10"/>
      <c r="L552" s="10"/>
      <c r="M552" s="10">
        <f t="shared" si="13"/>
        <v>0.43000000000000005</v>
      </c>
      <c r="N552" s="38"/>
      <c r="O552" s="38"/>
      <c r="P552" s="38"/>
      <c r="Q552" s="27"/>
    </row>
    <row r="553" spans="1:17" customFormat="1" ht="15.75">
      <c r="A553" s="4">
        <v>1300</v>
      </c>
      <c r="B553" s="30" t="str">
        <f>VLOOKUP(C553,Sheet1!$A$2:$B$1132,2,FALSE)</f>
        <v>IMPORTANT</v>
      </c>
      <c r="C553" s="51" t="s">
        <v>285</v>
      </c>
      <c r="D553" s="3" t="s">
        <v>12</v>
      </c>
      <c r="E553" s="1" t="s">
        <v>1363</v>
      </c>
      <c r="F553" s="8" t="s">
        <v>1400</v>
      </c>
      <c r="G553" s="8" t="s">
        <v>1367</v>
      </c>
      <c r="H553" s="10">
        <v>1</v>
      </c>
      <c r="I553" s="10"/>
      <c r="J553" s="10">
        <v>1</v>
      </c>
      <c r="K553" s="10"/>
      <c r="L553" s="10"/>
      <c r="M553" s="10">
        <f t="shared" si="13"/>
        <v>0.43000000000000005</v>
      </c>
      <c r="N553" s="38"/>
      <c r="O553" s="38"/>
      <c r="P553" s="38"/>
      <c r="Q553" s="27"/>
    </row>
    <row r="554" spans="1:17" customFormat="1" ht="15.75">
      <c r="A554" s="4">
        <v>1300</v>
      </c>
      <c r="B554" s="30" t="str">
        <f>VLOOKUP(C554,Sheet1!$A$2:$B$1132,2,FALSE)</f>
        <v>IMPORTANT</v>
      </c>
      <c r="C554" s="50" t="s">
        <v>313</v>
      </c>
      <c r="D554" s="5" t="s">
        <v>145</v>
      </c>
      <c r="E554" s="1" t="s">
        <v>1363</v>
      </c>
      <c r="F554" s="8" t="s">
        <v>1400</v>
      </c>
      <c r="G554" s="8" t="s">
        <v>1367</v>
      </c>
      <c r="H554" s="10"/>
      <c r="I554" s="10"/>
      <c r="J554" s="10"/>
      <c r="K554" s="10"/>
      <c r="L554" s="10"/>
      <c r="M554" s="10">
        <f t="shared" si="13"/>
        <v>0</v>
      </c>
      <c r="N554" s="38"/>
      <c r="O554" s="38"/>
      <c r="P554" s="38"/>
      <c r="Q554" s="27"/>
    </row>
    <row r="555" spans="1:17" customFormat="1" ht="15.75">
      <c r="A555" s="4">
        <v>1300</v>
      </c>
      <c r="B555" s="30" t="str">
        <f>VLOOKUP(C555,Sheet1!$A$2:$B$1132,2,FALSE)</f>
        <v>IMPORTANT</v>
      </c>
      <c r="C555" s="51" t="s">
        <v>314</v>
      </c>
      <c r="D555" s="3" t="s">
        <v>145</v>
      </c>
      <c r="E555" s="1" t="s">
        <v>1363</v>
      </c>
      <c r="F555" s="8" t="s">
        <v>1400</v>
      </c>
      <c r="G555" s="8" t="s">
        <v>1367</v>
      </c>
      <c r="H555" s="10"/>
      <c r="I555" s="10"/>
      <c r="J555" s="10"/>
      <c r="K555" s="10"/>
      <c r="L555" s="10"/>
      <c r="M555" s="10">
        <f t="shared" si="13"/>
        <v>0</v>
      </c>
      <c r="N555" s="38"/>
      <c r="O555" s="38"/>
      <c r="P555" s="38"/>
      <c r="Q555" s="27"/>
    </row>
    <row r="556" spans="1:17" customFormat="1" ht="15.75">
      <c r="A556" s="4">
        <v>1300</v>
      </c>
      <c r="B556" s="30" t="str">
        <f>VLOOKUP(C556,Sheet1!$A$2:$B$1132,2,FALSE)</f>
        <v>IMPORTANT</v>
      </c>
      <c r="C556" s="50" t="s">
        <v>329</v>
      </c>
      <c r="D556" s="5" t="s">
        <v>233</v>
      </c>
      <c r="E556" s="1" t="s">
        <v>1363</v>
      </c>
      <c r="F556" s="8" t="s">
        <v>1400</v>
      </c>
      <c r="G556" s="8" t="s">
        <v>1367</v>
      </c>
      <c r="H556" s="10"/>
      <c r="I556" s="10"/>
      <c r="J556" s="10"/>
      <c r="K556" s="10"/>
      <c r="L556" s="10"/>
      <c r="M556" s="10">
        <f t="shared" si="13"/>
        <v>0</v>
      </c>
      <c r="N556" s="38"/>
      <c r="O556" s="38"/>
      <c r="P556" s="38"/>
      <c r="Q556" s="27"/>
    </row>
    <row r="557" spans="1:17" customFormat="1" ht="15.75">
      <c r="A557" s="4">
        <v>1300</v>
      </c>
      <c r="B557" s="30" t="str">
        <f>VLOOKUP(C557,Sheet1!$A$2:$B$1132,2,FALSE)</f>
        <v>ESSENTIAL</v>
      </c>
      <c r="C557" s="50" t="s">
        <v>284</v>
      </c>
      <c r="D557" s="5" t="s">
        <v>220</v>
      </c>
      <c r="E557" s="1" t="s">
        <v>1363</v>
      </c>
      <c r="F557" s="8" t="s">
        <v>1400</v>
      </c>
      <c r="G557" s="8" t="s">
        <v>1367</v>
      </c>
      <c r="H557" s="10"/>
      <c r="I557" s="10"/>
      <c r="J557" s="10"/>
      <c r="K557" s="10"/>
      <c r="L557" s="10"/>
      <c r="M557" s="10">
        <f t="shared" si="13"/>
        <v>0</v>
      </c>
      <c r="N557" s="38"/>
      <c r="O557" s="38"/>
      <c r="P557" s="38"/>
      <c r="Q557" s="27"/>
    </row>
    <row r="558" spans="1:17" customFormat="1" ht="15.75">
      <c r="A558" s="4">
        <v>1300</v>
      </c>
      <c r="B558" s="30" t="str">
        <f>VLOOKUP(C558,Sheet1!$A$2:$B$1132,2,FALSE)</f>
        <v>ESSENTIAL</v>
      </c>
      <c r="C558" s="51" t="s">
        <v>283</v>
      </c>
      <c r="D558" s="3" t="s">
        <v>220</v>
      </c>
      <c r="E558" s="1" t="s">
        <v>1363</v>
      </c>
      <c r="F558" s="8" t="s">
        <v>1400</v>
      </c>
      <c r="G558" s="8" t="s">
        <v>1367</v>
      </c>
      <c r="H558" s="10"/>
      <c r="I558" s="10"/>
      <c r="J558" s="10"/>
      <c r="K558" s="10"/>
      <c r="L558" s="10"/>
      <c r="M558" s="10">
        <f t="shared" si="13"/>
        <v>0</v>
      </c>
      <c r="N558" s="38"/>
      <c r="O558" s="38"/>
      <c r="P558" s="38"/>
      <c r="Q558" s="27"/>
    </row>
    <row r="559" spans="1:17" customFormat="1" ht="15.75">
      <c r="A559" s="4">
        <v>1300</v>
      </c>
      <c r="B559" s="30" t="str">
        <f>VLOOKUP(C559,Sheet1!$A$2:$B$1132,2,FALSE)</f>
        <v>ESSENTIAL</v>
      </c>
      <c r="C559" s="50" t="s">
        <v>282</v>
      </c>
      <c r="D559" s="5" t="s">
        <v>220</v>
      </c>
      <c r="E559" s="1" t="s">
        <v>1363</v>
      </c>
      <c r="F559" s="8" t="s">
        <v>1400</v>
      </c>
      <c r="G559" s="8" t="s">
        <v>1367</v>
      </c>
      <c r="H559" s="10"/>
      <c r="I559" s="10"/>
      <c r="J559" s="10"/>
      <c r="K559" s="10"/>
      <c r="L559" s="10"/>
      <c r="M559" s="10">
        <f t="shared" si="13"/>
        <v>0</v>
      </c>
      <c r="N559" s="38"/>
      <c r="O559" s="38"/>
      <c r="P559" s="38"/>
      <c r="Q559" s="27"/>
    </row>
    <row r="560" spans="1:17" customFormat="1" ht="15.75">
      <c r="A560" s="4">
        <v>1300</v>
      </c>
      <c r="B560" s="30" t="str">
        <f>VLOOKUP(C560,Sheet1!$A$2:$B$1132,2,FALSE)</f>
        <v>ESSENTIAL</v>
      </c>
      <c r="C560" s="51" t="s">
        <v>281</v>
      </c>
      <c r="D560" s="3" t="s">
        <v>220</v>
      </c>
      <c r="E560" s="1" t="s">
        <v>1363</v>
      </c>
      <c r="F560" s="8" t="s">
        <v>1400</v>
      </c>
      <c r="G560" s="8" t="s">
        <v>1367</v>
      </c>
      <c r="H560" s="10"/>
      <c r="I560" s="10"/>
      <c r="J560" s="10"/>
      <c r="K560" s="10"/>
      <c r="L560" s="10"/>
      <c r="M560" s="10">
        <f t="shared" si="13"/>
        <v>0</v>
      </c>
      <c r="N560" s="38"/>
      <c r="O560" s="38"/>
      <c r="P560" s="38"/>
      <c r="Q560" s="27"/>
    </row>
    <row r="561" spans="1:17" customFormat="1" ht="15.75">
      <c r="A561" s="4">
        <v>1300</v>
      </c>
      <c r="B561" s="30" t="str">
        <f>VLOOKUP(C561,Sheet1!$A$2:$B$1132,2,FALSE)</f>
        <v>VITAL</v>
      </c>
      <c r="C561" s="50" t="s">
        <v>280</v>
      </c>
      <c r="D561" s="5" t="s">
        <v>147</v>
      </c>
      <c r="E561" s="1" t="s">
        <v>1361</v>
      </c>
      <c r="F561" s="8" t="s">
        <v>1400</v>
      </c>
      <c r="G561" s="8" t="s">
        <v>1367</v>
      </c>
      <c r="H561" s="10">
        <v>1</v>
      </c>
      <c r="I561" s="10">
        <v>1</v>
      </c>
      <c r="J561" s="10"/>
      <c r="K561" s="10"/>
      <c r="L561" s="10"/>
      <c r="M561" s="10">
        <f t="shared" si="13"/>
        <v>0.6</v>
      </c>
      <c r="N561" s="38"/>
      <c r="O561" s="38"/>
      <c r="P561" s="38"/>
      <c r="Q561" s="27"/>
    </row>
    <row r="562" spans="1:17" customFormat="1" ht="15.75">
      <c r="A562" s="4">
        <v>1300</v>
      </c>
      <c r="B562" s="30" t="str">
        <f>VLOOKUP(C562,Sheet1!$A$2:$B$1132,2,FALSE)</f>
        <v>VITAL</v>
      </c>
      <c r="C562" s="51" t="s">
        <v>279</v>
      </c>
      <c r="D562" s="3" t="s">
        <v>147</v>
      </c>
      <c r="E562" s="1" t="s">
        <v>1361</v>
      </c>
      <c r="F562" s="8" t="s">
        <v>1400</v>
      </c>
      <c r="G562" s="8" t="s">
        <v>1367</v>
      </c>
      <c r="H562" s="10">
        <v>1</v>
      </c>
      <c r="I562" s="10">
        <v>1</v>
      </c>
      <c r="J562" s="10"/>
      <c r="K562" s="10"/>
      <c r="L562" s="10"/>
      <c r="M562" s="10">
        <f t="shared" si="13"/>
        <v>0.6</v>
      </c>
      <c r="N562" s="38"/>
      <c r="O562" s="38"/>
      <c r="P562" s="38"/>
      <c r="Q562" s="27"/>
    </row>
    <row r="563" spans="1:17" customFormat="1" ht="15.75">
      <c r="A563" s="4">
        <v>1300</v>
      </c>
      <c r="B563" s="30" t="str">
        <f>VLOOKUP(C563,Sheet1!$A$2:$B$1132,2,FALSE)</f>
        <v>VITAL</v>
      </c>
      <c r="C563" s="50" t="s">
        <v>278</v>
      </c>
      <c r="D563" s="5" t="s">
        <v>147</v>
      </c>
      <c r="E563" s="1" t="s">
        <v>1361</v>
      </c>
      <c r="F563" s="8" t="s">
        <v>1400</v>
      </c>
      <c r="G563" s="8" t="s">
        <v>1367</v>
      </c>
      <c r="H563" s="10">
        <v>1</v>
      </c>
      <c r="I563" s="10">
        <v>1</v>
      </c>
      <c r="J563" s="10"/>
      <c r="K563" s="10"/>
      <c r="L563" s="10"/>
      <c r="M563" s="10">
        <f t="shared" si="13"/>
        <v>0.6</v>
      </c>
      <c r="N563" s="38"/>
      <c r="O563" s="38"/>
      <c r="P563" s="38"/>
      <c r="Q563" s="27"/>
    </row>
    <row r="564" spans="1:17" customFormat="1" ht="15.75">
      <c r="A564" s="4">
        <v>1300</v>
      </c>
      <c r="B564" s="30" t="str">
        <f>VLOOKUP(C564,Sheet1!$A$2:$B$1132,2,FALSE)</f>
        <v>VITAL</v>
      </c>
      <c r="C564" s="51" t="s">
        <v>277</v>
      </c>
      <c r="D564" s="3" t="s">
        <v>147</v>
      </c>
      <c r="E564" s="1" t="s">
        <v>1361</v>
      </c>
      <c r="F564" s="8" t="s">
        <v>1400</v>
      </c>
      <c r="G564" s="8" t="s">
        <v>1367</v>
      </c>
      <c r="H564" s="10">
        <v>1</v>
      </c>
      <c r="I564" s="10">
        <v>1</v>
      </c>
      <c r="J564" s="10"/>
      <c r="K564" s="10"/>
      <c r="L564" s="10"/>
      <c r="M564" s="10">
        <f t="shared" si="13"/>
        <v>0.6</v>
      </c>
      <c r="N564" s="38"/>
      <c r="O564" s="38"/>
      <c r="P564" s="38"/>
      <c r="Q564" s="27"/>
    </row>
    <row r="565" spans="1:17" customFormat="1" ht="15.75">
      <c r="A565" s="4">
        <v>1300</v>
      </c>
      <c r="B565" s="30" t="str">
        <f>VLOOKUP(C565,Sheet1!$A$2:$B$1132,2,FALSE)</f>
        <v>IMPORTANT</v>
      </c>
      <c r="C565" s="50" t="s">
        <v>310</v>
      </c>
      <c r="D565" s="5" t="s">
        <v>111</v>
      </c>
      <c r="E565" s="1" t="s">
        <v>1363</v>
      </c>
      <c r="F565" s="8" t="s">
        <v>1400</v>
      </c>
      <c r="G565" s="8" t="s">
        <v>1367</v>
      </c>
      <c r="H565" s="10"/>
      <c r="I565" s="10"/>
      <c r="J565" s="10"/>
      <c r="K565" s="10"/>
      <c r="L565" s="10"/>
      <c r="M565" s="10">
        <f t="shared" ref="M565:M595" si="14">SUMPRODUCT(H565:L565,$AA$2:$AE$2)</f>
        <v>0</v>
      </c>
      <c r="N565" s="38"/>
      <c r="O565" s="38"/>
      <c r="P565" s="38"/>
      <c r="Q565" s="27"/>
    </row>
    <row r="566" spans="1:17" customFormat="1" ht="15.75">
      <c r="A566" s="4">
        <v>1300</v>
      </c>
      <c r="B566" s="30" t="str">
        <f>VLOOKUP(C566,Sheet1!$A$2:$B$1132,2,FALSE)</f>
        <v>NORMAL</v>
      </c>
      <c r="C566" s="51" t="s">
        <v>134</v>
      </c>
      <c r="D566" s="3" t="s">
        <v>243</v>
      </c>
      <c r="E566" s="1" t="s">
        <v>1363</v>
      </c>
      <c r="F566" s="8" t="s">
        <v>1400</v>
      </c>
      <c r="G566" s="8" t="s">
        <v>1367</v>
      </c>
      <c r="H566" s="10"/>
      <c r="I566" s="10"/>
      <c r="J566" s="10"/>
      <c r="K566" s="10"/>
      <c r="L566" s="10"/>
      <c r="M566" s="10">
        <f t="shared" si="14"/>
        <v>0</v>
      </c>
      <c r="N566" s="38"/>
      <c r="O566" s="38"/>
      <c r="P566" s="38"/>
      <c r="Q566" s="27"/>
    </row>
    <row r="567" spans="1:17" customFormat="1" ht="15.75">
      <c r="A567" s="4">
        <v>1300</v>
      </c>
      <c r="B567" s="30" t="str">
        <f>VLOOKUP(C567,Sheet1!$A$2:$B$1132,2,FALSE)</f>
        <v>ESSENTIAL</v>
      </c>
      <c r="C567" s="50" t="s">
        <v>276</v>
      </c>
      <c r="D567" s="5" t="s">
        <v>220</v>
      </c>
      <c r="E567" s="1" t="s">
        <v>1363</v>
      </c>
      <c r="F567" s="8" t="s">
        <v>1400</v>
      </c>
      <c r="G567" s="8" t="s">
        <v>1367</v>
      </c>
      <c r="H567" s="10"/>
      <c r="I567" s="10"/>
      <c r="J567" s="10"/>
      <c r="K567" s="10"/>
      <c r="L567" s="10"/>
      <c r="M567" s="10">
        <f t="shared" si="14"/>
        <v>0</v>
      </c>
      <c r="N567" s="38"/>
      <c r="O567" s="38"/>
      <c r="P567" s="38"/>
      <c r="Q567" s="27"/>
    </row>
    <row r="568" spans="1:17" customFormat="1" ht="15.75">
      <c r="A568" s="4">
        <v>1300</v>
      </c>
      <c r="B568" s="30" t="str">
        <f>VLOOKUP(C568,Sheet1!$A$2:$B$1132,2,FALSE)</f>
        <v>ESSENTIAL</v>
      </c>
      <c r="C568" s="51" t="s">
        <v>275</v>
      </c>
      <c r="D568" s="3" t="s">
        <v>220</v>
      </c>
      <c r="E568" s="1" t="s">
        <v>1363</v>
      </c>
      <c r="F568" s="8" t="s">
        <v>1400</v>
      </c>
      <c r="G568" s="8" t="s">
        <v>1367</v>
      </c>
      <c r="H568" s="10"/>
      <c r="I568" s="10"/>
      <c r="J568" s="10"/>
      <c r="K568" s="10"/>
      <c r="L568" s="10"/>
      <c r="M568" s="10">
        <f t="shared" si="14"/>
        <v>0</v>
      </c>
      <c r="N568" s="38"/>
      <c r="O568" s="38"/>
      <c r="P568" s="38"/>
      <c r="Q568" s="27"/>
    </row>
    <row r="569" spans="1:17" customFormat="1" ht="15.75">
      <c r="A569" s="4">
        <v>1300</v>
      </c>
      <c r="B569" s="30" t="str">
        <f>VLOOKUP(C569,Sheet1!$A$2:$B$1132,2,FALSE)</f>
        <v>ESSENTIAL</v>
      </c>
      <c r="C569" s="50" t="s">
        <v>274</v>
      </c>
      <c r="D569" s="5" t="s">
        <v>220</v>
      </c>
      <c r="E569" s="1" t="s">
        <v>1363</v>
      </c>
      <c r="F569" s="8" t="s">
        <v>1400</v>
      </c>
      <c r="G569" s="8" t="s">
        <v>1367</v>
      </c>
      <c r="H569" s="10"/>
      <c r="I569" s="10"/>
      <c r="J569" s="10"/>
      <c r="K569" s="10"/>
      <c r="L569" s="10"/>
      <c r="M569" s="10">
        <f t="shared" si="14"/>
        <v>0</v>
      </c>
      <c r="N569" s="38"/>
      <c r="O569" s="38"/>
      <c r="P569" s="38"/>
      <c r="Q569" s="27"/>
    </row>
    <row r="570" spans="1:17" customFormat="1" ht="15.75">
      <c r="A570" s="4">
        <v>1300</v>
      </c>
      <c r="B570" s="30" t="str">
        <f>VLOOKUP(C570,Sheet1!$A$2:$B$1132,2,FALSE)</f>
        <v>ESSENTIAL</v>
      </c>
      <c r="C570" s="51" t="s">
        <v>273</v>
      </c>
      <c r="D570" s="3" t="s">
        <v>220</v>
      </c>
      <c r="E570" s="1" t="s">
        <v>1363</v>
      </c>
      <c r="F570" s="8" t="s">
        <v>1400</v>
      </c>
      <c r="G570" s="8" t="s">
        <v>1367</v>
      </c>
      <c r="H570" s="10"/>
      <c r="I570" s="10"/>
      <c r="J570" s="10"/>
      <c r="K570" s="10"/>
      <c r="L570" s="10"/>
      <c r="M570" s="10">
        <f t="shared" si="14"/>
        <v>0</v>
      </c>
      <c r="N570" s="38"/>
      <c r="O570" s="38"/>
      <c r="P570" s="38"/>
      <c r="Q570" s="27"/>
    </row>
    <row r="571" spans="1:17" customFormat="1" ht="15.75">
      <c r="A571" s="4">
        <v>1300</v>
      </c>
      <c r="B571" s="30" t="str">
        <f>VLOOKUP(C571,Sheet1!$A$2:$B$1132,2,FALSE)</f>
        <v>NORMAL</v>
      </c>
      <c r="C571" s="50" t="s">
        <v>320</v>
      </c>
      <c r="D571" s="5" t="s">
        <v>195</v>
      </c>
      <c r="E571" s="1" t="s">
        <v>1363</v>
      </c>
      <c r="F571" s="8" t="s">
        <v>1400</v>
      </c>
      <c r="G571" s="8" t="s">
        <v>1367</v>
      </c>
      <c r="H571" s="10"/>
      <c r="I571" s="10"/>
      <c r="J571" s="10"/>
      <c r="K571" s="10"/>
      <c r="L571" s="10"/>
      <c r="M571" s="10">
        <f t="shared" si="14"/>
        <v>0</v>
      </c>
      <c r="N571" s="38"/>
      <c r="O571" s="38"/>
      <c r="P571" s="38"/>
      <c r="Q571" s="27"/>
    </row>
    <row r="572" spans="1:17" customFormat="1" ht="15.75">
      <c r="A572" s="4">
        <v>1300</v>
      </c>
      <c r="B572" s="30" t="str">
        <f>VLOOKUP(C572,Sheet1!$A$2:$B$1132,2,FALSE)</f>
        <v>NORMAL</v>
      </c>
      <c r="C572" s="51" t="s">
        <v>321</v>
      </c>
      <c r="D572" s="3" t="s">
        <v>195</v>
      </c>
      <c r="E572" s="1" t="s">
        <v>1363</v>
      </c>
      <c r="F572" s="8" t="s">
        <v>1400</v>
      </c>
      <c r="G572" s="8" t="s">
        <v>1367</v>
      </c>
      <c r="H572" s="10"/>
      <c r="I572" s="10"/>
      <c r="J572" s="10"/>
      <c r="K572" s="10"/>
      <c r="L572" s="10"/>
      <c r="M572" s="10">
        <f t="shared" si="14"/>
        <v>0</v>
      </c>
      <c r="N572" s="38"/>
      <c r="O572" s="38"/>
      <c r="P572" s="38"/>
      <c r="Q572" s="27"/>
    </row>
    <row r="573" spans="1:17" customFormat="1" ht="15.75">
      <c r="A573" s="4">
        <v>1300</v>
      </c>
      <c r="B573" s="30" t="str">
        <f>VLOOKUP(C573,Sheet1!$A$2:$B$1132,2,FALSE)</f>
        <v>NORMAL</v>
      </c>
      <c r="C573" s="50" t="s">
        <v>322</v>
      </c>
      <c r="D573" s="5" t="s">
        <v>195</v>
      </c>
      <c r="E573" s="1" t="s">
        <v>1363</v>
      </c>
      <c r="F573" s="8" t="s">
        <v>1400</v>
      </c>
      <c r="G573" s="8" t="s">
        <v>1367</v>
      </c>
      <c r="H573" s="10"/>
      <c r="I573" s="10"/>
      <c r="J573" s="10"/>
      <c r="K573" s="10"/>
      <c r="L573" s="10"/>
      <c r="M573" s="10">
        <f t="shared" si="14"/>
        <v>0</v>
      </c>
      <c r="N573" s="38"/>
      <c r="O573" s="38"/>
      <c r="P573" s="38"/>
      <c r="Q573" s="27"/>
    </row>
    <row r="574" spans="1:17" ht="15.75">
      <c r="A574" s="33">
        <v>1300</v>
      </c>
      <c r="B574" s="30" t="str">
        <f>VLOOKUP(C574,Sheet1!$A$2:$B$1132,2,FALSE)</f>
        <v>VITAL</v>
      </c>
      <c r="C574" s="52" t="s">
        <v>272</v>
      </c>
      <c r="D574" s="34" t="s">
        <v>147</v>
      </c>
      <c r="E574" s="35" t="s">
        <v>1361</v>
      </c>
      <c r="F574" s="32" t="s">
        <v>1400</v>
      </c>
      <c r="G574" s="32" t="s">
        <v>1367</v>
      </c>
      <c r="H574" s="28">
        <v>1</v>
      </c>
      <c r="I574" s="28">
        <v>1</v>
      </c>
      <c r="J574" s="28"/>
      <c r="K574" s="28"/>
      <c r="L574" s="28"/>
      <c r="M574" s="28">
        <f t="shared" si="14"/>
        <v>0.6</v>
      </c>
    </row>
    <row r="575" spans="1:17" ht="15.75">
      <c r="A575" s="33">
        <v>1300</v>
      </c>
      <c r="B575" s="30" t="str">
        <f>VLOOKUP(C575,Sheet1!$A$2:$B$1132,2,FALSE)</f>
        <v>VITAL</v>
      </c>
      <c r="C575" s="49" t="s">
        <v>271</v>
      </c>
      <c r="D575" s="31" t="s">
        <v>147</v>
      </c>
      <c r="E575" s="35" t="s">
        <v>1361</v>
      </c>
      <c r="F575" s="32" t="s">
        <v>1400</v>
      </c>
      <c r="G575" s="32" t="s">
        <v>1367</v>
      </c>
      <c r="H575" s="28">
        <v>1</v>
      </c>
      <c r="I575" s="28">
        <v>1</v>
      </c>
      <c r="J575" s="28"/>
      <c r="K575" s="28"/>
      <c r="L575" s="28"/>
      <c r="M575" s="28">
        <f t="shared" si="14"/>
        <v>0.6</v>
      </c>
    </row>
    <row r="576" spans="1:17" customFormat="1" ht="15.75">
      <c r="A576" s="4">
        <v>1300</v>
      </c>
      <c r="B576" s="30" t="str">
        <f>VLOOKUP(C576,Sheet1!$A$2:$B$1132,2,FALSE)</f>
        <v>NORMAL</v>
      </c>
      <c r="C576" s="50" t="s">
        <v>135</v>
      </c>
      <c r="D576" s="5" t="s">
        <v>243</v>
      </c>
      <c r="E576" s="1" t="s">
        <v>1363</v>
      </c>
      <c r="F576" s="8" t="s">
        <v>1400</v>
      </c>
      <c r="G576" s="8" t="s">
        <v>1367</v>
      </c>
      <c r="H576" s="10"/>
      <c r="I576" s="10"/>
      <c r="J576" s="10"/>
      <c r="K576" s="10"/>
      <c r="L576" s="10"/>
      <c r="M576" s="10">
        <f t="shared" si="14"/>
        <v>0</v>
      </c>
      <c r="N576" s="38"/>
      <c r="O576" s="38"/>
      <c r="P576" s="38"/>
      <c r="Q576" s="27"/>
    </row>
    <row r="577" spans="1:17" customFormat="1" ht="15.75">
      <c r="A577" s="4">
        <v>1300</v>
      </c>
      <c r="B577" s="30" t="str">
        <f>VLOOKUP(C577,Sheet1!$A$2:$B$1132,2,FALSE)</f>
        <v>NORMAL</v>
      </c>
      <c r="C577" s="50" t="s">
        <v>327</v>
      </c>
      <c r="D577" s="5" t="s">
        <v>85</v>
      </c>
      <c r="E577" s="1" t="s">
        <v>1363</v>
      </c>
      <c r="F577" s="8" t="s">
        <v>1400</v>
      </c>
      <c r="G577" s="8" t="s">
        <v>1367</v>
      </c>
      <c r="H577" s="10"/>
      <c r="I577" s="10"/>
      <c r="J577" s="10"/>
      <c r="K577" s="10"/>
      <c r="L577" s="10"/>
      <c r="M577" s="10">
        <f t="shared" si="14"/>
        <v>0</v>
      </c>
      <c r="N577" s="38"/>
      <c r="O577" s="38"/>
      <c r="P577" s="38"/>
      <c r="Q577" s="27"/>
    </row>
    <row r="578" spans="1:17" customFormat="1" ht="15.75">
      <c r="A578" s="4">
        <v>1300</v>
      </c>
      <c r="B578" s="30" t="str">
        <f>VLOOKUP(C578,Sheet1!$A$2:$B$1132,2,FALSE)</f>
        <v>NORMAL</v>
      </c>
      <c r="C578" s="50" t="s">
        <v>312</v>
      </c>
      <c r="D578" s="5" t="s">
        <v>152</v>
      </c>
      <c r="E578" s="1" t="s">
        <v>1363</v>
      </c>
      <c r="F578" s="8" t="s">
        <v>1400</v>
      </c>
      <c r="G578" s="8" t="s">
        <v>1367</v>
      </c>
      <c r="H578" s="10"/>
      <c r="I578" s="10"/>
      <c r="J578" s="10"/>
      <c r="K578" s="10"/>
      <c r="L578" s="10"/>
      <c r="M578" s="10">
        <f t="shared" si="14"/>
        <v>0</v>
      </c>
      <c r="N578" s="38"/>
      <c r="O578" s="38"/>
      <c r="P578" s="38"/>
      <c r="Q578" s="27"/>
    </row>
    <row r="579" spans="1:17" customFormat="1" ht="15.75">
      <c r="A579" s="4">
        <v>1300</v>
      </c>
      <c r="B579" s="30" t="str">
        <f>VLOOKUP(C579,Sheet1!$A$2:$B$1132,2,FALSE)</f>
        <v>NORMAL</v>
      </c>
      <c r="C579" s="51" t="s">
        <v>323</v>
      </c>
      <c r="D579" s="3" t="s">
        <v>206</v>
      </c>
      <c r="E579" s="1" t="s">
        <v>1363</v>
      </c>
      <c r="F579" s="8" t="s">
        <v>1400</v>
      </c>
      <c r="G579" s="8" t="s">
        <v>1367</v>
      </c>
      <c r="H579" s="10"/>
      <c r="I579" s="10"/>
      <c r="J579" s="10"/>
      <c r="K579" s="10"/>
      <c r="L579" s="10"/>
      <c r="M579" s="10">
        <f t="shared" si="14"/>
        <v>0</v>
      </c>
      <c r="N579" s="38"/>
      <c r="O579" s="38"/>
      <c r="P579" s="38"/>
      <c r="Q579" s="27"/>
    </row>
    <row r="580" spans="1:17" customFormat="1" ht="15.75">
      <c r="A580" s="4">
        <v>1300</v>
      </c>
      <c r="B580" s="30" t="str">
        <f>VLOOKUP(C580,Sheet1!$A$2:$B$1132,2,FALSE)</f>
        <v>NORMAL</v>
      </c>
      <c r="C580" s="50" t="s">
        <v>324</v>
      </c>
      <c r="D580" s="5" t="s">
        <v>206</v>
      </c>
      <c r="E580" s="1" t="s">
        <v>1363</v>
      </c>
      <c r="F580" s="8" t="s">
        <v>1400</v>
      </c>
      <c r="G580" s="8" t="s">
        <v>1367</v>
      </c>
      <c r="H580" s="10"/>
      <c r="I580" s="10"/>
      <c r="J580" s="10"/>
      <c r="K580" s="10"/>
      <c r="L580" s="10"/>
      <c r="M580" s="10">
        <f t="shared" si="14"/>
        <v>0</v>
      </c>
      <c r="N580" s="38"/>
      <c r="O580" s="38"/>
      <c r="P580" s="38"/>
      <c r="Q580" s="27"/>
    </row>
    <row r="581" spans="1:17" customFormat="1" ht="15.75">
      <c r="A581" s="4">
        <v>1300</v>
      </c>
      <c r="B581" s="30" t="str">
        <f>VLOOKUP(C581,Sheet1!$A$2:$B$1132,2,FALSE)</f>
        <v>NORMAL</v>
      </c>
      <c r="C581" s="51" t="s">
        <v>325</v>
      </c>
      <c r="D581" s="3" t="s">
        <v>206</v>
      </c>
      <c r="E581" s="1" t="s">
        <v>1363</v>
      </c>
      <c r="F581" s="8" t="s">
        <v>1400</v>
      </c>
      <c r="G581" s="8" t="s">
        <v>1367</v>
      </c>
      <c r="H581" s="10"/>
      <c r="I581" s="10"/>
      <c r="J581" s="10"/>
      <c r="K581" s="10"/>
      <c r="L581" s="10"/>
      <c r="M581" s="10">
        <f t="shared" si="14"/>
        <v>0</v>
      </c>
      <c r="N581" s="38"/>
      <c r="O581" s="38"/>
      <c r="P581" s="38"/>
      <c r="Q581" s="27"/>
    </row>
    <row r="582" spans="1:17" customFormat="1" ht="15.75">
      <c r="A582" s="4">
        <v>1300</v>
      </c>
      <c r="B582" s="30" t="str">
        <f>VLOOKUP(C582,Sheet1!$A$2:$B$1132,2,FALSE)</f>
        <v>NORMAL</v>
      </c>
      <c r="C582" s="50" t="s">
        <v>326</v>
      </c>
      <c r="D582" s="5" t="s">
        <v>206</v>
      </c>
      <c r="E582" s="1" t="s">
        <v>1363</v>
      </c>
      <c r="F582" s="8" t="s">
        <v>1400</v>
      </c>
      <c r="G582" s="8" t="s">
        <v>1367</v>
      </c>
      <c r="H582" s="10"/>
      <c r="I582" s="10"/>
      <c r="J582" s="10"/>
      <c r="K582" s="10"/>
      <c r="L582" s="10"/>
      <c r="M582" s="10">
        <f t="shared" si="14"/>
        <v>0</v>
      </c>
      <c r="N582" s="38"/>
      <c r="O582" s="38"/>
      <c r="P582" s="38"/>
      <c r="Q582" s="27"/>
    </row>
    <row r="583" spans="1:17" customFormat="1" ht="15.75">
      <c r="A583" s="4">
        <v>1300</v>
      </c>
      <c r="B583" s="30" t="str">
        <f>VLOOKUP(C583,Sheet1!$A$2:$B$1132,2,FALSE)</f>
        <v>NORMAL</v>
      </c>
      <c r="C583" s="51" t="s">
        <v>136</v>
      </c>
      <c r="D583" s="3" t="s">
        <v>243</v>
      </c>
      <c r="E583" s="1" t="s">
        <v>1363</v>
      </c>
      <c r="F583" s="8" t="s">
        <v>1400</v>
      </c>
      <c r="G583" s="8" t="s">
        <v>1367</v>
      </c>
      <c r="H583" s="10"/>
      <c r="I583" s="10"/>
      <c r="J583" s="10"/>
      <c r="K583" s="10"/>
      <c r="L583" s="10"/>
      <c r="M583" s="10">
        <f t="shared" si="14"/>
        <v>0</v>
      </c>
      <c r="N583" s="38"/>
      <c r="O583" s="38"/>
      <c r="P583" s="38"/>
      <c r="Q583" s="27"/>
    </row>
    <row r="584" spans="1:17" customFormat="1" ht="15.75">
      <c r="A584" s="4">
        <v>1300</v>
      </c>
      <c r="B584" s="30" t="str">
        <f>VLOOKUP(C584,Sheet1!$A$2:$B$1132,2,FALSE)</f>
        <v>NORMAL</v>
      </c>
      <c r="C584" s="50" t="s">
        <v>318</v>
      </c>
      <c r="D584" s="5" t="s">
        <v>112</v>
      </c>
      <c r="E584" s="1" t="s">
        <v>1363</v>
      </c>
      <c r="F584" s="8" t="s">
        <v>1400</v>
      </c>
      <c r="G584" s="8" t="s">
        <v>1367</v>
      </c>
      <c r="H584" s="10"/>
      <c r="I584" s="10"/>
      <c r="J584" s="10"/>
      <c r="K584" s="10"/>
      <c r="L584" s="10"/>
      <c r="M584" s="10">
        <f t="shared" si="14"/>
        <v>0</v>
      </c>
      <c r="N584" s="38"/>
      <c r="O584" s="38"/>
      <c r="P584" s="38"/>
      <c r="Q584" s="27"/>
    </row>
    <row r="585" spans="1:17" customFormat="1" ht="15.75">
      <c r="A585" s="4">
        <v>1300</v>
      </c>
      <c r="B585" s="30" t="str">
        <f>VLOOKUP(C585,Sheet1!$A$2:$B$1132,2,FALSE)</f>
        <v>NORMAL</v>
      </c>
      <c r="C585" s="51" t="s">
        <v>319</v>
      </c>
      <c r="D585" s="3" t="s">
        <v>112</v>
      </c>
      <c r="E585" s="1" t="s">
        <v>1363</v>
      </c>
      <c r="F585" s="8" t="s">
        <v>1400</v>
      </c>
      <c r="G585" s="8" t="s">
        <v>1367</v>
      </c>
      <c r="H585" s="10"/>
      <c r="I585" s="10"/>
      <c r="J585" s="10"/>
      <c r="K585" s="10"/>
      <c r="L585" s="10"/>
      <c r="M585" s="10">
        <f t="shared" si="14"/>
        <v>0</v>
      </c>
      <c r="N585" s="38"/>
      <c r="O585" s="38"/>
      <c r="P585" s="38"/>
      <c r="Q585" s="27"/>
    </row>
    <row r="586" spans="1:17" customFormat="1" ht="15.75">
      <c r="A586" s="4">
        <v>1300</v>
      </c>
      <c r="B586" s="30" t="str">
        <f>VLOOKUP(C586,Sheet1!$A$2:$B$1132,2,FALSE)</f>
        <v>ESSENTIAL</v>
      </c>
      <c r="C586" s="50" t="s">
        <v>653</v>
      </c>
      <c r="D586" s="5" t="s">
        <v>414</v>
      </c>
      <c r="E586" s="8"/>
      <c r="F586" s="8" t="s">
        <v>1400</v>
      </c>
      <c r="G586" s="8" t="s">
        <v>1367</v>
      </c>
      <c r="H586" s="10"/>
      <c r="I586" s="10"/>
      <c r="J586" s="10"/>
      <c r="K586" s="10"/>
      <c r="L586" s="10"/>
      <c r="M586" s="10">
        <f t="shared" si="14"/>
        <v>0</v>
      </c>
      <c r="N586" s="38"/>
      <c r="O586" s="38"/>
      <c r="P586" s="38"/>
      <c r="Q586" s="27"/>
    </row>
    <row r="587" spans="1:17" customFormat="1" ht="15.75">
      <c r="A587" s="4">
        <v>1300</v>
      </c>
      <c r="B587" s="30" t="str">
        <f>VLOOKUP(C587,Sheet1!$A$2:$B$1132,2,FALSE)</f>
        <v>NORMAL</v>
      </c>
      <c r="C587" s="50" t="s">
        <v>137</v>
      </c>
      <c r="D587" s="5" t="s">
        <v>243</v>
      </c>
      <c r="E587" s="1" t="s">
        <v>1363</v>
      </c>
      <c r="F587" s="8" t="s">
        <v>1400</v>
      </c>
      <c r="G587" s="8" t="s">
        <v>1367</v>
      </c>
      <c r="H587" s="10"/>
      <c r="I587" s="10"/>
      <c r="J587" s="10"/>
      <c r="K587" s="10"/>
      <c r="L587" s="10"/>
      <c r="M587" s="10">
        <f t="shared" si="14"/>
        <v>0</v>
      </c>
      <c r="N587" s="38"/>
      <c r="O587" s="38"/>
      <c r="P587" s="38"/>
      <c r="Q587" s="27"/>
    </row>
    <row r="588" spans="1:17" customFormat="1" ht="15.75">
      <c r="A588" s="4">
        <v>1300</v>
      </c>
      <c r="B588" s="30" t="str">
        <f>VLOOKUP(C588,Sheet1!$A$2:$B$1132,2,FALSE)</f>
        <v>NORMAL</v>
      </c>
      <c r="C588" s="51" t="s">
        <v>328</v>
      </c>
      <c r="D588" s="3" t="s">
        <v>12</v>
      </c>
      <c r="E588" s="1" t="s">
        <v>1363</v>
      </c>
      <c r="F588" s="8" t="s">
        <v>1400</v>
      </c>
      <c r="G588" s="8" t="s">
        <v>1367</v>
      </c>
      <c r="H588" s="10"/>
      <c r="I588" s="10"/>
      <c r="J588" s="10"/>
      <c r="K588" s="10"/>
      <c r="L588" s="10"/>
      <c r="M588" s="10">
        <f t="shared" si="14"/>
        <v>0</v>
      </c>
      <c r="N588" s="38"/>
      <c r="O588" s="38"/>
      <c r="P588" s="38"/>
      <c r="Q588" s="27"/>
    </row>
    <row r="589" spans="1:17" customFormat="1" ht="15.75">
      <c r="A589" s="4">
        <v>1300</v>
      </c>
      <c r="B589" s="30" t="str">
        <f>VLOOKUP(C589,Sheet1!$A$2:$B$1132,2,FALSE)</f>
        <v>IMPORTANT</v>
      </c>
      <c r="C589" s="50" t="s">
        <v>315</v>
      </c>
      <c r="D589" s="5" t="s">
        <v>145</v>
      </c>
      <c r="E589" s="1" t="s">
        <v>1363</v>
      </c>
      <c r="F589" s="8" t="s">
        <v>1400</v>
      </c>
      <c r="G589" s="8" t="s">
        <v>1367</v>
      </c>
      <c r="H589" s="10"/>
      <c r="I589" s="10"/>
      <c r="J589" s="10"/>
      <c r="K589" s="10"/>
      <c r="L589" s="10"/>
      <c r="M589" s="10">
        <f t="shared" si="14"/>
        <v>0</v>
      </c>
      <c r="N589" s="38"/>
      <c r="O589" s="38"/>
      <c r="P589" s="38"/>
      <c r="Q589" s="27"/>
    </row>
    <row r="590" spans="1:17" customFormat="1" ht="15.75">
      <c r="A590" s="4">
        <v>1300</v>
      </c>
      <c r="B590" s="30" t="str">
        <f>VLOOKUP(C590,Sheet1!$A$2:$B$1132,2,FALSE)</f>
        <v>IMPORTANT</v>
      </c>
      <c r="C590" s="51" t="s">
        <v>316</v>
      </c>
      <c r="D590" s="3" t="s">
        <v>145</v>
      </c>
      <c r="E590" s="1" t="s">
        <v>1363</v>
      </c>
      <c r="F590" s="8" t="s">
        <v>1400</v>
      </c>
      <c r="G590" s="8" t="s">
        <v>1367</v>
      </c>
      <c r="H590" s="10"/>
      <c r="I590" s="10"/>
      <c r="J590" s="10"/>
      <c r="K590" s="10"/>
      <c r="L590" s="10"/>
      <c r="M590" s="10">
        <f t="shared" si="14"/>
        <v>0</v>
      </c>
      <c r="N590" s="38"/>
      <c r="O590" s="38"/>
      <c r="P590" s="38"/>
      <c r="Q590" s="27"/>
    </row>
    <row r="591" spans="1:17" customFormat="1" ht="15.75">
      <c r="A591" s="2">
        <v>1400</v>
      </c>
      <c r="B591" s="30" t="str">
        <f>VLOOKUP(C591,Sheet1!$A$2:$B$1132,2,FALSE)</f>
        <v>ESSENTIAL</v>
      </c>
      <c r="C591" s="51" t="s">
        <v>1383</v>
      </c>
      <c r="D591" s="3" t="s">
        <v>584</v>
      </c>
      <c r="E591" s="8"/>
      <c r="F591" s="8" t="s">
        <v>1400</v>
      </c>
      <c r="G591" s="8" t="s">
        <v>1366</v>
      </c>
      <c r="H591" s="10"/>
      <c r="I591" s="10"/>
      <c r="J591" s="10"/>
      <c r="K591" s="10"/>
      <c r="L591" s="10"/>
      <c r="M591" s="10">
        <f t="shared" si="14"/>
        <v>0</v>
      </c>
      <c r="N591" s="38"/>
      <c r="O591" s="38"/>
      <c r="P591" s="38"/>
      <c r="Q591" s="27"/>
    </row>
    <row r="592" spans="1:17" customFormat="1" ht="15.75">
      <c r="A592" s="2">
        <v>1400</v>
      </c>
      <c r="B592" s="30" t="str">
        <f>VLOOKUP(C592,Sheet1!$A$2:$B$1132,2,FALSE)</f>
        <v>NORMAL</v>
      </c>
      <c r="C592" s="51" t="s">
        <v>138</v>
      </c>
      <c r="D592" s="3" t="s">
        <v>243</v>
      </c>
      <c r="E592" s="1" t="s">
        <v>1363</v>
      </c>
      <c r="F592" s="8" t="s">
        <v>1400</v>
      </c>
      <c r="G592" s="8" t="s">
        <v>1367</v>
      </c>
      <c r="H592" s="10"/>
      <c r="I592" s="10"/>
      <c r="J592" s="10"/>
      <c r="K592" s="10"/>
      <c r="L592" s="10"/>
      <c r="M592" s="10">
        <f t="shared" si="14"/>
        <v>0</v>
      </c>
      <c r="N592" s="38"/>
      <c r="O592" s="38"/>
      <c r="P592" s="38"/>
      <c r="Q592" s="27"/>
    </row>
    <row r="593" spans="1:17" customFormat="1" ht="15.75">
      <c r="A593" s="2">
        <v>1400</v>
      </c>
      <c r="B593" s="30" t="str">
        <f>VLOOKUP(C593,Sheet1!$A$2:$B$1132,2,FALSE)</f>
        <v>ESSENTIAL</v>
      </c>
      <c r="C593" s="51" t="s">
        <v>270</v>
      </c>
      <c r="D593" s="3" t="s">
        <v>165</v>
      </c>
      <c r="E593" s="1" t="s">
        <v>1363</v>
      </c>
      <c r="F593" s="8" t="s">
        <v>1400</v>
      </c>
      <c r="G593" s="8" t="s">
        <v>1367</v>
      </c>
      <c r="H593" s="10"/>
      <c r="I593" s="10"/>
      <c r="J593" s="10"/>
      <c r="K593" s="10"/>
      <c r="L593" s="10"/>
      <c r="M593" s="10">
        <f t="shared" si="14"/>
        <v>0</v>
      </c>
      <c r="N593" s="38"/>
      <c r="O593" s="38"/>
      <c r="P593" s="38"/>
      <c r="Q593" s="27"/>
    </row>
    <row r="594" spans="1:17" customFormat="1" ht="15.75">
      <c r="A594" s="2">
        <v>1400</v>
      </c>
      <c r="B594" s="30" t="str">
        <f>VLOOKUP(C594,Sheet1!$A$2:$B$1132,2,FALSE)</f>
        <v>ESSENTIAL</v>
      </c>
      <c r="C594" s="50" t="s">
        <v>269</v>
      </c>
      <c r="D594" s="5" t="s">
        <v>171</v>
      </c>
      <c r="E594" s="1" t="s">
        <v>1363</v>
      </c>
      <c r="F594" s="8" t="s">
        <v>1400</v>
      </c>
      <c r="G594" s="8" t="s">
        <v>1367</v>
      </c>
      <c r="H594" s="10"/>
      <c r="I594" s="10"/>
      <c r="J594" s="10"/>
      <c r="K594" s="10"/>
      <c r="L594" s="10"/>
      <c r="M594" s="10">
        <f t="shared" si="14"/>
        <v>0</v>
      </c>
      <c r="N594" s="38"/>
      <c r="O594" s="38"/>
      <c r="P594" s="38"/>
      <c r="Q594" s="27"/>
    </row>
    <row r="595" spans="1:17" customFormat="1" ht="15.75">
      <c r="A595" s="2">
        <v>1400</v>
      </c>
      <c r="B595" s="30" t="str">
        <f>VLOOKUP(C595,Sheet1!$A$2:$B$1132,2,FALSE)</f>
        <v>ESSENTIAL</v>
      </c>
      <c r="C595" s="50" t="s">
        <v>268</v>
      </c>
      <c r="D595" s="5" t="s">
        <v>165</v>
      </c>
      <c r="E595" s="1" t="s">
        <v>1363</v>
      </c>
      <c r="F595" s="8" t="s">
        <v>1400</v>
      </c>
      <c r="G595" s="8" t="s">
        <v>1367</v>
      </c>
      <c r="H595" s="10"/>
      <c r="I595" s="10"/>
      <c r="J595" s="10"/>
      <c r="K595" s="10"/>
      <c r="L595" s="10"/>
      <c r="M595" s="10">
        <f t="shared" si="14"/>
        <v>0</v>
      </c>
      <c r="N595" s="38"/>
      <c r="O595" s="38"/>
      <c r="P595" s="38"/>
      <c r="Q595" s="27"/>
    </row>
    <row r="596" spans="1:17">
      <c r="Q596" s="39"/>
    </row>
  </sheetData>
  <protectedRanges>
    <protectedRange sqref="D8:D94" name="Range1"/>
    <protectedRange sqref="D591" name="Range1_1"/>
  </protectedRanges>
  <autoFilter ref="A7:AF595"/>
  <mergeCells count="1">
    <mergeCell ref="AA1:AF1"/>
  </mergeCells>
  <conditionalFormatting sqref="C76">
    <cfRule type="duplicateValues" dxfId="21" priority="1"/>
  </conditionalFormatting>
  <conditionalFormatting sqref="C8:C75 C77:C595">
    <cfRule type="duplicateValues" dxfId="20" priority="35"/>
  </conditionalFormatting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4"/>
  <sheetViews>
    <sheetView topLeftCell="A250" workbookViewId="0">
      <selection activeCell="F11" sqref="F11"/>
    </sheetView>
  </sheetViews>
  <sheetFormatPr defaultRowHeight="15"/>
  <cols>
    <col min="1" max="1" width="12.5" customWidth="1"/>
    <col min="2" max="2" width="13.375" customWidth="1"/>
    <col min="3" max="3" width="11.125" customWidth="1"/>
    <col min="4" max="4" width="11.625" customWidth="1"/>
    <col min="5" max="5" width="11.5" customWidth="1"/>
    <col min="6" max="6" width="28.125" customWidth="1"/>
    <col min="7" max="7" width="33.75" bestFit="1" customWidth="1"/>
  </cols>
  <sheetData>
    <row r="1" spans="1:15" ht="149.25" customHeight="1">
      <c r="A1" s="12" t="s">
        <v>1369</v>
      </c>
      <c r="B1" s="12" t="s">
        <v>1381</v>
      </c>
      <c r="C1" s="12" t="s">
        <v>1380</v>
      </c>
      <c r="D1" s="7" t="s">
        <v>1353</v>
      </c>
      <c r="E1" s="6" t="s">
        <v>1382</v>
      </c>
      <c r="F1" s="6" t="s">
        <v>1352</v>
      </c>
      <c r="G1" s="6" t="s">
        <v>0</v>
      </c>
      <c r="H1" s="6" t="s">
        <v>1374</v>
      </c>
      <c r="I1" s="6" t="s">
        <v>1373</v>
      </c>
      <c r="J1" s="9" t="s">
        <v>1370</v>
      </c>
      <c r="K1" s="9" t="s">
        <v>1375</v>
      </c>
      <c r="L1" s="9" t="s">
        <v>1376</v>
      </c>
      <c r="M1" s="9" t="s">
        <v>1378</v>
      </c>
      <c r="N1" s="9" t="s">
        <v>1379</v>
      </c>
      <c r="O1" s="11" t="s">
        <v>1377</v>
      </c>
    </row>
    <row r="2" spans="1:15" ht="15.75">
      <c r="A2" s="4">
        <v>1500</v>
      </c>
      <c r="B2" s="4"/>
      <c r="C2" s="4"/>
      <c r="D2" s="4"/>
      <c r="E2" s="4"/>
      <c r="F2" s="5" t="s">
        <v>489</v>
      </c>
      <c r="G2" s="5" t="s">
        <v>490</v>
      </c>
      <c r="H2" s="8"/>
      <c r="I2" s="8"/>
      <c r="J2" s="10"/>
      <c r="K2" s="10"/>
      <c r="L2" s="10"/>
      <c r="M2" s="10"/>
      <c r="N2" s="10"/>
      <c r="O2" s="10">
        <v>0</v>
      </c>
    </row>
    <row r="3" spans="1:15" ht="15.75">
      <c r="A3" s="4">
        <v>1500</v>
      </c>
      <c r="B3" s="4"/>
      <c r="C3" s="4"/>
      <c r="D3" s="2"/>
      <c r="E3" s="2"/>
      <c r="F3" s="3" t="s">
        <v>113</v>
      </c>
      <c r="G3" s="3" t="s">
        <v>193</v>
      </c>
      <c r="H3" s="8" t="s">
        <v>1364</v>
      </c>
      <c r="I3" s="8"/>
      <c r="J3" s="10"/>
      <c r="K3" s="10"/>
      <c r="L3" s="10"/>
      <c r="M3" s="10"/>
      <c r="N3" s="10"/>
      <c r="O3" s="10">
        <v>0</v>
      </c>
    </row>
    <row r="4" spans="1:15" ht="15.75">
      <c r="A4" s="4">
        <v>1500</v>
      </c>
      <c r="B4" s="4"/>
      <c r="C4" s="4"/>
      <c r="D4" s="4"/>
      <c r="E4" s="4"/>
      <c r="F4" s="5" t="s">
        <v>114</v>
      </c>
      <c r="G4" s="5" t="s">
        <v>193</v>
      </c>
      <c r="H4" s="8" t="s">
        <v>1364</v>
      </c>
      <c r="I4" s="8"/>
      <c r="J4" s="10"/>
      <c r="K4" s="10"/>
      <c r="L4" s="10"/>
      <c r="M4" s="10"/>
      <c r="N4" s="10"/>
      <c r="O4" s="10">
        <v>0</v>
      </c>
    </row>
    <row r="5" spans="1:15" ht="15.75">
      <c r="A5" s="4">
        <v>1500</v>
      </c>
      <c r="B5" s="4"/>
      <c r="C5" s="4"/>
      <c r="D5" s="2"/>
      <c r="E5" s="2"/>
      <c r="F5" s="3" t="s">
        <v>74</v>
      </c>
      <c r="G5" s="3" t="s">
        <v>232</v>
      </c>
      <c r="H5" s="8" t="s">
        <v>1364</v>
      </c>
      <c r="I5" s="8"/>
      <c r="J5" s="10"/>
      <c r="K5" s="10"/>
      <c r="L5" s="10"/>
      <c r="M5" s="10"/>
      <c r="N5" s="10"/>
      <c r="O5" s="10">
        <v>0</v>
      </c>
    </row>
    <row r="6" spans="1:15" ht="15.75">
      <c r="A6" s="4">
        <v>1500</v>
      </c>
      <c r="B6" s="4"/>
      <c r="C6" s="4"/>
      <c r="D6" s="2"/>
      <c r="E6" s="2"/>
      <c r="F6" s="3" t="s">
        <v>73</v>
      </c>
      <c r="G6" s="3" t="s">
        <v>230</v>
      </c>
      <c r="H6" s="8" t="s">
        <v>1364</v>
      </c>
      <c r="I6" s="8"/>
      <c r="J6" s="10"/>
      <c r="K6" s="10"/>
      <c r="L6" s="10"/>
      <c r="M6" s="10"/>
      <c r="N6" s="10"/>
      <c r="O6" s="10">
        <v>0</v>
      </c>
    </row>
    <row r="7" spans="1:15" ht="15.75">
      <c r="A7" s="4">
        <v>1500</v>
      </c>
      <c r="B7" s="4"/>
      <c r="C7" s="4"/>
      <c r="D7" s="4"/>
      <c r="E7" s="4"/>
      <c r="F7" s="5" t="s">
        <v>86</v>
      </c>
      <c r="G7" s="5" t="s">
        <v>203</v>
      </c>
      <c r="H7" s="8" t="s">
        <v>1364</v>
      </c>
      <c r="I7" s="8"/>
      <c r="J7" s="10"/>
      <c r="K7" s="10"/>
      <c r="L7" s="10"/>
      <c r="M7" s="10"/>
      <c r="N7" s="10"/>
      <c r="O7" s="10">
        <v>0</v>
      </c>
    </row>
    <row r="8" spans="1:15" ht="15.75">
      <c r="A8" s="4">
        <v>1500</v>
      </c>
      <c r="B8" s="4"/>
      <c r="C8" s="4"/>
      <c r="D8" s="4"/>
      <c r="E8" s="4"/>
      <c r="F8" s="5" t="s">
        <v>115</v>
      </c>
      <c r="G8" s="5" t="s">
        <v>158</v>
      </c>
      <c r="H8" s="8" t="s">
        <v>1364</v>
      </c>
      <c r="I8" s="8"/>
      <c r="J8" s="10"/>
      <c r="K8" s="10"/>
      <c r="L8" s="10"/>
      <c r="M8" s="10"/>
      <c r="N8" s="10"/>
      <c r="O8" s="10">
        <v>0</v>
      </c>
    </row>
    <row r="9" spans="1:15" ht="15.75">
      <c r="A9" s="4">
        <v>1500</v>
      </c>
      <c r="B9" s="4"/>
      <c r="C9" s="4"/>
      <c r="D9" s="2"/>
      <c r="E9" s="2"/>
      <c r="F9" s="3" t="s">
        <v>116</v>
      </c>
      <c r="G9" s="3" t="s">
        <v>158</v>
      </c>
      <c r="H9" s="8" t="s">
        <v>1364</v>
      </c>
      <c r="I9" s="8"/>
      <c r="J9" s="10"/>
      <c r="K9" s="10"/>
      <c r="L9" s="10"/>
      <c r="M9" s="10"/>
      <c r="N9" s="10"/>
      <c r="O9" s="10">
        <v>0</v>
      </c>
    </row>
    <row r="10" spans="1:15" ht="15.75">
      <c r="A10" s="4">
        <v>1500</v>
      </c>
      <c r="B10" s="4"/>
      <c r="C10" s="4"/>
      <c r="D10" s="2"/>
      <c r="E10" s="2"/>
      <c r="F10" s="3" t="s">
        <v>311</v>
      </c>
      <c r="G10" s="3" t="s">
        <v>111</v>
      </c>
      <c r="H10" s="8" t="s">
        <v>1364</v>
      </c>
      <c r="I10" s="8"/>
      <c r="J10" s="10"/>
      <c r="K10" s="10"/>
      <c r="L10" s="10"/>
      <c r="M10" s="10"/>
      <c r="N10" s="10"/>
      <c r="O10" s="10">
        <v>0</v>
      </c>
    </row>
    <row r="11" spans="1:15" ht="15.75">
      <c r="A11" s="4">
        <v>1500</v>
      </c>
      <c r="B11" s="4"/>
      <c r="C11" s="4"/>
      <c r="D11" s="4"/>
      <c r="E11" s="4"/>
      <c r="F11" s="5" t="s">
        <v>72</v>
      </c>
      <c r="G11" s="5" t="s">
        <v>166</v>
      </c>
      <c r="H11" s="8" t="s">
        <v>1364</v>
      </c>
      <c r="I11" s="8"/>
      <c r="J11" s="10"/>
      <c r="K11" s="10"/>
      <c r="L11" s="10"/>
      <c r="M11" s="10"/>
      <c r="N11" s="10"/>
      <c r="O11" s="10">
        <v>0</v>
      </c>
    </row>
    <row r="12" spans="1:15" ht="15.75">
      <c r="A12" s="4">
        <v>1500</v>
      </c>
      <c r="B12" s="4"/>
      <c r="C12" s="4"/>
      <c r="D12" s="2"/>
      <c r="E12" s="2"/>
      <c r="F12" s="3" t="s">
        <v>71</v>
      </c>
      <c r="G12" s="3" t="s">
        <v>166</v>
      </c>
      <c r="H12" s="8" t="s">
        <v>1364</v>
      </c>
      <c r="I12" s="8"/>
      <c r="J12" s="10"/>
      <c r="K12" s="10"/>
      <c r="L12" s="10"/>
      <c r="M12" s="10"/>
      <c r="N12" s="10"/>
      <c r="O12" s="10">
        <v>0</v>
      </c>
    </row>
    <row r="13" spans="1:15" ht="15.75">
      <c r="A13" s="4">
        <v>1500</v>
      </c>
      <c r="B13" s="4"/>
      <c r="C13" s="4"/>
      <c r="D13" s="4"/>
      <c r="E13" s="4"/>
      <c r="F13" s="5" t="s">
        <v>70</v>
      </c>
      <c r="G13" s="5" t="s">
        <v>166</v>
      </c>
      <c r="H13" s="8" t="s">
        <v>1364</v>
      </c>
      <c r="I13" s="8"/>
      <c r="J13" s="10"/>
      <c r="K13" s="10"/>
      <c r="L13" s="10"/>
      <c r="M13" s="10"/>
      <c r="N13" s="10"/>
      <c r="O13" s="10">
        <v>0</v>
      </c>
    </row>
    <row r="14" spans="1:15" ht="15.75">
      <c r="A14" s="4">
        <v>1500</v>
      </c>
      <c r="B14" s="4"/>
      <c r="C14" s="4"/>
      <c r="D14" s="2"/>
      <c r="E14" s="2"/>
      <c r="F14" s="3" t="s">
        <v>69</v>
      </c>
      <c r="G14" s="3" t="s">
        <v>166</v>
      </c>
      <c r="H14" s="8" t="s">
        <v>1364</v>
      </c>
      <c r="I14" s="8"/>
      <c r="J14" s="10"/>
      <c r="K14" s="10"/>
      <c r="L14" s="10"/>
      <c r="M14" s="10"/>
      <c r="N14" s="10"/>
      <c r="O14" s="10">
        <v>0</v>
      </c>
    </row>
    <row r="15" spans="1:15" ht="15.75">
      <c r="A15" s="4">
        <v>1500</v>
      </c>
      <c r="B15" s="4"/>
      <c r="C15" s="4"/>
      <c r="D15" s="2"/>
      <c r="E15" s="2"/>
      <c r="F15" s="3" t="s">
        <v>363</v>
      </c>
      <c r="G15" s="3" t="s">
        <v>364</v>
      </c>
      <c r="H15" s="1">
        <v>0</v>
      </c>
      <c r="I15" s="8"/>
      <c r="J15" s="10"/>
      <c r="K15" s="10"/>
      <c r="L15" s="10"/>
      <c r="M15" s="10"/>
      <c r="N15" s="10"/>
      <c r="O15" s="10">
        <v>0</v>
      </c>
    </row>
    <row r="16" spans="1:15" ht="15.75">
      <c r="A16" s="4">
        <v>1500</v>
      </c>
      <c r="B16" s="4"/>
      <c r="C16" s="4"/>
      <c r="D16" s="4"/>
      <c r="E16" s="4"/>
      <c r="F16" s="5" t="s">
        <v>117</v>
      </c>
      <c r="G16" s="5" t="s">
        <v>12</v>
      </c>
      <c r="H16" s="8" t="s">
        <v>1364</v>
      </c>
      <c r="I16" s="8"/>
      <c r="J16" s="10"/>
      <c r="K16" s="10"/>
      <c r="L16" s="10"/>
      <c r="M16" s="10"/>
      <c r="N16" s="10"/>
      <c r="O16" s="10">
        <v>0</v>
      </c>
    </row>
    <row r="17" spans="1:15" ht="15.75">
      <c r="A17" s="4">
        <v>1500</v>
      </c>
      <c r="B17" s="4"/>
      <c r="C17" s="4"/>
      <c r="D17" s="2"/>
      <c r="E17" s="2"/>
      <c r="F17" s="3" t="s">
        <v>118</v>
      </c>
      <c r="G17" s="3" t="s">
        <v>12</v>
      </c>
      <c r="H17" s="8" t="s">
        <v>1364</v>
      </c>
      <c r="I17" s="8"/>
      <c r="J17" s="10"/>
      <c r="K17" s="10"/>
      <c r="L17" s="10"/>
      <c r="M17" s="10"/>
      <c r="N17" s="10"/>
      <c r="O17" s="10">
        <v>0</v>
      </c>
    </row>
    <row r="18" spans="1:15" ht="15.75">
      <c r="A18" s="4">
        <v>1500</v>
      </c>
      <c r="B18" s="4"/>
      <c r="C18" s="4"/>
      <c r="D18" s="4"/>
      <c r="E18" s="4"/>
      <c r="F18" s="5" t="s">
        <v>119</v>
      </c>
      <c r="G18" s="5" t="s">
        <v>12</v>
      </c>
      <c r="H18" s="8" t="s">
        <v>1364</v>
      </c>
      <c r="I18" s="8"/>
      <c r="J18" s="10"/>
      <c r="K18" s="10"/>
      <c r="L18" s="10"/>
      <c r="M18" s="10"/>
      <c r="N18" s="10"/>
      <c r="O18" s="10">
        <v>0</v>
      </c>
    </row>
    <row r="19" spans="1:15" ht="15.75">
      <c r="A19" s="4">
        <v>1500</v>
      </c>
      <c r="B19" s="4"/>
      <c r="C19" s="4"/>
      <c r="D19" s="2"/>
      <c r="E19" s="2"/>
      <c r="F19" s="3" t="s">
        <v>120</v>
      </c>
      <c r="G19" s="3" t="s">
        <v>12</v>
      </c>
      <c r="H19" s="8" t="s">
        <v>1364</v>
      </c>
      <c r="I19" s="8"/>
      <c r="J19" s="10"/>
      <c r="K19" s="10"/>
      <c r="L19" s="10"/>
      <c r="M19" s="10"/>
      <c r="N19" s="10"/>
      <c r="O19" s="10">
        <v>0</v>
      </c>
    </row>
    <row r="20" spans="1:15" ht="15.75">
      <c r="A20" s="4">
        <v>1500</v>
      </c>
      <c r="B20" s="4"/>
      <c r="C20" s="4"/>
      <c r="D20" s="4"/>
      <c r="E20" s="4"/>
      <c r="F20" s="5" t="s">
        <v>121</v>
      </c>
      <c r="G20" s="5" t="s">
        <v>12</v>
      </c>
      <c r="H20" s="8" t="s">
        <v>1364</v>
      </c>
      <c r="I20" s="8"/>
      <c r="J20" s="10"/>
      <c r="K20" s="10"/>
      <c r="L20" s="10"/>
      <c r="M20" s="10"/>
      <c r="N20" s="10"/>
      <c r="O20" s="10">
        <v>0</v>
      </c>
    </row>
    <row r="21" spans="1:15" ht="15.75">
      <c r="A21" s="4">
        <v>1500</v>
      </c>
      <c r="B21" s="4"/>
      <c r="C21" s="4"/>
      <c r="D21" s="2"/>
      <c r="E21" s="2"/>
      <c r="F21" s="3" t="s">
        <v>122</v>
      </c>
      <c r="G21" s="3" t="s">
        <v>12</v>
      </c>
      <c r="H21" s="8" t="s">
        <v>1364</v>
      </c>
      <c r="I21" s="8"/>
      <c r="J21" s="10"/>
      <c r="K21" s="10"/>
      <c r="L21" s="10"/>
      <c r="M21" s="10"/>
      <c r="N21" s="10"/>
      <c r="O21" s="10">
        <v>0</v>
      </c>
    </row>
    <row r="22" spans="1:15" ht="15.75">
      <c r="A22" s="4">
        <v>1500</v>
      </c>
      <c r="B22" s="4"/>
      <c r="C22" s="4"/>
      <c r="D22" s="4"/>
      <c r="E22" s="4"/>
      <c r="F22" s="5" t="s">
        <v>123</v>
      </c>
      <c r="G22" s="5" t="s">
        <v>12</v>
      </c>
      <c r="H22" s="8" t="s">
        <v>1364</v>
      </c>
      <c r="I22" s="8"/>
      <c r="J22" s="10"/>
      <c r="K22" s="10"/>
      <c r="L22" s="10"/>
      <c r="M22" s="10"/>
      <c r="N22" s="10"/>
      <c r="O22" s="10">
        <v>0</v>
      </c>
    </row>
    <row r="23" spans="1:15" ht="15.75">
      <c r="A23" s="4">
        <v>1500</v>
      </c>
      <c r="B23" s="4"/>
      <c r="C23" s="4"/>
      <c r="D23" s="2"/>
      <c r="E23" s="2"/>
      <c r="F23" s="3" t="s">
        <v>244</v>
      </c>
      <c r="G23" s="3" t="s">
        <v>194</v>
      </c>
      <c r="H23" s="8" t="s">
        <v>1364</v>
      </c>
      <c r="I23" s="8"/>
      <c r="J23" s="10"/>
      <c r="K23" s="10"/>
      <c r="L23" s="10"/>
      <c r="M23" s="10"/>
      <c r="N23" s="10"/>
      <c r="O23" s="10">
        <v>0</v>
      </c>
    </row>
    <row r="24" spans="1:15" ht="15.75">
      <c r="A24" s="4">
        <v>1500</v>
      </c>
      <c r="B24" s="4"/>
      <c r="C24" s="4"/>
      <c r="D24" s="4"/>
      <c r="E24" s="4"/>
      <c r="F24" s="5" t="s">
        <v>245</v>
      </c>
      <c r="G24" s="5" t="s">
        <v>194</v>
      </c>
      <c r="H24" s="8" t="s">
        <v>1364</v>
      </c>
      <c r="I24" s="8"/>
      <c r="J24" s="10"/>
      <c r="K24" s="10"/>
      <c r="L24" s="10"/>
      <c r="M24" s="10"/>
      <c r="N24" s="10"/>
      <c r="O24" s="10">
        <v>0</v>
      </c>
    </row>
    <row r="25" spans="1:15" ht="15.75">
      <c r="A25" s="4">
        <v>1500</v>
      </c>
      <c r="B25" s="4"/>
      <c r="C25" s="4"/>
      <c r="D25" s="2"/>
      <c r="E25" s="2"/>
      <c r="F25" s="3" t="s">
        <v>68</v>
      </c>
      <c r="G25" s="3" t="s">
        <v>164</v>
      </c>
      <c r="H25" s="8" t="s">
        <v>1364</v>
      </c>
      <c r="I25" s="8"/>
      <c r="J25" s="10"/>
      <c r="K25" s="10"/>
      <c r="L25" s="10"/>
      <c r="M25" s="10"/>
      <c r="N25" s="10"/>
      <c r="O25" s="10">
        <v>0</v>
      </c>
    </row>
    <row r="26" spans="1:15" ht="15.75">
      <c r="A26" s="4">
        <v>1500</v>
      </c>
      <c r="B26" s="4"/>
      <c r="C26" s="4"/>
      <c r="D26" s="4"/>
      <c r="E26" s="4"/>
      <c r="F26" s="5" t="s">
        <v>67</v>
      </c>
      <c r="G26" s="5" t="s">
        <v>164</v>
      </c>
      <c r="H26" s="8" t="s">
        <v>1364</v>
      </c>
      <c r="I26" s="8"/>
      <c r="J26" s="10"/>
      <c r="K26" s="10"/>
      <c r="L26" s="10"/>
      <c r="M26" s="10"/>
      <c r="N26" s="10"/>
      <c r="O26" s="10">
        <v>0</v>
      </c>
    </row>
    <row r="27" spans="1:15" ht="15.75">
      <c r="A27" s="4">
        <v>1500</v>
      </c>
      <c r="B27" s="4"/>
      <c r="C27" s="4"/>
      <c r="D27" s="2"/>
      <c r="E27" s="2"/>
      <c r="F27" s="3" t="s">
        <v>66</v>
      </c>
      <c r="G27" s="3" t="s">
        <v>164</v>
      </c>
      <c r="H27" s="8" t="s">
        <v>1364</v>
      </c>
      <c r="I27" s="8"/>
      <c r="J27" s="10"/>
      <c r="K27" s="10"/>
      <c r="L27" s="10"/>
      <c r="M27" s="10"/>
      <c r="N27" s="10"/>
      <c r="O27" s="10">
        <v>0</v>
      </c>
    </row>
    <row r="28" spans="1:15" ht="15.75">
      <c r="A28" s="4">
        <v>1500</v>
      </c>
      <c r="B28" s="4"/>
      <c r="C28" s="4"/>
      <c r="D28" s="2"/>
      <c r="E28" s="2"/>
      <c r="F28" s="3" t="s">
        <v>65</v>
      </c>
      <c r="G28" s="3" t="s">
        <v>160</v>
      </c>
      <c r="H28" s="8" t="s">
        <v>1364</v>
      </c>
      <c r="I28" s="8"/>
      <c r="J28" s="10"/>
      <c r="K28" s="10"/>
      <c r="L28" s="10"/>
      <c r="M28" s="10"/>
      <c r="N28" s="10"/>
      <c r="O28" s="10">
        <v>0</v>
      </c>
    </row>
    <row r="29" spans="1:15" ht="15.75">
      <c r="A29" s="4">
        <v>1500</v>
      </c>
      <c r="B29" s="4"/>
      <c r="C29" s="4"/>
      <c r="D29" s="4"/>
      <c r="E29" s="4"/>
      <c r="F29" s="5" t="s">
        <v>64</v>
      </c>
      <c r="G29" s="5" t="s">
        <v>160</v>
      </c>
      <c r="H29" s="8" t="s">
        <v>1364</v>
      </c>
      <c r="I29" s="8"/>
      <c r="J29" s="10"/>
      <c r="K29" s="10"/>
      <c r="L29" s="10"/>
      <c r="M29" s="10"/>
      <c r="N29" s="10"/>
      <c r="O29" s="10">
        <v>0</v>
      </c>
    </row>
    <row r="30" spans="1:15" ht="15.75">
      <c r="A30" s="4">
        <v>1500</v>
      </c>
      <c r="B30" s="4"/>
      <c r="C30" s="4"/>
      <c r="D30" s="2"/>
      <c r="E30" s="2"/>
      <c r="F30" s="3" t="s">
        <v>63</v>
      </c>
      <c r="G30" s="3" t="s">
        <v>160</v>
      </c>
      <c r="H30" s="8" t="s">
        <v>1364</v>
      </c>
      <c r="I30" s="8"/>
      <c r="J30" s="10"/>
      <c r="K30" s="10"/>
      <c r="L30" s="10"/>
      <c r="M30" s="10"/>
      <c r="N30" s="10"/>
      <c r="O30" s="10">
        <v>0</v>
      </c>
    </row>
    <row r="31" spans="1:15" ht="15.75">
      <c r="A31" s="4">
        <v>1500</v>
      </c>
      <c r="B31" s="4"/>
      <c r="C31" s="4"/>
      <c r="D31" s="4"/>
      <c r="E31" s="4"/>
      <c r="F31" s="5" t="s">
        <v>62</v>
      </c>
      <c r="G31" s="5" t="s">
        <v>204</v>
      </c>
      <c r="H31" s="8" t="s">
        <v>1364</v>
      </c>
      <c r="I31" s="8"/>
      <c r="J31" s="10"/>
      <c r="K31" s="10"/>
      <c r="L31" s="10"/>
      <c r="M31" s="10"/>
      <c r="N31" s="10"/>
      <c r="O31" s="10">
        <v>0</v>
      </c>
    </row>
    <row r="32" spans="1:15" ht="15.75">
      <c r="A32" s="4">
        <v>1500</v>
      </c>
      <c r="B32" s="4"/>
      <c r="C32" s="4"/>
      <c r="D32" s="2"/>
      <c r="E32" s="2"/>
      <c r="F32" s="3" t="s">
        <v>61</v>
      </c>
      <c r="G32" s="3" t="s">
        <v>204</v>
      </c>
      <c r="H32" s="8" t="s">
        <v>1364</v>
      </c>
      <c r="I32" s="8"/>
      <c r="J32" s="10"/>
      <c r="K32" s="10"/>
      <c r="L32" s="10"/>
      <c r="M32" s="10"/>
      <c r="N32" s="10"/>
      <c r="O32" s="10">
        <v>0</v>
      </c>
    </row>
    <row r="33" spans="1:15" ht="15.75">
      <c r="A33" s="4">
        <v>1500</v>
      </c>
      <c r="B33" s="4"/>
      <c r="C33" s="4"/>
      <c r="D33" s="4"/>
      <c r="E33" s="4"/>
      <c r="F33" s="5" t="s">
        <v>130</v>
      </c>
      <c r="G33" s="5" t="s">
        <v>159</v>
      </c>
      <c r="H33" s="8" t="s">
        <v>1364</v>
      </c>
      <c r="I33" s="8"/>
      <c r="J33" s="10"/>
      <c r="K33" s="10"/>
      <c r="L33" s="10"/>
      <c r="M33" s="10"/>
      <c r="N33" s="10"/>
      <c r="O33" s="10">
        <v>0</v>
      </c>
    </row>
    <row r="34" spans="1:15" ht="15.75">
      <c r="A34" s="4">
        <v>1500</v>
      </c>
      <c r="B34" s="4"/>
      <c r="C34" s="4"/>
      <c r="D34" s="2"/>
      <c r="E34" s="2"/>
      <c r="F34" s="3" t="s">
        <v>131</v>
      </c>
      <c r="G34" s="3" t="s">
        <v>159</v>
      </c>
      <c r="H34" s="8" t="s">
        <v>1364</v>
      </c>
      <c r="I34" s="8"/>
      <c r="J34" s="10"/>
      <c r="K34" s="10"/>
      <c r="L34" s="10"/>
      <c r="M34" s="10"/>
      <c r="N34" s="10"/>
      <c r="O34" s="10">
        <v>0</v>
      </c>
    </row>
    <row r="35" spans="1:15" ht="15.75">
      <c r="A35" s="4">
        <v>1500</v>
      </c>
      <c r="B35" s="4"/>
      <c r="C35" s="4"/>
      <c r="D35" s="4"/>
      <c r="E35" s="4"/>
      <c r="F35" s="5" t="s">
        <v>87</v>
      </c>
      <c r="G35" s="5" t="s">
        <v>223</v>
      </c>
      <c r="H35" s="8" t="s">
        <v>1364</v>
      </c>
      <c r="I35" s="8"/>
      <c r="J35" s="10"/>
      <c r="K35" s="10"/>
      <c r="L35" s="10"/>
      <c r="M35" s="10"/>
      <c r="N35" s="10"/>
      <c r="O35" s="10">
        <v>0</v>
      </c>
    </row>
    <row r="36" spans="1:15" ht="15.75">
      <c r="A36" s="4">
        <v>1500</v>
      </c>
      <c r="B36" s="4"/>
      <c r="C36" s="4"/>
      <c r="D36" s="2"/>
      <c r="E36" s="2"/>
      <c r="F36" s="3" t="s">
        <v>88</v>
      </c>
      <c r="G36" s="3" t="s">
        <v>223</v>
      </c>
      <c r="H36" s="8" t="s">
        <v>1364</v>
      </c>
      <c r="I36" s="8"/>
      <c r="J36" s="10"/>
      <c r="K36" s="10"/>
      <c r="L36" s="10"/>
      <c r="M36" s="10"/>
      <c r="N36" s="10"/>
      <c r="O36" s="10">
        <v>0</v>
      </c>
    </row>
    <row r="37" spans="1:15" ht="15.75">
      <c r="A37" s="4">
        <v>1500</v>
      </c>
      <c r="B37" s="4"/>
      <c r="C37" s="4"/>
      <c r="D37" s="4"/>
      <c r="E37" s="4"/>
      <c r="F37" s="5" t="s">
        <v>89</v>
      </c>
      <c r="G37" s="5" t="s">
        <v>101</v>
      </c>
      <c r="H37" s="8" t="s">
        <v>1364</v>
      </c>
      <c r="I37" s="8"/>
      <c r="J37" s="10"/>
      <c r="K37" s="10"/>
      <c r="L37" s="10"/>
      <c r="M37" s="10"/>
      <c r="N37" s="10"/>
      <c r="O37" s="10">
        <v>0</v>
      </c>
    </row>
    <row r="38" spans="1:15" ht="15.75">
      <c r="A38" s="4">
        <v>1500</v>
      </c>
      <c r="B38" s="4"/>
      <c r="C38" s="4"/>
      <c r="D38" s="2"/>
      <c r="E38" s="2"/>
      <c r="F38" s="3" t="s">
        <v>90</v>
      </c>
      <c r="G38" s="3" t="s">
        <v>101</v>
      </c>
      <c r="H38" s="8" t="s">
        <v>1364</v>
      </c>
      <c r="I38" s="8"/>
      <c r="J38" s="10"/>
      <c r="K38" s="10"/>
      <c r="L38" s="10"/>
      <c r="M38" s="10"/>
      <c r="N38" s="10"/>
      <c r="O38" s="10">
        <v>0</v>
      </c>
    </row>
    <row r="39" spans="1:15" ht="15.75">
      <c r="A39" s="4">
        <v>1500</v>
      </c>
      <c r="B39" s="4"/>
      <c r="C39" s="4"/>
      <c r="D39" s="2"/>
      <c r="E39" s="2"/>
      <c r="F39" s="3" t="s">
        <v>124</v>
      </c>
      <c r="G39" s="3" t="s">
        <v>12</v>
      </c>
      <c r="H39" s="8" t="s">
        <v>1364</v>
      </c>
      <c r="I39" s="8"/>
      <c r="J39" s="10"/>
      <c r="K39" s="10"/>
      <c r="L39" s="10"/>
      <c r="M39" s="10"/>
      <c r="N39" s="10"/>
      <c r="O39" s="10">
        <v>0</v>
      </c>
    </row>
    <row r="40" spans="1:15" ht="15.75">
      <c r="A40" s="4">
        <v>1500</v>
      </c>
      <c r="B40" s="4"/>
      <c r="C40" s="4"/>
      <c r="D40" s="4"/>
      <c r="E40" s="4"/>
      <c r="F40" s="5" t="s">
        <v>267</v>
      </c>
      <c r="G40" s="5" t="s">
        <v>12</v>
      </c>
      <c r="H40" s="8" t="s">
        <v>1364</v>
      </c>
      <c r="I40" s="8"/>
      <c r="J40" s="10"/>
      <c r="K40" s="10"/>
      <c r="L40" s="10"/>
      <c r="M40" s="10"/>
      <c r="N40" s="10"/>
      <c r="O40" s="10">
        <v>0</v>
      </c>
    </row>
    <row r="41" spans="1:15" ht="15.75">
      <c r="A41" s="4">
        <v>1500</v>
      </c>
      <c r="B41" s="4"/>
      <c r="C41" s="4"/>
      <c r="D41" s="2"/>
      <c r="E41" s="2"/>
      <c r="F41" s="3" t="s">
        <v>266</v>
      </c>
      <c r="G41" s="3" t="s">
        <v>12</v>
      </c>
      <c r="H41" s="8" t="s">
        <v>1364</v>
      </c>
      <c r="I41" s="8"/>
      <c r="J41" s="10"/>
      <c r="K41" s="10"/>
      <c r="L41" s="10"/>
      <c r="M41" s="10"/>
      <c r="N41" s="10"/>
      <c r="O41" s="10">
        <v>0</v>
      </c>
    </row>
    <row r="42" spans="1:15" ht="15.75">
      <c r="A42" s="4">
        <v>1500</v>
      </c>
      <c r="B42" s="4"/>
      <c r="C42" s="4"/>
      <c r="D42" s="4"/>
      <c r="E42" s="4"/>
      <c r="F42" s="5" t="s">
        <v>265</v>
      </c>
      <c r="G42" s="5" t="s">
        <v>12</v>
      </c>
      <c r="H42" s="8" t="s">
        <v>1364</v>
      </c>
      <c r="I42" s="8"/>
      <c r="J42" s="10"/>
      <c r="K42" s="10"/>
      <c r="L42" s="10"/>
      <c r="M42" s="10"/>
      <c r="N42" s="10"/>
      <c r="O42" s="10">
        <v>0</v>
      </c>
    </row>
    <row r="43" spans="1:15" ht="15.75">
      <c r="A43" s="4">
        <v>1500</v>
      </c>
      <c r="B43" s="4"/>
      <c r="C43" s="4"/>
      <c r="D43" s="2"/>
      <c r="E43" s="2"/>
      <c r="F43" s="3" t="s">
        <v>264</v>
      </c>
      <c r="G43" s="3" t="s">
        <v>12</v>
      </c>
      <c r="H43" s="8" t="s">
        <v>1364</v>
      </c>
      <c r="I43" s="8"/>
      <c r="J43" s="10"/>
      <c r="K43" s="10"/>
      <c r="L43" s="10"/>
      <c r="M43" s="10"/>
      <c r="N43" s="10"/>
      <c r="O43" s="10">
        <v>0</v>
      </c>
    </row>
    <row r="44" spans="1:15" ht="15.75">
      <c r="A44" s="4">
        <v>1500</v>
      </c>
      <c r="B44" s="4"/>
      <c r="C44" s="4"/>
      <c r="D44" s="4"/>
      <c r="E44" s="4"/>
      <c r="F44" s="5" t="s">
        <v>263</v>
      </c>
      <c r="G44" s="5" t="s">
        <v>12</v>
      </c>
      <c r="H44" s="8" t="s">
        <v>1364</v>
      </c>
      <c r="I44" s="8"/>
      <c r="J44" s="10"/>
      <c r="K44" s="10"/>
      <c r="L44" s="10"/>
      <c r="M44" s="10"/>
      <c r="N44" s="10"/>
      <c r="O44" s="10">
        <v>0</v>
      </c>
    </row>
    <row r="45" spans="1:15" ht="15.75">
      <c r="A45" s="4">
        <v>1500</v>
      </c>
      <c r="B45" s="4"/>
      <c r="C45" s="4"/>
      <c r="D45" s="2"/>
      <c r="E45" s="2"/>
      <c r="F45" s="3" t="s">
        <v>262</v>
      </c>
      <c r="G45" s="3" t="s">
        <v>12</v>
      </c>
      <c r="H45" s="8" t="s">
        <v>1364</v>
      </c>
      <c r="I45" s="8"/>
      <c r="J45" s="10"/>
      <c r="K45" s="10"/>
      <c r="L45" s="10"/>
      <c r="M45" s="10"/>
      <c r="N45" s="10"/>
      <c r="O45" s="10">
        <v>0</v>
      </c>
    </row>
    <row r="46" spans="1:15" ht="15.75">
      <c r="A46" s="4">
        <v>1500</v>
      </c>
      <c r="B46" s="4"/>
      <c r="C46" s="4"/>
      <c r="D46" s="4"/>
      <c r="E46" s="4"/>
      <c r="F46" s="5" t="s">
        <v>261</v>
      </c>
      <c r="G46" s="5" t="s">
        <v>12</v>
      </c>
      <c r="H46" s="8" t="s">
        <v>1364</v>
      </c>
      <c r="I46" s="8"/>
      <c r="J46" s="10"/>
      <c r="K46" s="10"/>
      <c r="L46" s="10"/>
      <c r="M46" s="10"/>
      <c r="N46" s="10"/>
      <c r="O46" s="10">
        <v>0</v>
      </c>
    </row>
    <row r="47" spans="1:15" ht="15.75">
      <c r="A47" s="4">
        <v>1500</v>
      </c>
      <c r="B47" s="4"/>
      <c r="C47" s="4"/>
      <c r="D47" s="2"/>
      <c r="E47" s="2"/>
      <c r="F47" s="3" t="s">
        <v>260</v>
      </c>
      <c r="G47" s="3" t="s">
        <v>12</v>
      </c>
      <c r="H47" s="8" t="s">
        <v>1364</v>
      </c>
      <c r="I47" s="8"/>
      <c r="J47" s="10"/>
      <c r="K47" s="10"/>
      <c r="L47" s="10"/>
      <c r="M47" s="10"/>
      <c r="N47" s="10"/>
      <c r="O47" s="10">
        <v>0</v>
      </c>
    </row>
    <row r="48" spans="1:15" ht="15.75">
      <c r="A48" s="4">
        <v>1500</v>
      </c>
      <c r="B48" s="4"/>
      <c r="C48" s="4"/>
      <c r="D48" s="4"/>
      <c r="E48" s="4"/>
      <c r="F48" s="5" t="s">
        <v>60</v>
      </c>
      <c r="G48" s="5" t="s">
        <v>12</v>
      </c>
      <c r="H48" s="8" t="s">
        <v>1364</v>
      </c>
      <c r="I48" s="8"/>
      <c r="J48" s="10"/>
      <c r="K48" s="10"/>
      <c r="L48" s="10"/>
      <c r="M48" s="10"/>
      <c r="N48" s="10"/>
      <c r="O48" s="10">
        <v>0</v>
      </c>
    </row>
    <row r="49" spans="1:15" ht="15.75">
      <c r="A49" s="4">
        <v>1500</v>
      </c>
      <c r="B49" s="4"/>
      <c r="C49" s="4"/>
      <c r="D49" s="2"/>
      <c r="E49" s="2"/>
      <c r="F49" s="3" t="s">
        <v>59</v>
      </c>
      <c r="G49" s="3" t="s">
        <v>12</v>
      </c>
      <c r="H49" s="8" t="s">
        <v>1364</v>
      </c>
      <c r="I49" s="8"/>
      <c r="J49" s="10"/>
      <c r="K49" s="10"/>
      <c r="L49" s="10"/>
      <c r="M49" s="10"/>
      <c r="N49" s="10"/>
      <c r="O49" s="10">
        <v>0</v>
      </c>
    </row>
    <row r="50" spans="1:15" ht="15.75">
      <c r="A50" s="4">
        <v>1500</v>
      </c>
      <c r="B50" s="4"/>
      <c r="C50" s="4"/>
      <c r="D50" s="4"/>
      <c r="E50" s="4"/>
      <c r="F50" s="5" t="s">
        <v>58</v>
      </c>
      <c r="G50" s="5" t="s">
        <v>12</v>
      </c>
      <c r="H50" s="8" t="s">
        <v>1364</v>
      </c>
      <c r="I50" s="8"/>
      <c r="J50" s="10"/>
      <c r="K50" s="10"/>
      <c r="L50" s="10"/>
      <c r="M50" s="10"/>
      <c r="N50" s="10"/>
      <c r="O50" s="10">
        <v>0</v>
      </c>
    </row>
    <row r="51" spans="1:15" ht="15.75">
      <c r="A51" s="4">
        <v>1500</v>
      </c>
      <c r="B51" s="4"/>
      <c r="C51" s="4"/>
      <c r="D51" s="4"/>
      <c r="E51" s="4"/>
      <c r="F51" s="5" t="s">
        <v>57</v>
      </c>
      <c r="G51" s="5" t="s">
        <v>231</v>
      </c>
      <c r="H51" s="1" t="s">
        <v>1364</v>
      </c>
      <c r="I51" s="8"/>
      <c r="J51" s="10"/>
      <c r="K51" s="10"/>
      <c r="L51" s="10"/>
      <c r="M51" s="10"/>
      <c r="N51" s="10"/>
      <c r="O51" s="10">
        <v>0</v>
      </c>
    </row>
    <row r="52" spans="1:15" ht="15.75">
      <c r="A52" s="4">
        <v>1500</v>
      </c>
      <c r="B52" s="4"/>
      <c r="C52" s="4"/>
      <c r="D52" s="4"/>
      <c r="E52" s="4"/>
      <c r="F52" s="5" t="s">
        <v>56</v>
      </c>
      <c r="G52" s="5" t="s">
        <v>36</v>
      </c>
      <c r="H52" s="1" t="s">
        <v>1364</v>
      </c>
      <c r="I52" s="8"/>
      <c r="J52" s="10"/>
      <c r="K52" s="10"/>
      <c r="L52" s="10"/>
      <c r="M52" s="10"/>
      <c r="N52" s="10"/>
      <c r="O52" s="10">
        <v>0</v>
      </c>
    </row>
    <row r="53" spans="1:15" ht="15.75">
      <c r="A53" s="4">
        <v>1500</v>
      </c>
      <c r="B53" s="4"/>
      <c r="C53" s="4"/>
      <c r="D53" s="4"/>
      <c r="E53" s="4"/>
      <c r="F53" s="5" t="s">
        <v>55</v>
      </c>
      <c r="G53" s="5" t="s">
        <v>35</v>
      </c>
      <c r="H53" s="1" t="s">
        <v>1364</v>
      </c>
      <c r="I53" s="8"/>
      <c r="J53" s="10"/>
      <c r="K53" s="10"/>
      <c r="L53" s="10"/>
      <c r="M53" s="10"/>
      <c r="N53" s="10"/>
      <c r="O53" s="10">
        <v>0</v>
      </c>
    </row>
    <row r="54" spans="1:15" ht="15.75">
      <c r="A54" s="4">
        <v>1500</v>
      </c>
      <c r="B54" s="4"/>
      <c r="C54" s="4"/>
      <c r="D54" s="4"/>
      <c r="E54" s="4"/>
      <c r="F54" s="5" t="s">
        <v>54</v>
      </c>
      <c r="G54" s="5" t="s">
        <v>34</v>
      </c>
      <c r="H54" s="1" t="s">
        <v>1363</v>
      </c>
      <c r="I54" s="8"/>
      <c r="J54" s="10"/>
      <c r="K54" s="10"/>
      <c r="L54" s="10"/>
      <c r="M54" s="10"/>
      <c r="N54" s="10"/>
      <c r="O54" s="10">
        <v>0</v>
      </c>
    </row>
    <row r="55" spans="1:15" ht="15.75">
      <c r="A55" s="4">
        <v>1500</v>
      </c>
      <c r="B55" s="4"/>
      <c r="C55" s="4"/>
      <c r="D55" s="2"/>
      <c r="E55" s="2"/>
      <c r="F55" s="3" t="s">
        <v>91</v>
      </c>
      <c r="G55" s="3" t="s">
        <v>125</v>
      </c>
      <c r="H55" s="1" t="s">
        <v>1363</v>
      </c>
      <c r="I55" s="8"/>
      <c r="J55" s="10"/>
      <c r="K55" s="10"/>
      <c r="L55" s="10"/>
      <c r="M55" s="10"/>
      <c r="N55" s="10"/>
      <c r="O55" s="10">
        <v>0</v>
      </c>
    </row>
    <row r="56" spans="1:15" ht="15.75">
      <c r="A56" s="4">
        <v>1500</v>
      </c>
      <c r="B56" s="4"/>
      <c r="C56" s="4"/>
      <c r="D56" s="2"/>
      <c r="E56" s="2"/>
      <c r="F56" s="3" t="s">
        <v>53</v>
      </c>
      <c r="G56" s="3" t="s">
        <v>169</v>
      </c>
      <c r="H56" s="1" t="s">
        <v>1363</v>
      </c>
      <c r="I56" s="8"/>
      <c r="J56" s="10"/>
      <c r="K56" s="10"/>
      <c r="L56" s="10"/>
      <c r="M56" s="10"/>
      <c r="N56" s="10"/>
      <c r="O56" s="10">
        <v>0</v>
      </c>
    </row>
    <row r="57" spans="1:15" ht="15.75">
      <c r="A57" s="4">
        <v>1500</v>
      </c>
      <c r="B57" s="4"/>
      <c r="C57" s="4"/>
      <c r="D57" s="4"/>
      <c r="E57" s="4"/>
      <c r="F57" s="5" t="s">
        <v>52</v>
      </c>
      <c r="G57" s="5" t="s">
        <v>169</v>
      </c>
      <c r="H57" s="1" t="s">
        <v>1363</v>
      </c>
      <c r="I57" s="8"/>
      <c r="J57" s="10"/>
      <c r="K57" s="10"/>
      <c r="L57" s="10"/>
      <c r="M57" s="10"/>
      <c r="N57" s="10"/>
      <c r="O57" s="10">
        <v>0</v>
      </c>
    </row>
    <row r="58" spans="1:15" ht="15.75">
      <c r="A58" s="4">
        <v>1500</v>
      </c>
      <c r="B58" s="4"/>
      <c r="C58" s="4"/>
      <c r="D58" s="2"/>
      <c r="E58" s="2"/>
      <c r="F58" s="3" t="s">
        <v>51</v>
      </c>
      <c r="G58" s="3" t="s">
        <v>169</v>
      </c>
      <c r="H58" s="1" t="s">
        <v>1363</v>
      </c>
      <c r="I58" s="8"/>
      <c r="J58" s="10"/>
      <c r="K58" s="10"/>
      <c r="L58" s="10"/>
      <c r="M58" s="10"/>
      <c r="N58" s="10"/>
      <c r="O58" s="10">
        <v>0</v>
      </c>
    </row>
    <row r="59" spans="1:15" ht="15.75">
      <c r="A59" s="4">
        <v>1500</v>
      </c>
      <c r="B59" s="4"/>
      <c r="C59" s="4"/>
      <c r="D59" s="4"/>
      <c r="E59" s="4"/>
      <c r="F59" s="5" t="s">
        <v>50</v>
      </c>
      <c r="G59" s="5" t="s">
        <v>169</v>
      </c>
      <c r="H59" s="1" t="s">
        <v>1363</v>
      </c>
      <c r="I59" s="8"/>
      <c r="J59" s="10"/>
      <c r="K59" s="10"/>
      <c r="L59" s="10"/>
      <c r="M59" s="10"/>
      <c r="N59" s="10"/>
      <c r="O59" s="10">
        <v>0</v>
      </c>
    </row>
    <row r="60" spans="1:15" ht="15.75">
      <c r="A60" s="4">
        <v>1500</v>
      </c>
      <c r="B60" s="4"/>
      <c r="C60" s="4"/>
      <c r="D60" s="2"/>
      <c r="E60" s="2"/>
      <c r="F60" s="3" t="s">
        <v>49</v>
      </c>
      <c r="G60" s="3" t="s">
        <v>168</v>
      </c>
      <c r="H60" s="1" t="s">
        <v>1363</v>
      </c>
      <c r="I60" s="8"/>
      <c r="J60" s="10"/>
      <c r="K60" s="10"/>
      <c r="L60" s="10"/>
      <c r="M60" s="10"/>
      <c r="N60" s="10"/>
      <c r="O60" s="10">
        <v>0</v>
      </c>
    </row>
    <row r="61" spans="1:15" ht="15.75">
      <c r="A61" s="4">
        <v>1500</v>
      </c>
      <c r="B61" s="4"/>
      <c r="C61" s="4"/>
      <c r="D61" s="4"/>
      <c r="E61" s="4"/>
      <c r="F61" s="5" t="s">
        <v>48</v>
      </c>
      <c r="G61" s="5" t="s">
        <v>168</v>
      </c>
      <c r="H61" s="1" t="s">
        <v>1363</v>
      </c>
      <c r="I61" s="8"/>
      <c r="J61" s="10"/>
      <c r="K61" s="10"/>
      <c r="L61" s="10"/>
      <c r="M61" s="10"/>
      <c r="N61" s="10"/>
      <c r="O61" s="10">
        <v>0</v>
      </c>
    </row>
    <row r="62" spans="1:15" ht="15.75">
      <c r="A62" s="4">
        <v>1500</v>
      </c>
      <c r="B62" s="4"/>
      <c r="C62" s="4"/>
      <c r="D62" s="2"/>
      <c r="E62" s="2"/>
      <c r="F62" s="3" t="s">
        <v>47</v>
      </c>
      <c r="G62" s="3" t="s">
        <v>168</v>
      </c>
      <c r="H62" s="1" t="s">
        <v>1363</v>
      </c>
      <c r="I62" s="8"/>
      <c r="J62" s="10"/>
      <c r="K62" s="10"/>
      <c r="L62" s="10"/>
      <c r="M62" s="10"/>
      <c r="N62" s="10"/>
      <c r="O62" s="10">
        <v>0</v>
      </c>
    </row>
    <row r="63" spans="1:15" ht="15.75">
      <c r="A63" s="4">
        <v>1500</v>
      </c>
      <c r="B63" s="4"/>
      <c r="C63" s="4"/>
      <c r="D63" s="4"/>
      <c r="E63" s="4"/>
      <c r="F63" s="5" t="s">
        <v>46</v>
      </c>
      <c r="G63" s="5" t="s">
        <v>168</v>
      </c>
      <c r="H63" s="1" t="s">
        <v>1363</v>
      </c>
      <c r="I63" s="8"/>
      <c r="J63" s="10"/>
      <c r="K63" s="10"/>
      <c r="L63" s="10"/>
      <c r="M63" s="10"/>
      <c r="N63" s="10"/>
      <c r="O63" s="10">
        <v>0</v>
      </c>
    </row>
    <row r="64" spans="1:15" ht="15.75">
      <c r="A64" s="4">
        <v>1500</v>
      </c>
      <c r="B64" s="4"/>
      <c r="C64" s="4"/>
      <c r="D64" s="4"/>
      <c r="E64" s="4"/>
      <c r="F64" s="5" t="s">
        <v>45</v>
      </c>
      <c r="G64" s="5" t="s">
        <v>143</v>
      </c>
      <c r="H64" s="1" t="s">
        <v>1363</v>
      </c>
      <c r="I64" s="8"/>
      <c r="J64" s="10"/>
      <c r="K64" s="10"/>
      <c r="L64" s="10"/>
      <c r="M64" s="10"/>
      <c r="N64" s="10"/>
      <c r="O64" s="10">
        <v>0</v>
      </c>
    </row>
    <row r="65" spans="1:15" ht="15.75">
      <c r="A65" s="4">
        <v>1500</v>
      </c>
      <c r="B65" s="4"/>
      <c r="C65" s="4"/>
      <c r="D65" s="4"/>
      <c r="E65" s="4"/>
      <c r="F65" s="5" t="s">
        <v>92</v>
      </c>
      <c r="G65" s="5" t="s">
        <v>125</v>
      </c>
      <c r="H65" s="1" t="s">
        <v>1363</v>
      </c>
      <c r="I65" s="8"/>
      <c r="J65" s="10"/>
      <c r="K65" s="10"/>
      <c r="L65" s="10"/>
      <c r="M65" s="10"/>
      <c r="N65" s="10"/>
      <c r="O65" s="10">
        <v>0</v>
      </c>
    </row>
    <row r="66" spans="1:15" ht="15.75">
      <c r="A66" s="4">
        <v>1500</v>
      </c>
      <c r="B66" s="4"/>
      <c r="C66" s="4"/>
      <c r="D66" s="2"/>
      <c r="E66" s="2"/>
      <c r="F66" s="3" t="s">
        <v>44</v>
      </c>
      <c r="G66" s="3" t="s">
        <v>201</v>
      </c>
      <c r="H66" s="1" t="s">
        <v>1363</v>
      </c>
      <c r="I66" s="8"/>
      <c r="J66" s="10"/>
      <c r="K66" s="10"/>
      <c r="L66" s="10"/>
      <c r="M66" s="10"/>
      <c r="N66" s="10"/>
      <c r="O66" s="10">
        <v>0</v>
      </c>
    </row>
    <row r="67" spans="1:15" ht="15.75">
      <c r="A67" s="4">
        <v>1500</v>
      </c>
      <c r="B67" s="4"/>
      <c r="C67" s="4"/>
      <c r="D67" s="4"/>
      <c r="E67" s="4"/>
      <c r="F67" s="5" t="s">
        <v>43</v>
      </c>
      <c r="G67" s="5" t="s">
        <v>167</v>
      </c>
      <c r="H67" s="1" t="s">
        <v>1363</v>
      </c>
      <c r="I67" s="8"/>
      <c r="J67" s="10"/>
      <c r="K67" s="10"/>
      <c r="L67" s="10"/>
      <c r="M67" s="10"/>
      <c r="N67" s="10"/>
      <c r="O67" s="10">
        <v>0</v>
      </c>
    </row>
    <row r="68" spans="1:15" ht="15.75">
      <c r="A68" s="4">
        <v>1500</v>
      </c>
      <c r="B68" s="4"/>
      <c r="C68" s="4"/>
      <c r="D68" s="2"/>
      <c r="E68" s="2"/>
      <c r="F68" s="3" t="s">
        <v>42</v>
      </c>
      <c r="G68" s="3" t="s">
        <v>167</v>
      </c>
      <c r="H68" s="1" t="s">
        <v>1363</v>
      </c>
      <c r="I68" s="8"/>
      <c r="J68" s="10"/>
      <c r="K68" s="10"/>
      <c r="L68" s="10"/>
      <c r="M68" s="10"/>
      <c r="N68" s="10"/>
      <c r="O68" s="10">
        <v>0</v>
      </c>
    </row>
    <row r="69" spans="1:15" ht="15.75">
      <c r="A69" s="4">
        <v>1500</v>
      </c>
      <c r="B69" s="4"/>
      <c r="C69" s="4"/>
      <c r="D69" s="4"/>
      <c r="E69" s="4"/>
      <c r="F69" s="5" t="s">
        <v>41</v>
      </c>
      <c r="G69" s="5" t="s">
        <v>167</v>
      </c>
      <c r="H69" s="1" t="s">
        <v>1363</v>
      </c>
      <c r="I69" s="8"/>
      <c r="J69" s="10"/>
      <c r="K69" s="10"/>
      <c r="L69" s="10"/>
      <c r="M69" s="10"/>
      <c r="N69" s="10"/>
      <c r="O69" s="10">
        <v>0</v>
      </c>
    </row>
    <row r="70" spans="1:15" ht="15.75">
      <c r="A70" s="4">
        <v>1500</v>
      </c>
      <c r="B70" s="4"/>
      <c r="C70" s="4"/>
      <c r="D70" s="2"/>
      <c r="E70" s="2"/>
      <c r="F70" s="3" t="s">
        <v>40</v>
      </c>
      <c r="G70" s="3" t="s">
        <v>167</v>
      </c>
      <c r="H70" s="1" t="s">
        <v>1363</v>
      </c>
      <c r="I70" s="8"/>
      <c r="J70" s="10"/>
      <c r="K70" s="10"/>
      <c r="L70" s="10"/>
      <c r="M70" s="10"/>
      <c r="N70" s="10"/>
      <c r="O70" s="10">
        <v>0</v>
      </c>
    </row>
    <row r="71" spans="1:15" ht="15.75">
      <c r="A71" s="4">
        <v>1500</v>
      </c>
      <c r="B71" s="4"/>
      <c r="C71" s="4"/>
      <c r="D71" s="4"/>
      <c r="E71" s="4"/>
      <c r="F71" s="5" t="s">
        <v>39</v>
      </c>
      <c r="G71" s="5" t="s">
        <v>167</v>
      </c>
      <c r="H71" s="1" t="s">
        <v>1363</v>
      </c>
      <c r="I71" s="8"/>
      <c r="J71" s="10"/>
      <c r="K71" s="10"/>
      <c r="L71" s="10"/>
      <c r="M71" s="10"/>
      <c r="N71" s="10"/>
      <c r="O71" s="10">
        <v>0</v>
      </c>
    </row>
    <row r="72" spans="1:15" ht="15.75">
      <c r="A72" s="4">
        <v>1500</v>
      </c>
      <c r="B72" s="4"/>
      <c r="C72" s="4"/>
      <c r="D72" s="2"/>
      <c r="E72" s="2"/>
      <c r="F72" s="3" t="s">
        <v>259</v>
      </c>
      <c r="G72" s="3" t="s">
        <v>12</v>
      </c>
      <c r="H72" s="1" t="s">
        <v>1363</v>
      </c>
      <c r="I72" s="8"/>
      <c r="J72" s="10"/>
      <c r="K72" s="10"/>
      <c r="L72" s="10"/>
      <c r="M72" s="10"/>
      <c r="N72" s="10"/>
      <c r="O72" s="10">
        <v>0</v>
      </c>
    </row>
    <row r="73" spans="1:15" ht="15.75">
      <c r="A73" s="4">
        <v>1500</v>
      </c>
      <c r="B73" s="4"/>
      <c r="C73" s="4"/>
      <c r="D73" s="4"/>
      <c r="E73" s="4"/>
      <c r="F73" s="5" t="s">
        <v>258</v>
      </c>
      <c r="G73" s="5" t="s">
        <v>12</v>
      </c>
      <c r="H73" s="1" t="s">
        <v>1363</v>
      </c>
      <c r="I73" s="8"/>
      <c r="J73" s="10"/>
      <c r="K73" s="10"/>
      <c r="L73" s="10"/>
      <c r="M73" s="10"/>
      <c r="N73" s="10"/>
      <c r="O73" s="10">
        <v>0</v>
      </c>
    </row>
    <row r="74" spans="1:15" ht="15.75">
      <c r="A74" s="4">
        <v>1500</v>
      </c>
      <c r="B74" s="4"/>
      <c r="C74" s="4"/>
      <c r="D74" s="2"/>
      <c r="E74" s="2"/>
      <c r="F74" s="3" t="s">
        <v>102</v>
      </c>
      <c r="G74" s="3" t="s">
        <v>125</v>
      </c>
      <c r="H74" s="1" t="s">
        <v>1363</v>
      </c>
      <c r="I74" s="8"/>
      <c r="J74" s="10"/>
      <c r="K74" s="10"/>
      <c r="L74" s="10"/>
      <c r="M74" s="10"/>
      <c r="N74" s="10"/>
      <c r="O74" s="10">
        <v>0</v>
      </c>
    </row>
    <row r="75" spans="1:15" ht="15.75">
      <c r="A75" s="4">
        <v>1500</v>
      </c>
      <c r="B75" s="4"/>
      <c r="C75" s="4"/>
      <c r="D75" s="4"/>
      <c r="E75" s="4"/>
      <c r="F75" s="5" t="s">
        <v>100</v>
      </c>
      <c r="G75" s="5" t="s">
        <v>101</v>
      </c>
      <c r="H75" s="1" t="s">
        <v>1363</v>
      </c>
      <c r="I75" s="8"/>
      <c r="J75" s="10"/>
      <c r="K75" s="10"/>
      <c r="L75" s="10"/>
      <c r="M75" s="10"/>
      <c r="N75" s="10"/>
      <c r="O75" s="10">
        <v>0</v>
      </c>
    </row>
    <row r="76" spans="1:15" ht="15.75">
      <c r="A76" s="4">
        <v>1500</v>
      </c>
      <c r="B76" s="4"/>
      <c r="C76" s="4"/>
      <c r="D76" s="2"/>
      <c r="E76" s="2"/>
      <c r="F76" s="3" t="s">
        <v>103</v>
      </c>
      <c r="G76" s="3" t="s">
        <v>104</v>
      </c>
      <c r="H76" s="1" t="s">
        <v>1363</v>
      </c>
      <c r="I76" s="8"/>
      <c r="J76" s="10"/>
      <c r="K76" s="10"/>
      <c r="L76" s="10"/>
      <c r="M76" s="10"/>
      <c r="N76" s="10"/>
      <c r="O76" s="10">
        <v>0</v>
      </c>
    </row>
    <row r="77" spans="1:15" ht="15.75">
      <c r="A77" s="4">
        <v>1500</v>
      </c>
      <c r="B77" s="4"/>
      <c r="C77" s="4"/>
      <c r="D77" s="2"/>
      <c r="E77" s="2"/>
      <c r="F77" s="3" t="s">
        <v>647</v>
      </c>
      <c r="G77" s="3" t="s">
        <v>414</v>
      </c>
      <c r="H77" s="8"/>
      <c r="I77" s="8"/>
      <c r="J77" s="10"/>
      <c r="K77" s="10"/>
      <c r="L77" s="10"/>
      <c r="M77" s="10"/>
      <c r="N77" s="10"/>
      <c r="O77" s="10">
        <v>0</v>
      </c>
    </row>
    <row r="78" spans="1:15" ht="15.75">
      <c r="A78" s="4">
        <v>1500</v>
      </c>
      <c r="B78" s="4"/>
      <c r="C78" s="4"/>
      <c r="D78" s="2"/>
      <c r="E78" s="2"/>
      <c r="F78" s="3" t="s">
        <v>257</v>
      </c>
      <c r="G78" s="3" t="s">
        <v>147</v>
      </c>
      <c r="H78" s="1" t="s">
        <v>1364</v>
      </c>
      <c r="I78" s="8"/>
      <c r="J78" s="10"/>
      <c r="K78" s="10"/>
      <c r="L78" s="10"/>
      <c r="M78" s="10"/>
      <c r="N78" s="10"/>
      <c r="O78" s="10">
        <v>0</v>
      </c>
    </row>
    <row r="79" spans="1:15" ht="15.75">
      <c r="A79" s="4">
        <v>1500</v>
      </c>
      <c r="B79" s="4"/>
      <c r="C79" s="4"/>
      <c r="D79" s="2"/>
      <c r="E79" s="2"/>
      <c r="F79" s="3" t="s">
        <v>256</v>
      </c>
      <c r="G79" s="3" t="s">
        <v>144</v>
      </c>
      <c r="H79" s="1" t="s">
        <v>1364</v>
      </c>
      <c r="I79" s="8"/>
      <c r="J79" s="10"/>
      <c r="K79" s="10"/>
      <c r="L79" s="10"/>
      <c r="M79" s="10"/>
      <c r="N79" s="10"/>
      <c r="O79" s="10">
        <v>0</v>
      </c>
    </row>
    <row r="80" spans="1:15" ht="15.75">
      <c r="A80" s="4">
        <v>1500</v>
      </c>
      <c r="B80" s="4"/>
      <c r="C80" s="4"/>
      <c r="D80" s="2"/>
      <c r="E80" s="2"/>
      <c r="F80" s="3" t="s">
        <v>96</v>
      </c>
      <c r="G80" s="3" t="s">
        <v>243</v>
      </c>
      <c r="H80" s="1" t="s">
        <v>1364</v>
      </c>
      <c r="I80" s="8"/>
      <c r="J80" s="10"/>
      <c r="K80" s="10"/>
      <c r="L80" s="10"/>
      <c r="M80" s="10"/>
      <c r="N80" s="10"/>
      <c r="O80" s="10">
        <v>0</v>
      </c>
    </row>
    <row r="81" spans="1:15" ht="15.75">
      <c r="A81" s="4">
        <v>1500</v>
      </c>
      <c r="B81" s="4"/>
      <c r="C81" s="4"/>
      <c r="D81" s="2"/>
      <c r="E81" s="2"/>
      <c r="F81" s="3" t="s">
        <v>97</v>
      </c>
      <c r="G81" s="3" t="s">
        <v>79</v>
      </c>
      <c r="H81" s="1" t="s">
        <v>1364</v>
      </c>
      <c r="I81" s="8"/>
      <c r="J81" s="10"/>
      <c r="K81" s="10"/>
      <c r="L81" s="10"/>
      <c r="M81" s="10"/>
      <c r="N81" s="10"/>
      <c r="O81" s="10">
        <v>0</v>
      </c>
    </row>
    <row r="82" spans="1:15" ht="15.75">
      <c r="A82" s="4">
        <v>1500</v>
      </c>
      <c r="B82" s="4"/>
      <c r="C82" s="4"/>
      <c r="D82" s="4"/>
      <c r="E82" s="4"/>
      <c r="F82" s="5" t="s">
        <v>98</v>
      </c>
      <c r="G82" s="5" t="s">
        <v>79</v>
      </c>
      <c r="H82" s="1" t="s">
        <v>1364</v>
      </c>
      <c r="I82" s="8"/>
      <c r="J82" s="10"/>
      <c r="K82" s="10"/>
      <c r="L82" s="10"/>
      <c r="M82" s="10"/>
      <c r="N82" s="10"/>
      <c r="O82" s="10">
        <v>0</v>
      </c>
    </row>
    <row r="83" spans="1:15" ht="15.75">
      <c r="A83" s="4">
        <v>1500</v>
      </c>
      <c r="B83" s="4"/>
      <c r="C83" s="4"/>
      <c r="D83" s="2"/>
      <c r="E83" s="2"/>
      <c r="F83" s="3" t="s">
        <v>99</v>
      </c>
      <c r="G83" s="3" t="s">
        <v>79</v>
      </c>
      <c r="H83" s="1" t="s">
        <v>1364</v>
      </c>
      <c r="I83" s="8"/>
      <c r="J83" s="10"/>
      <c r="K83" s="10"/>
      <c r="L83" s="10"/>
      <c r="M83" s="10"/>
      <c r="N83" s="10"/>
      <c r="O83" s="10">
        <v>0</v>
      </c>
    </row>
    <row r="84" spans="1:15" ht="15.75">
      <c r="A84" s="4">
        <v>1500</v>
      </c>
      <c r="B84" s="4"/>
      <c r="C84" s="4"/>
      <c r="D84" s="2"/>
      <c r="E84" s="2"/>
      <c r="F84" s="3" t="s">
        <v>255</v>
      </c>
      <c r="G84" s="3" t="s">
        <v>12</v>
      </c>
      <c r="H84" s="1" t="s">
        <v>1364</v>
      </c>
      <c r="I84" s="8"/>
      <c r="J84" s="10"/>
      <c r="K84" s="10"/>
      <c r="L84" s="10"/>
      <c r="M84" s="10"/>
      <c r="N84" s="10"/>
      <c r="O84" s="10">
        <v>0</v>
      </c>
    </row>
    <row r="85" spans="1:15" ht="15.75">
      <c r="A85" s="4">
        <v>1500</v>
      </c>
      <c r="B85" s="4"/>
      <c r="C85" s="4"/>
      <c r="D85" s="4"/>
      <c r="E85" s="4"/>
      <c r="F85" s="5" t="s">
        <v>254</v>
      </c>
      <c r="G85" s="5" t="s">
        <v>12</v>
      </c>
      <c r="H85" s="1" t="s">
        <v>1364</v>
      </c>
      <c r="I85" s="8"/>
      <c r="J85" s="10"/>
      <c r="K85" s="10"/>
      <c r="L85" s="10"/>
      <c r="M85" s="10"/>
      <c r="N85" s="10"/>
      <c r="O85" s="10">
        <v>0</v>
      </c>
    </row>
    <row r="86" spans="1:15" ht="15.75">
      <c r="A86" s="4">
        <v>1500</v>
      </c>
      <c r="B86" s="4"/>
      <c r="C86" s="4"/>
      <c r="D86" s="2"/>
      <c r="E86" s="2"/>
      <c r="F86" s="3" t="s">
        <v>253</v>
      </c>
      <c r="G86" s="3" t="s">
        <v>12</v>
      </c>
      <c r="H86" s="1" t="s">
        <v>1364</v>
      </c>
      <c r="I86" s="8"/>
      <c r="J86" s="10"/>
      <c r="K86" s="10"/>
      <c r="L86" s="10"/>
      <c r="M86" s="10"/>
      <c r="N86" s="10"/>
      <c r="O86" s="10">
        <v>0</v>
      </c>
    </row>
    <row r="87" spans="1:15" ht="15.75">
      <c r="A87" s="4">
        <v>1500</v>
      </c>
      <c r="B87" s="4"/>
      <c r="C87" s="4"/>
      <c r="D87" s="4"/>
      <c r="E87" s="4"/>
      <c r="F87" s="5" t="s">
        <v>252</v>
      </c>
      <c r="G87" s="5" t="s">
        <v>12</v>
      </c>
      <c r="H87" s="1" t="s">
        <v>1364</v>
      </c>
      <c r="I87" s="8"/>
      <c r="J87" s="10"/>
      <c r="K87" s="10"/>
      <c r="L87" s="10"/>
      <c r="M87" s="10"/>
      <c r="N87" s="10"/>
      <c r="O87" s="10">
        <v>0</v>
      </c>
    </row>
    <row r="88" spans="1:15" ht="15.75">
      <c r="A88" s="4">
        <v>1500</v>
      </c>
      <c r="B88" s="4"/>
      <c r="C88" s="4"/>
      <c r="D88" s="2"/>
      <c r="E88" s="2"/>
      <c r="F88" s="3" t="s">
        <v>251</v>
      </c>
      <c r="G88" s="3" t="s">
        <v>170</v>
      </c>
      <c r="H88" s="1" t="s">
        <v>1364</v>
      </c>
      <c r="I88" s="8"/>
      <c r="J88" s="10"/>
      <c r="K88" s="10"/>
      <c r="L88" s="10"/>
      <c r="M88" s="10"/>
      <c r="N88" s="10"/>
      <c r="O88" s="10">
        <v>0</v>
      </c>
    </row>
    <row r="89" spans="1:15" ht="15.75">
      <c r="A89" s="4">
        <v>1500</v>
      </c>
      <c r="B89" s="4"/>
      <c r="C89" s="4"/>
      <c r="D89" s="4"/>
      <c r="E89" s="4"/>
      <c r="F89" s="5" t="s">
        <v>250</v>
      </c>
      <c r="G89" s="5" t="s">
        <v>37</v>
      </c>
      <c r="H89" s="1" t="s">
        <v>1364</v>
      </c>
      <c r="I89" s="8"/>
      <c r="J89" s="10"/>
      <c r="K89" s="10"/>
      <c r="L89" s="10"/>
      <c r="M89" s="10"/>
      <c r="N89" s="10"/>
      <c r="O89" s="10">
        <v>0</v>
      </c>
    </row>
    <row r="90" spans="1:15" ht="15.75">
      <c r="A90" s="4">
        <v>1500</v>
      </c>
      <c r="B90" s="4"/>
      <c r="C90" s="4"/>
      <c r="D90" s="4"/>
      <c r="E90" s="4"/>
      <c r="F90" s="5" t="s">
        <v>93</v>
      </c>
      <c r="G90" s="5" t="s">
        <v>145</v>
      </c>
      <c r="H90" s="1" t="s">
        <v>1364</v>
      </c>
      <c r="I90" s="8"/>
      <c r="J90" s="10"/>
      <c r="K90" s="10"/>
      <c r="L90" s="10"/>
      <c r="M90" s="10"/>
      <c r="N90" s="10"/>
      <c r="O90" s="10">
        <v>0</v>
      </c>
    </row>
    <row r="91" spans="1:15" ht="15.75">
      <c r="A91" s="4">
        <v>1500</v>
      </c>
      <c r="B91" s="4"/>
      <c r="C91" s="4"/>
      <c r="D91" s="2"/>
      <c r="E91" s="2"/>
      <c r="F91" s="3" t="s">
        <v>94</v>
      </c>
      <c r="G91" s="3" t="s">
        <v>145</v>
      </c>
      <c r="H91" s="1" t="s">
        <v>1364</v>
      </c>
      <c r="I91" s="8"/>
      <c r="J91" s="10"/>
      <c r="K91" s="10"/>
      <c r="L91" s="10"/>
      <c r="M91" s="10"/>
      <c r="N91" s="10"/>
      <c r="O91" s="10">
        <v>0</v>
      </c>
    </row>
    <row r="92" spans="1:15" ht="15.75">
      <c r="A92" s="4">
        <v>1500</v>
      </c>
      <c r="B92" s="4"/>
      <c r="C92" s="4"/>
      <c r="D92" s="4"/>
      <c r="E92" s="4"/>
      <c r="F92" s="5" t="s">
        <v>95</v>
      </c>
      <c r="G92" s="5" t="s">
        <v>145</v>
      </c>
      <c r="H92" s="1" t="s">
        <v>1364</v>
      </c>
      <c r="I92" s="8"/>
      <c r="J92" s="10"/>
      <c r="K92" s="10"/>
      <c r="L92" s="10"/>
      <c r="M92" s="10"/>
      <c r="N92" s="10"/>
      <c r="O92" s="10">
        <v>0</v>
      </c>
    </row>
    <row r="93" spans="1:15" ht="15.75">
      <c r="A93" s="2"/>
      <c r="B93" s="4"/>
      <c r="C93" s="4"/>
      <c r="D93" s="2"/>
      <c r="E93" s="2"/>
      <c r="F93" s="3" t="s">
        <v>379</v>
      </c>
      <c r="G93" s="3" t="s">
        <v>380</v>
      </c>
      <c r="H93" s="1">
        <v>0</v>
      </c>
      <c r="I93" s="8"/>
      <c r="J93" s="10"/>
      <c r="K93" s="10"/>
      <c r="L93" s="10"/>
      <c r="M93" s="10"/>
      <c r="N93" s="10"/>
      <c r="O93" s="10">
        <f t="shared" ref="O93:O156" si="0">SUMPRODUCT(J93:N93,$J$2:$N$2)</f>
        <v>0</v>
      </c>
    </row>
    <row r="94" spans="1:15" ht="15.75">
      <c r="A94" s="2"/>
      <c r="B94" s="4"/>
      <c r="C94" s="4"/>
      <c r="D94" s="2"/>
      <c r="E94" s="2"/>
      <c r="F94" s="3" t="s">
        <v>352</v>
      </c>
      <c r="G94" s="3" t="s">
        <v>1182</v>
      </c>
      <c r="H94" s="1">
        <v>0</v>
      </c>
      <c r="I94" s="8" t="s">
        <v>1367</v>
      </c>
      <c r="J94" s="10"/>
      <c r="K94" s="10"/>
      <c r="L94" s="10"/>
      <c r="M94" s="10"/>
      <c r="N94" s="10"/>
      <c r="O94" s="10">
        <f t="shared" si="0"/>
        <v>0</v>
      </c>
    </row>
    <row r="95" spans="1:15" ht="15.75">
      <c r="A95" s="2"/>
      <c r="B95" s="4"/>
      <c r="C95" s="4"/>
      <c r="D95" s="2"/>
      <c r="E95" s="2"/>
      <c r="F95" s="3" t="s">
        <v>649</v>
      </c>
      <c r="G95" s="3" t="s">
        <v>414</v>
      </c>
      <c r="H95" s="8"/>
      <c r="I95" s="8"/>
      <c r="J95" s="10"/>
      <c r="K95" s="10"/>
      <c r="L95" s="10"/>
      <c r="M95" s="10"/>
      <c r="N95" s="10"/>
      <c r="O95" s="10">
        <f t="shared" si="0"/>
        <v>0</v>
      </c>
    </row>
    <row r="96" spans="1:15" ht="15.75">
      <c r="A96" s="4"/>
      <c r="B96" s="4"/>
      <c r="C96" s="4"/>
      <c r="D96" s="4"/>
      <c r="E96" s="4"/>
      <c r="F96" s="5" t="s">
        <v>656</v>
      </c>
      <c r="G96" s="5" t="s">
        <v>406</v>
      </c>
      <c r="H96" s="8"/>
      <c r="I96" s="8"/>
      <c r="J96" s="10"/>
      <c r="K96" s="10"/>
      <c r="L96" s="10"/>
      <c r="M96" s="10"/>
      <c r="N96" s="10"/>
      <c r="O96" s="10">
        <f t="shared" si="0"/>
        <v>0</v>
      </c>
    </row>
    <row r="97" spans="1:15" ht="15.75">
      <c r="A97" s="2"/>
      <c r="B97" s="4"/>
      <c r="C97" s="4"/>
      <c r="D97" s="2"/>
      <c r="E97" s="2"/>
      <c r="F97" s="3" t="s">
        <v>654</v>
      </c>
      <c r="G97" s="3" t="s">
        <v>655</v>
      </c>
      <c r="H97" s="8"/>
      <c r="I97" s="8"/>
      <c r="J97" s="10"/>
      <c r="K97" s="10"/>
      <c r="L97" s="10"/>
      <c r="M97" s="10"/>
      <c r="N97" s="10"/>
      <c r="O97" s="10">
        <f t="shared" si="0"/>
        <v>0</v>
      </c>
    </row>
    <row r="98" spans="1:15" ht="15.75">
      <c r="A98" s="4"/>
      <c r="B98" s="4"/>
      <c r="C98" s="4"/>
      <c r="D98" s="4"/>
      <c r="E98" s="4"/>
      <c r="F98" s="5" t="s">
        <v>349</v>
      </c>
      <c r="G98" s="5" t="s">
        <v>1181</v>
      </c>
      <c r="H98" s="1">
        <v>0</v>
      </c>
      <c r="I98" s="8"/>
      <c r="J98" s="10"/>
      <c r="K98" s="10"/>
      <c r="L98" s="10"/>
      <c r="M98" s="10"/>
      <c r="N98" s="10"/>
      <c r="O98" s="10">
        <f t="shared" si="0"/>
        <v>0</v>
      </c>
    </row>
    <row r="99" spans="1:15" ht="15.75">
      <c r="A99" s="4"/>
      <c r="B99" s="4"/>
      <c r="C99" s="4"/>
      <c r="D99" s="4"/>
      <c r="E99" s="4"/>
      <c r="F99" s="5" t="s">
        <v>334</v>
      </c>
      <c r="G99" s="5" t="s">
        <v>1168</v>
      </c>
      <c r="H99" s="1">
        <v>0</v>
      </c>
      <c r="I99" s="8"/>
      <c r="J99" s="10"/>
      <c r="K99" s="10"/>
      <c r="L99" s="10"/>
      <c r="M99" s="10"/>
      <c r="N99" s="10"/>
      <c r="O99" s="10">
        <f t="shared" si="0"/>
        <v>0</v>
      </c>
    </row>
    <row r="100" spans="1:15" ht="15.75">
      <c r="A100" s="4"/>
      <c r="B100" s="4"/>
      <c r="C100" s="4"/>
      <c r="D100" s="4"/>
      <c r="E100" s="4"/>
      <c r="F100" s="5" t="s">
        <v>353</v>
      </c>
      <c r="G100" s="5" t="s">
        <v>354</v>
      </c>
      <c r="H100" s="1">
        <v>0</v>
      </c>
      <c r="I100" s="8"/>
      <c r="J100" s="10"/>
      <c r="K100" s="10"/>
      <c r="L100" s="10"/>
      <c r="M100" s="10"/>
      <c r="N100" s="10"/>
      <c r="O100" s="10">
        <f t="shared" si="0"/>
        <v>0</v>
      </c>
    </row>
    <row r="101" spans="1:15" ht="15.75">
      <c r="A101" s="2"/>
      <c r="B101" s="4"/>
      <c r="C101" s="4"/>
      <c r="D101" s="2"/>
      <c r="E101" s="2"/>
      <c r="F101" s="3" t="s">
        <v>355</v>
      </c>
      <c r="G101" s="3" t="s">
        <v>356</v>
      </c>
      <c r="H101" s="1">
        <v>0</v>
      </c>
      <c r="I101" s="8"/>
      <c r="J101" s="10"/>
      <c r="K101" s="10"/>
      <c r="L101" s="10"/>
      <c r="M101" s="10"/>
      <c r="N101" s="10"/>
      <c r="O101" s="10">
        <f t="shared" si="0"/>
        <v>0</v>
      </c>
    </row>
    <row r="102" spans="1:15" ht="15.75">
      <c r="A102" s="2"/>
      <c r="B102" s="4"/>
      <c r="C102" s="4"/>
      <c r="D102" s="2"/>
      <c r="E102" s="2"/>
      <c r="F102" s="3" t="s">
        <v>652</v>
      </c>
      <c r="G102" s="3" t="s">
        <v>414</v>
      </c>
      <c r="H102" s="8"/>
      <c r="I102" s="8"/>
      <c r="J102" s="10"/>
      <c r="K102" s="10"/>
      <c r="L102" s="10"/>
      <c r="M102" s="10"/>
      <c r="N102" s="10"/>
      <c r="O102" s="10">
        <f t="shared" si="0"/>
        <v>0</v>
      </c>
    </row>
    <row r="103" spans="1:15" ht="15.75">
      <c r="A103" s="2"/>
      <c r="B103" s="4"/>
      <c r="C103" s="4"/>
      <c r="D103" s="2"/>
      <c r="E103" s="2"/>
      <c r="F103" s="3" t="s">
        <v>337</v>
      </c>
      <c r="G103" s="3" t="s">
        <v>1170</v>
      </c>
      <c r="H103" s="1">
        <v>0</v>
      </c>
      <c r="I103" s="8"/>
      <c r="J103" s="10"/>
      <c r="K103" s="10"/>
      <c r="L103" s="10"/>
      <c r="M103" s="10"/>
      <c r="N103" s="10"/>
      <c r="O103" s="10">
        <f t="shared" si="0"/>
        <v>0</v>
      </c>
    </row>
    <row r="104" spans="1:15" ht="15.75">
      <c r="A104" s="4"/>
      <c r="B104" s="4"/>
      <c r="C104" s="4"/>
      <c r="D104" s="4"/>
      <c r="E104" s="4"/>
      <c r="F104" s="5" t="s">
        <v>345</v>
      </c>
      <c r="G104" s="5" t="s">
        <v>1176</v>
      </c>
      <c r="H104" s="1">
        <v>0</v>
      </c>
      <c r="I104" s="8"/>
      <c r="J104" s="10"/>
      <c r="K104" s="10"/>
      <c r="L104" s="10"/>
      <c r="M104" s="10"/>
      <c r="N104" s="10"/>
      <c r="O104" s="10">
        <f t="shared" si="0"/>
        <v>0</v>
      </c>
    </row>
    <row r="105" spans="1:15" ht="15.75">
      <c r="A105" s="2"/>
      <c r="B105" s="4"/>
      <c r="C105" s="4"/>
      <c r="D105" s="2"/>
      <c r="E105" s="2"/>
      <c r="F105" s="3" t="s">
        <v>346</v>
      </c>
      <c r="G105" s="3" t="s">
        <v>347</v>
      </c>
      <c r="H105" s="1">
        <v>0</v>
      </c>
      <c r="I105" s="8"/>
      <c r="J105" s="10"/>
      <c r="K105" s="10"/>
      <c r="L105" s="10"/>
      <c r="M105" s="10"/>
      <c r="N105" s="10"/>
      <c r="O105" s="10">
        <f t="shared" si="0"/>
        <v>0</v>
      </c>
    </row>
    <row r="106" spans="1:15" ht="15.75">
      <c r="A106" s="4"/>
      <c r="B106" s="4"/>
      <c r="C106" s="4"/>
      <c r="D106" s="4"/>
      <c r="E106" s="4"/>
      <c r="F106" s="5" t="s">
        <v>359</v>
      </c>
      <c r="G106" s="5" t="s">
        <v>360</v>
      </c>
      <c r="H106" s="1">
        <v>0</v>
      </c>
      <c r="I106" s="8"/>
      <c r="J106" s="10"/>
      <c r="K106" s="10"/>
      <c r="L106" s="10"/>
      <c r="M106" s="10"/>
      <c r="N106" s="10"/>
      <c r="O106" s="10">
        <f t="shared" si="0"/>
        <v>0</v>
      </c>
    </row>
    <row r="107" spans="1:15" ht="15.75">
      <c r="A107" s="2"/>
      <c r="B107" s="4"/>
      <c r="C107" s="4"/>
      <c r="D107" s="2"/>
      <c r="E107" s="2"/>
      <c r="F107" s="3" t="s">
        <v>367</v>
      </c>
      <c r="G107" s="3" t="s">
        <v>368</v>
      </c>
      <c r="H107" s="1">
        <v>0</v>
      </c>
      <c r="I107" s="8"/>
      <c r="J107" s="10"/>
      <c r="K107" s="10"/>
      <c r="L107" s="10"/>
      <c r="M107" s="10"/>
      <c r="N107" s="10"/>
      <c r="O107" s="10">
        <f t="shared" si="0"/>
        <v>0</v>
      </c>
    </row>
    <row r="108" spans="1:15" ht="15.75">
      <c r="A108" s="4"/>
      <c r="B108" s="4"/>
      <c r="C108" s="4"/>
      <c r="D108" s="4"/>
      <c r="E108" s="4"/>
      <c r="F108" s="5" t="s">
        <v>371</v>
      </c>
      <c r="G108" s="5" t="s">
        <v>1185</v>
      </c>
      <c r="H108" s="1">
        <v>0</v>
      </c>
      <c r="I108" s="8"/>
      <c r="J108" s="10"/>
      <c r="K108" s="10"/>
      <c r="L108" s="10"/>
      <c r="M108" s="10"/>
      <c r="N108" s="10"/>
      <c r="O108" s="10">
        <f t="shared" si="0"/>
        <v>0</v>
      </c>
    </row>
    <row r="109" spans="1:15" ht="15.75">
      <c r="A109" s="2"/>
      <c r="B109" s="4"/>
      <c r="C109" s="4"/>
      <c r="D109" s="2"/>
      <c r="E109" s="2"/>
      <c r="F109" s="3" t="s">
        <v>397</v>
      </c>
      <c r="G109" s="3" t="s">
        <v>372</v>
      </c>
      <c r="H109" s="1">
        <v>0</v>
      </c>
      <c r="I109" s="8"/>
      <c r="J109" s="10"/>
      <c r="K109" s="10"/>
      <c r="L109" s="10"/>
      <c r="M109" s="10"/>
      <c r="N109" s="10"/>
      <c r="O109" s="10">
        <f t="shared" si="0"/>
        <v>0</v>
      </c>
    </row>
    <row r="110" spans="1:15" ht="15.75">
      <c r="A110" s="4"/>
      <c r="B110" s="4"/>
      <c r="C110" s="4"/>
      <c r="D110" s="4"/>
      <c r="E110" s="4"/>
      <c r="F110" s="5" t="s">
        <v>373</v>
      </c>
      <c r="G110" s="5" t="s">
        <v>374</v>
      </c>
      <c r="H110" s="1">
        <v>0</v>
      </c>
      <c r="I110" s="8"/>
      <c r="J110" s="10"/>
      <c r="K110" s="10"/>
      <c r="L110" s="10"/>
      <c r="M110" s="10"/>
      <c r="N110" s="10"/>
      <c r="O110" s="10">
        <f t="shared" si="0"/>
        <v>0</v>
      </c>
    </row>
    <row r="111" spans="1:15" ht="15.75">
      <c r="A111" s="2"/>
      <c r="B111" s="4"/>
      <c r="C111" s="4"/>
      <c r="D111" s="2"/>
      <c r="E111" s="2"/>
      <c r="F111" s="3" t="s">
        <v>375</v>
      </c>
      <c r="G111" s="3" t="s">
        <v>376</v>
      </c>
      <c r="H111" s="1">
        <v>0</v>
      </c>
      <c r="I111" s="8"/>
      <c r="J111" s="10"/>
      <c r="K111" s="10"/>
      <c r="L111" s="10"/>
      <c r="M111" s="10"/>
      <c r="N111" s="10"/>
      <c r="O111" s="10">
        <f t="shared" si="0"/>
        <v>0</v>
      </c>
    </row>
    <row r="112" spans="1:15" ht="15.75">
      <c r="A112" s="4"/>
      <c r="B112" s="4"/>
      <c r="C112" s="4"/>
      <c r="D112" s="4"/>
      <c r="E112" s="4"/>
      <c r="F112" s="5" t="s">
        <v>377</v>
      </c>
      <c r="G112" s="5" t="s">
        <v>378</v>
      </c>
      <c r="H112" s="1">
        <v>0</v>
      </c>
      <c r="I112" s="8"/>
      <c r="J112" s="10"/>
      <c r="K112" s="10"/>
      <c r="L112" s="10"/>
      <c r="M112" s="10"/>
      <c r="N112" s="10"/>
      <c r="O112" s="10">
        <f t="shared" si="0"/>
        <v>0</v>
      </c>
    </row>
    <row r="113" spans="1:15" ht="15.75">
      <c r="A113" s="2"/>
      <c r="B113" s="4"/>
      <c r="C113" s="4"/>
      <c r="D113" s="2"/>
      <c r="E113" s="2"/>
      <c r="F113" s="3" t="s">
        <v>348</v>
      </c>
      <c r="G113" s="3" t="s">
        <v>1178</v>
      </c>
      <c r="H113" s="1">
        <v>0</v>
      </c>
      <c r="I113" s="8"/>
      <c r="J113" s="10"/>
      <c r="K113" s="10"/>
      <c r="L113" s="10"/>
      <c r="M113" s="10"/>
      <c r="N113" s="10"/>
      <c r="O113" s="10">
        <f t="shared" si="0"/>
        <v>0</v>
      </c>
    </row>
    <row r="114" spans="1:15" ht="15.75">
      <c r="A114" s="2"/>
      <c r="B114" s="4"/>
      <c r="C114" s="4"/>
      <c r="D114" s="2"/>
      <c r="E114" s="2"/>
      <c r="F114" s="3" t="s">
        <v>361</v>
      </c>
      <c r="G114" s="3" t="s">
        <v>1183</v>
      </c>
      <c r="H114" s="1">
        <v>0</v>
      </c>
      <c r="I114" s="8"/>
      <c r="J114" s="10"/>
      <c r="K114" s="10"/>
      <c r="L114" s="10"/>
      <c r="M114" s="10"/>
      <c r="N114" s="10"/>
      <c r="O114" s="10">
        <f t="shared" si="0"/>
        <v>0</v>
      </c>
    </row>
    <row r="115" spans="1:15" ht="15.75">
      <c r="A115" s="4"/>
      <c r="B115" s="4"/>
      <c r="C115" s="4"/>
      <c r="D115" s="4"/>
      <c r="E115" s="4"/>
      <c r="F115" s="5" t="s">
        <v>387</v>
      </c>
      <c r="G115" s="5" t="s">
        <v>388</v>
      </c>
      <c r="H115" s="1">
        <v>0</v>
      </c>
      <c r="I115" s="8"/>
      <c r="J115" s="10"/>
      <c r="K115" s="10"/>
      <c r="L115" s="10"/>
      <c r="M115" s="10"/>
      <c r="N115" s="10"/>
      <c r="O115" s="10">
        <f t="shared" si="0"/>
        <v>0</v>
      </c>
    </row>
    <row r="116" spans="1:15" ht="15.75">
      <c r="A116" s="4"/>
      <c r="B116" s="4"/>
      <c r="C116" s="4"/>
      <c r="D116" s="4"/>
      <c r="E116" s="4"/>
      <c r="F116" s="5" t="s">
        <v>338</v>
      </c>
      <c r="G116" s="5" t="s">
        <v>1171</v>
      </c>
      <c r="H116" s="1">
        <v>0</v>
      </c>
      <c r="I116" s="8"/>
      <c r="J116" s="10"/>
      <c r="K116" s="10"/>
      <c r="L116" s="10"/>
      <c r="M116" s="10"/>
      <c r="N116" s="10"/>
      <c r="O116" s="10">
        <f t="shared" si="0"/>
        <v>0</v>
      </c>
    </row>
    <row r="117" spans="1:15" ht="15.75">
      <c r="A117" s="2"/>
      <c r="B117" s="4"/>
      <c r="C117" s="4"/>
      <c r="D117" s="2"/>
      <c r="E117" s="2"/>
      <c r="F117" s="3" t="s">
        <v>339</v>
      </c>
      <c r="G117" s="3" t="s">
        <v>340</v>
      </c>
      <c r="H117" s="1">
        <v>0</v>
      </c>
      <c r="I117" s="8"/>
      <c r="J117" s="10"/>
      <c r="K117" s="10"/>
      <c r="L117" s="10"/>
      <c r="M117" s="10"/>
      <c r="N117" s="10"/>
      <c r="O117" s="10">
        <f t="shared" si="0"/>
        <v>0</v>
      </c>
    </row>
    <row r="118" spans="1:15" ht="15.75">
      <c r="A118" s="2"/>
      <c r="B118" s="2"/>
      <c r="C118" s="2"/>
      <c r="D118" s="2"/>
      <c r="E118" s="2"/>
      <c r="F118" s="3" t="s">
        <v>1269</v>
      </c>
      <c r="G118" s="3" t="s">
        <v>1187</v>
      </c>
      <c r="H118" s="8"/>
      <c r="I118" s="8"/>
      <c r="J118" s="10"/>
      <c r="K118" s="10"/>
      <c r="L118" s="10"/>
      <c r="M118" s="10"/>
      <c r="N118" s="10"/>
      <c r="O118" s="10">
        <f t="shared" si="0"/>
        <v>0</v>
      </c>
    </row>
    <row r="119" spans="1:15" ht="15.75">
      <c r="A119" s="4"/>
      <c r="B119" s="4"/>
      <c r="C119" s="4"/>
      <c r="D119" s="4"/>
      <c r="E119" s="4"/>
      <c r="F119" s="5" t="s">
        <v>1270</v>
      </c>
      <c r="G119" s="5" t="s">
        <v>1188</v>
      </c>
      <c r="H119" s="8"/>
      <c r="I119" s="8"/>
      <c r="J119" s="10"/>
      <c r="K119" s="10"/>
      <c r="L119" s="10"/>
      <c r="M119" s="10"/>
      <c r="N119" s="10"/>
      <c r="O119" s="10">
        <f t="shared" si="0"/>
        <v>0</v>
      </c>
    </row>
    <row r="120" spans="1:15" ht="15.75">
      <c r="A120" s="2"/>
      <c r="B120" s="2"/>
      <c r="C120" s="2"/>
      <c r="D120" s="2"/>
      <c r="E120" s="2"/>
      <c r="F120" s="3" t="s">
        <v>1271</v>
      </c>
      <c r="G120" s="3" t="s">
        <v>1189</v>
      </c>
      <c r="H120" s="8"/>
      <c r="I120" s="8"/>
      <c r="J120" s="10"/>
      <c r="K120" s="10"/>
      <c r="L120" s="10"/>
      <c r="M120" s="10"/>
      <c r="N120" s="10"/>
      <c r="O120" s="10">
        <f t="shared" si="0"/>
        <v>0</v>
      </c>
    </row>
    <row r="121" spans="1:15" ht="15.75">
      <c r="A121" s="2"/>
      <c r="B121" s="2"/>
      <c r="C121" s="2"/>
      <c r="D121" s="2"/>
      <c r="E121" s="2"/>
      <c r="F121" s="3" t="s">
        <v>1267</v>
      </c>
      <c r="G121" s="3" t="s">
        <v>1186</v>
      </c>
      <c r="H121" s="8"/>
      <c r="I121" s="8"/>
      <c r="J121" s="10"/>
      <c r="K121" s="10"/>
      <c r="L121" s="10"/>
      <c r="M121" s="10"/>
      <c r="N121" s="10"/>
      <c r="O121" s="10">
        <f t="shared" si="0"/>
        <v>0</v>
      </c>
    </row>
    <row r="122" spans="1:15" ht="15.75">
      <c r="A122" s="4"/>
      <c r="B122" s="4"/>
      <c r="C122" s="4"/>
      <c r="D122" s="4"/>
      <c r="E122" s="4"/>
      <c r="F122" s="5" t="s">
        <v>1268</v>
      </c>
      <c r="G122" s="5" t="s">
        <v>1186</v>
      </c>
      <c r="H122" s="8"/>
      <c r="I122" s="8"/>
      <c r="J122" s="10"/>
      <c r="K122" s="10"/>
      <c r="L122" s="10"/>
      <c r="M122" s="10"/>
      <c r="N122" s="10"/>
      <c r="O122" s="10">
        <f t="shared" si="0"/>
        <v>0</v>
      </c>
    </row>
    <row r="123" spans="1:15" ht="15.75">
      <c r="A123" s="4"/>
      <c r="B123" s="4"/>
      <c r="C123" s="4"/>
      <c r="D123" s="4"/>
      <c r="E123" s="4"/>
      <c r="F123" s="5" t="s">
        <v>1272</v>
      </c>
      <c r="G123" s="5" t="s">
        <v>1190</v>
      </c>
      <c r="H123" s="8"/>
      <c r="I123" s="8"/>
      <c r="J123" s="10"/>
      <c r="K123" s="10"/>
      <c r="L123" s="10"/>
      <c r="M123" s="10"/>
      <c r="N123" s="10"/>
      <c r="O123" s="10">
        <f t="shared" si="0"/>
        <v>0</v>
      </c>
    </row>
    <row r="124" spans="1:15" ht="15.75">
      <c r="A124" s="2"/>
      <c r="B124" s="2"/>
      <c r="C124" s="2"/>
      <c r="D124" s="2"/>
      <c r="E124" s="2"/>
      <c r="F124" s="3" t="s">
        <v>1273</v>
      </c>
      <c r="G124" s="3" t="s">
        <v>1191</v>
      </c>
      <c r="H124" s="8"/>
      <c r="I124" s="8"/>
      <c r="J124" s="10"/>
      <c r="K124" s="10"/>
      <c r="L124" s="10"/>
      <c r="M124" s="10"/>
      <c r="N124" s="10"/>
      <c r="O124" s="10">
        <f t="shared" si="0"/>
        <v>0</v>
      </c>
    </row>
    <row r="125" spans="1:15" ht="15.75">
      <c r="A125" s="4"/>
      <c r="B125" s="4"/>
      <c r="C125" s="4"/>
      <c r="D125" s="4"/>
      <c r="E125" s="4"/>
      <c r="F125" s="5" t="s">
        <v>1274</v>
      </c>
      <c r="G125" s="5" t="s">
        <v>1192</v>
      </c>
      <c r="H125" s="8"/>
      <c r="I125" s="8"/>
      <c r="J125" s="10"/>
      <c r="K125" s="10"/>
      <c r="L125" s="10"/>
      <c r="M125" s="10"/>
      <c r="N125" s="10"/>
      <c r="O125" s="10">
        <f t="shared" si="0"/>
        <v>0</v>
      </c>
    </row>
    <row r="126" spans="1:15" ht="15.75">
      <c r="A126" s="2"/>
      <c r="B126" s="2"/>
      <c r="C126" s="2"/>
      <c r="D126" s="2"/>
      <c r="E126" s="2"/>
      <c r="F126" s="3" t="s">
        <v>1275</v>
      </c>
      <c r="G126" s="3" t="s">
        <v>1193</v>
      </c>
      <c r="H126" s="8"/>
      <c r="I126" s="8"/>
      <c r="J126" s="10"/>
      <c r="K126" s="10"/>
      <c r="L126" s="10"/>
      <c r="M126" s="10"/>
      <c r="N126" s="10"/>
      <c r="O126" s="10">
        <f t="shared" si="0"/>
        <v>0</v>
      </c>
    </row>
    <row r="127" spans="1:15" ht="15.75">
      <c r="A127" s="4"/>
      <c r="B127" s="4"/>
      <c r="C127" s="4"/>
      <c r="D127" s="4"/>
      <c r="E127" s="4"/>
      <c r="F127" s="5" t="s">
        <v>1276</v>
      </c>
      <c r="G127" s="5" t="s">
        <v>1194</v>
      </c>
      <c r="H127" s="8"/>
      <c r="I127" s="8"/>
      <c r="J127" s="10"/>
      <c r="K127" s="10"/>
      <c r="L127" s="10"/>
      <c r="M127" s="10"/>
      <c r="N127" s="10"/>
      <c r="O127" s="10">
        <f t="shared" si="0"/>
        <v>0</v>
      </c>
    </row>
    <row r="128" spans="1:15" ht="15.75">
      <c r="A128" s="2"/>
      <c r="B128" s="2"/>
      <c r="C128" s="2"/>
      <c r="D128" s="2"/>
      <c r="E128" s="2"/>
      <c r="F128" s="3" t="s">
        <v>1277</v>
      </c>
      <c r="G128" s="3" t="s">
        <v>1194</v>
      </c>
      <c r="H128" s="8"/>
      <c r="I128" s="8"/>
      <c r="J128" s="10"/>
      <c r="K128" s="10"/>
      <c r="L128" s="10"/>
      <c r="M128" s="10"/>
      <c r="N128" s="10"/>
      <c r="O128" s="10">
        <f t="shared" si="0"/>
        <v>0</v>
      </c>
    </row>
    <row r="129" spans="1:15" ht="15.75">
      <c r="A129" s="4"/>
      <c r="B129" s="4"/>
      <c r="C129" s="4"/>
      <c r="D129" s="4"/>
      <c r="E129" s="4"/>
      <c r="F129" s="5" t="s">
        <v>1278</v>
      </c>
      <c r="G129" s="5" t="s">
        <v>1195</v>
      </c>
      <c r="H129" s="8"/>
      <c r="I129" s="8"/>
      <c r="J129" s="10"/>
      <c r="K129" s="10"/>
      <c r="L129" s="10"/>
      <c r="M129" s="10"/>
      <c r="N129" s="10"/>
      <c r="O129" s="10">
        <f t="shared" si="0"/>
        <v>0</v>
      </c>
    </row>
    <row r="130" spans="1:15" ht="15.75">
      <c r="A130" s="2"/>
      <c r="B130" s="2"/>
      <c r="C130" s="2"/>
      <c r="D130" s="2"/>
      <c r="E130" s="2"/>
      <c r="F130" s="3" t="s">
        <v>1279</v>
      </c>
      <c r="G130" s="3" t="s">
        <v>1196</v>
      </c>
      <c r="H130" s="8"/>
      <c r="I130" s="8"/>
      <c r="J130" s="10"/>
      <c r="K130" s="10"/>
      <c r="L130" s="10"/>
      <c r="M130" s="10"/>
      <c r="N130" s="10"/>
      <c r="O130" s="10">
        <f t="shared" si="0"/>
        <v>0</v>
      </c>
    </row>
    <row r="131" spans="1:15" ht="15.75">
      <c r="A131" s="4"/>
      <c r="B131" s="4"/>
      <c r="C131" s="4"/>
      <c r="D131" s="4"/>
      <c r="E131" s="4"/>
      <c r="F131" s="5" t="s">
        <v>1280</v>
      </c>
      <c r="G131" s="5" t="s">
        <v>1197</v>
      </c>
      <c r="H131" s="8"/>
      <c r="I131" s="8"/>
      <c r="J131" s="10"/>
      <c r="K131" s="10"/>
      <c r="L131" s="10"/>
      <c r="M131" s="10"/>
      <c r="N131" s="10"/>
      <c r="O131" s="10">
        <f t="shared" si="0"/>
        <v>0</v>
      </c>
    </row>
    <row r="132" spans="1:15" ht="15.75">
      <c r="A132" s="2"/>
      <c r="B132" s="2"/>
      <c r="C132" s="2"/>
      <c r="D132" s="2"/>
      <c r="E132" s="2"/>
      <c r="F132" s="3" t="s">
        <v>1281</v>
      </c>
      <c r="G132" s="3" t="s">
        <v>1198</v>
      </c>
      <c r="H132" s="8"/>
      <c r="I132" s="8"/>
      <c r="J132" s="10"/>
      <c r="K132" s="10"/>
      <c r="L132" s="10"/>
      <c r="M132" s="10"/>
      <c r="N132" s="10"/>
      <c r="O132" s="10">
        <f t="shared" si="0"/>
        <v>0</v>
      </c>
    </row>
    <row r="133" spans="1:15" ht="15.75">
      <c r="A133" s="4"/>
      <c r="B133" s="4"/>
      <c r="C133" s="4"/>
      <c r="D133" s="4"/>
      <c r="E133" s="4"/>
      <c r="F133" s="5" t="s">
        <v>1282</v>
      </c>
      <c r="G133" s="5" t="s">
        <v>1199</v>
      </c>
      <c r="H133" s="8"/>
      <c r="I133" s="8"/>
      <c r="J133" s="10"/>
      <c r="K133" s="10"/>
      <c r="L133" s="10"/>
      <c r="M133" s="10"/>
      <c r="N133" s="10"/>
      <c r="O133" s="10">
        <f t="shared" si="0"/>
        <v>0</v>
      </c>
    </row>
    <row r="134" spans="1:15" ht="15.75">
      <c r="A134" s="2"/>
      <c r="B134" s="2"/>
      <c r="C134" s="2"/>
      <c r="D134" s="2"/>
      <c r="E134" s="2"/>
      <c r="F134" s="3" t="s">
        <v>1283</v>
      </c>
      <c r="G134" s="3" t="s">
        <v>1200</v>
      </c>
      <c r="H134" s="8"/>
      <c r="I134" s="8"/>
      <c r="J134" s="10"/>
      <c r="K134" s="10"/>
      <c r="L134" s="10"/>
      <c r="M134" s="10"/>
      <c r="N134" s="10"/>
      <c r="O134" s="10">
        <f t="shared" si="0"/>
        <v>0</v>
      </c>
    </row>
    <row r="135" spans="1:15" ht="15.75">
      <c r="A135" s="4"/>
      <c r="B135" s="4"/>
      <c r="C135" s="4"/>
      <c r="D135" s="4"/>
      <c r="E135" s="4"/>
      <c r="F135" s="5" t="s">
        <v>1284</v>
      </c>
      <c r="G135" s="5" t="s">
        <v>1200</v>
      </c>
      <c r="H135" s="8"/>
      <c r="I135" s="8"/>
      <c r="J135" s="10"/>
      <c r="K135" s="10"/>
      <c r="L135" s="10"/>
      <c r="M135" s="10"/>
      <c r="N135" s="10"/>
      <c r="O135" s="10">
        <f t="shared" si="0"/>
        <v>0</v>
      </c>
    </row>
    <row r="136" spans="1:15" ht="15.75">
      <c r="A136" s="2"/>
      <c r="B136" s="2"/>
      <c r="C136" s="2"/>
      <c r="D136" s="2"/>
      <c r="E136" s="2"/>
      <c r="F136" s="3" t="s">
        <v>1285</v>
      </c>
      <c r="G136" s="3" t="s">
        <v>1200</v>
      </c>
      <c r="H136" s="8"/>
      <c r="I136" s="8"/>
      <c r="J136" s="10"/>
      <c r="K136" s="10"/>
      <c r="L136" s="10"/>
      <c r="M136" s="10"/>
      <c r="N136" s="10"/>
      <c r="O136" s="10">
        <f t="shared" si="0"/>
        <v>0</v>
      </c>
    </row>
    <row r="137" spans="1:15" ht="15.75">
      <c r="A137" s="4"/>
      <c r="B137" s="4"/>
      <c r="C137" s="4"/>
      <c r="D137" s="4"/>
      <c r="E137" s="4"/>
      <c r="F137" s="5" t="s">
        <v>1286</v>
      </c>
      <c r="G137" s="5" t="s">
        <v>1201</v>
      </c>
      <c r="H137" s="8"/>
      <c r="I137" s="8"/>
      <c r="J137" s="10"/>
      <c r="K137" s="10"/>
      <c r="L137" s="10"/>
      <c r="M137" s="10"/>
      <c r="N137" s="10"/>
      <c r="O137" s="10">
        <f t="shared" si="0"/>
        <v>0</v>
      </c>
    </row>
    <row r="138" spans="1:15" ht="15.75">
      <c r="A138" s="2"/>
      <c r="B138" s="2"/>
      <c r="C138" s="2"/>
      <c r="D138" s="2"/>
      <c r="E138" s="2"/>
      <c r="F138" s="3" t="s">
        <v>1287</v>
      </c>
      <c r="G138" s="3" t="s">
        <v>1202</v>
      </c>
      <c r="H138" s="8"/>
      <c r="I138" s="8"/>
      <c r="J138" s="10"/>
      <c r="K138" s="10"/>
      <c r="L138" s="10"/>
      <c r="M138" s="10"/>
      <c r="N138" s="10"/>
      <c r="O138" s="10">
        <f t="shared" si="0"/>
        <v>0</v>
      </c>
    </row>
    <row r="139" spans="1:15" ht="15.75">
      <c r="A139" s="4"/>
      <c r="B139" s="4"/>
      <c r="C139" s="4"/>
      <c r="D139" s="4"/>
      <c r="E139" s="4"/>
      <c r="F139" s="5" t="s">
        <v>1288</v>
      </c>
      <c r="G139" s="5" t="s">
        <v>1203</v>
      </c>
      <c r="H139" s="8"/>
      <c r="I139" s="8"/>
      <c r="J139" s="10"/>
      <c r="K139" s="10"/>
      <c r="L139" s="10"/>
      <c r="M139" s="10"/>
      <c r="N139" s="10"/>
      <c r="O139" s="10">
        <f t="shared" si="0"/>
        <v>0</v>
      </c>
    </row>
    <row r="140" spans="1:15" ht="15.75">
      <c r="A140" s="2"/>
      <c r="B140" s="2"/>
      <c r="C140" s="2"/>
      <c r="D140" s="2"/>
      <c r="E140" s="2"/>
      <c r="F140" s="3" t="s">
        <v>1289</v>
      </c>
      <c r="G140" s="3" t="s">
        <v>1204</v>
      </c>
      <c r="H140" s="8"/>
      <c r="I140" s="8"/>
      <c r="J140" s="10"/>
      <c r="K140" s="10"/>
      <c r="L140" s="10"/>
      <c r="M140" s="10"/>
      <c r="N140" s="10"/>
      <c r="O140" s="10">
        <f t="shared" si="0"/>
        <v>0</v>
      </c>
    </row>
    <row r="141" spans="1:15" ht="15.75">
      <c r="A141" s="4"/>
      <c r="B141" s="4"/>
      <c r="C141" s="4"/>
      <c r="D141" s="4"/>
      <c r="E141" s="4"/>
      <c r="F141" s="5" t="s">
        <v>1290</v>
      </c>
      <c r="G141" s="5" t="s">
        <v>1205</v>
      </c>
      <c r="H141" s="8"/>
      <c r="I141" s="8"/>
      <c r="J141" s="10"/>
      <c r="K141" s="10"/>
      <c r="L141" s="10"/>
      <c r="M141" s="10"/>
      <c r="N141" s="10"/>
      <c r="O141" s="10">
        <f t="shared" si="0"/>
        <v>0</v>
      </c>
    </row>
    <row r="142" spans="1:15" ht="15.75">
      <c r="A142" s="2"/>
      <c r="B142" s="2"/>
      <c r="C142" s="2"/>
      <c r="D142" s="2"/>
      <c r="E142" s="2"/>
      <c r="F142" s="3" t="s">
        <v>1291</v>
      </c>
      <c r="G142" s="3" t="s">
        <v>1206</v>
      </c>
      <c r="H142" s="8"/>
      <c r="I142" s="8"/>
      <c r="J142" s="10"/>
      <c r="K142" s="10"/>
      <c r="L142" s="10"/>
      <c r="M142" s="10"/>
      <c r="N142" s="10"/>
      <c r="O142" s="10">
        <f t="shared" si="0"/>
        <v>0</v>
      </c>
    </row>
    <row r="143" spans="1:15" ht="15.75">
      <c r="A143" s="4"/>
      <c r="B143" s="4"/>
      <c r="C143" s="4"/>
      <c r="D143" s="4"/>
      <c r="E143" s="4"/>
      <c r="F143" s="5" t="s">
        <v>1292</v>
      </c>
      <c r="G143" s="5" t="s">
        <v>1207</v>
      </c>
      <c r="H143" s="8"/>
      <c r="I143" s="8"/>
      <c r="J143" s="10"/>
      <c r="K143" s="10"/>
      <c r="L143" s="10"/>
      <c r="M143" s="10"/>
      <c r="N143" s="10"/>
      <c r="O143" s="10">
        <f t="shared" si="0"/>
        <v>0</v>
      </c>
    </row>
    <row r="144" spans="1:15" ht="15.75">
      <c r="A144" s="2"/>
      <c r="B144" s="2"/>
      <c r="C144" s="2"/>
      <c r="D144" s="2"/>
      <c r="E144" s="2"/>
      <c r="F144" s="3" t="s">
        <v>1293</v>
      </c>
      <c r="G144" s="3" t="s">
        <v>1208</v>
      </c>
      <c r="H144" s="8"/>
      <c r="I144" s="8"/>
      <c r="J144" s="10"/>
      <c r="K144" s="10"/>
      <c r="L144" s="10"/>
      <c r="M144" s="10"/>
      <c r="N144" s="10"/>
      <c r="O144" s="10">
        <f t="shared" si="0"/>
        <v>0</v>
      </c>
    </row>
    <row r="145" spans="1:15" ht="15.75">
      <c r="A145" s="4"/>
      <c r="B145" s="4"/>
      <c r="C145" s="4"/>
      <c r="D145" s="4"/>
      <c r="E145" s="4"/>
      <c r="F145" s="5" t="s">
        <v>1294</v>
      </c>
      <c r="G145" s="5" t="s">
        <v>1209</v>
      </c>
      <c r="H145" s="8"/>
      <c r="I145" s="8"/>
      <c r="J145" s="10"/>
      <c r="K145" s="10"/>
      <c r="L145" s="10"/>
      <c r="M145" s="10"/>
      <c r="N145" s="10"/>
      <c r="O145" s="10">
        <f t="shared" si="0"/>
        <v>0</v>
      </c>
    </row>
    <row r="146" spans="1:15" ht="15.75">
      <c r="A146" s="2"/>
      <c r="B146" s="2"/>
      <c r="C146" s="2"/>
      <c r="D146" s="2"/>
      <c r="E146" s="2"/>
      <c r="F146" s="3" t="s">
        <v>1295</v>
      </c>
      <c r="G146" s="3" t="s">
        <v>1210</v>
      </c>
      <c r="H146" s="8"/>
      <c r="I146" s="8"/>
      <c r="J146" s="10"/>
      <c r="K146" s="10"/>
      <c r="L146" s="10"/>
      <c r="M146" s="10"/>
      <c r="N146" s="10"/>
      <c r="O146" s="10">
        <f t="shared" si="0"/>
        <v>0</v>
      </c>
    </row>
    <row r="147" spans="1:15" ht="15.75">
      <c r="A147" s="4"/>
      <c r="B147" s="4"/>
      <c r="C147" s="4"/>
      <c r="D147" s="4"/>
      <c r="E147" s="4"/>
      <c r="F147" s="5" t="s">
        <v>1296</v>
      </c>
      <c r="G147" s="5" t="s">
        <v>1211</v>
      </c>
      <c r="H147" s="8"/>
      <c r="I147" s="8"/>
      <c r="J147" s="10"/>
      <c r="K147" s="10"/>
      <c r="L147" s="10"/>
      <c r="M147" s="10"/>
      <c r="N147" s="10"/>
      <c r="O147" s="10">
        <f t="shared" si="0"/>
        <v>0</v>
      </c>
    </row>
    <row r="148" spans="1:15" ht="15.75">
      <c r="A148" s="2"/>
      <c r="B148" s="2"/>
      <c r="C148" s="2"/>
      <c r="D148" s="2"/>
      <c r="E148" s="2"/>
      <c r="F148" s="3" t="s">
        <v>1297</v>
      </c>
      <c r="G148" s="3" t="s">
        <v>1212</v>
      </c>
      <c r="H148" s="8"/>
      <c r="I148" s="8"/>
      <c r="J148" s="10"/>
      <c r="K148" s="10"/>
      <c r="L148" s="10"/>
      <c r="M148" s="10"/>
      <c r="N148" s="10"/>
      <c r="O148" s="10">
        <f t="shared" si="0"/>
        <v>0</v>
      </c>
    </row>
    <row r="149" spans="1:15" ht="15.75">
      <c r="A149" s="4"/>
      <c r="B149" s="4"/>
      <c r="C149" s="4"/>
      <c r="D149" s="4"/>
      <c r="E149" s="4"/>
      <c r="F149" s="5" t="s">
        <v>1298</v>
      </c>
      <c r="G149" s="5" t="s">
        <v>1213</v>
      </c>
      <c r="H149" s="8"/>
      <c r="I149" s="8"/>
      <c r="J149" s="10"/>
      <c r="K149" s="10"/>
      <c r="L149" s="10"/>
      <c r="M149" s="10"/>
      <c r="N149" s="10"/>
      <c r="O149" s="10">
        <f t="shared" si="0"/>
        <v>0</v>
      </c>
    </row>
    <row r="150" spans="1:15" ht="15.75">
      <c r="A150" s="2"/>
      <c r="B150" s="2"/>
      <c r="C150" s="2"/>
      <c r="D150" s="2"/>
      <c r="E150" s="2"/>
      <c r="F150" s="3" t="s">
        <v>1299</v>
      </c>
      <c r="G150" s="3" t="s">
        <v>1214</v>
      </c>
      <c r="H150" s="8"/>
      <c r="I150" s="8"/>
      <c r="J150" s="10"/>
      <c r="K150" s="10"/>
      <c r="L150" s="10"/>
      <c r="M150" s="10"/>
      <c r="N150" s="10"/>
      <c r="O150" s="10">
        <f t="shared" si="0"/>
        <v>0</v>
      </c>
    </row>
    <row r="151" spans="1:15" ht="15.75">
      <c r="A151" s="4"/>
      <c r="B151" s="4"/>
      <c r="C151" s="4"/>
      <c r="D151" s="4"/>
      <c r="E151" s="4"/>
      <c r="F151" s="5" t="s">
        <v>1300</v>
      </c>
      <c r="G151" s="5" t="s">
        <v>1215</v>
      </c>
      <c r="H151" s="8"/>
      <c r="I151" s="8"/>
      <c r="J151" s="10"/>
      <c r="K151" s="10"/>
      <c r="L151" s="10"/>
      <c r="M151" s="10"/>
      <c r="N151" s="10"/>
      <c r="O151" s="10">
        <f t="shared" si="0"/>
        <v>0</v>
      </c>
    </row>
    <row r="152" spans="1:15" ht="15.75">
      <c r="A152" s="2"/>
      <c r="B152" s="2"/>
      <c r="C152" s="2"/>
      <c r="D152" s="2"/>
      <c r="E152" s="2"/>
      <c r="F152" s="3" t="s">
        <v>1301</v>
      </c>
      <c r="G152" s="3" t="s">
        <v>1216</v>
      </c>
      <c r="H152" s="8"/>
      <c r="I152" s="8"/>
      <c r="J152" s="10"/>
      <c r="K152" s="10"/>
      <c r="L152" s="10"/>
      <c r="M152" s="10"/>
      <c r="N152" s="10"/>
      <c r="O152" s="10">
        <f t="shared" si="0"/>
        <v>0</v>
      </c>
    </row>
    <row r="153" spans="1:15" ht="15.75">
      <c r="A153" s="4"/>
      <c r="B153" s="4"/>
      <c r="C153" s="4"/>
      <c r="D153" s="4"/>
      <c r="E153" s="4"/>
      <c r="F153" s="5" t="s">
        <v>1302</v>
      </c>
      <c r="G153" s="5" t="s">
        <v>1217</v>
      </c>
      <c r="H153" s="8"/>
      <c r="I153" s="8"/>
      <c r="J153" s="10"/>
      <c r="K153" s="10"/>
      <c r="L153" s="10"/>
      <c r="M153" s="10"/>
      <c r="N153" s="10"/>
      <c r="O153" s="10">
        <f t="shared" si="0"/>
        <v>0</v>
      </c>
    </row>
    <row r="154" spans="1:15" ht="15.75">
      <c r="A154" s="2"/>
      <c r="B154" s="2"/>
      <c r="C154" s="2"/>
      <c r="D154" s="2"/>
      <c r="E154" s="2"/>
      <c r="F154" s="3" t="s">
        <v>1303</v>
      </c>
      <c r="G154" s="3" t="s">
        <v>1218</v>
      </c>
      <c r="H154" s="8"/>
      <c r="I154" s="8"/>
      <c r="J154" s="10"/>
      <c r="K154" s="10"/>
      <c r="L154" s="10"/>
      <c r="M154" s="10"/>
      <c r="N154" s="10"/>
      <c r="O154" s="10">
        <f t="shared" si="0"/>
        <v>0</v>
      </c>
    </row>
    <row r="155" spans="1:15" ht="15.75">
      <c r="A155" s="4"/>
      <c r="B155" s="4"/>
      <c r="C155" s="4"/>
      <c r="D155" s="4"/>
      <c r="E155" s="4"/>
      <c r="F155" s="5" t="s">
        <v>1304</v>
      </c>
      <c r="G155" s="5" t="s">
        <v>1219</v>
      </c>
      <c r="H155" s="8"/>
      <c r="I155" s="8"/>
      <c r="J155" s="10"/>
      <c r="K155" s="10"/>
      <c r="L155" s="10"/>
      <c r="M155" s="10"/>
      <c r="N155" s="10"/>
      <c r="O155" s="10">
        <f t="shared" si="0"/>
        <v>0</v>
      </c>
    </row>
    <row r="156" spans="1:15" ht="15.75">
      <c r="A156" s="2"/>
      <c r="B156" s="2"/>
      <c r="C156" s="2"/>
      <c r="D156" s="2"/>
      <c r="E156" s="2"/>
      <c r="F156" s="3" t="s">
        <v>1305</v>
      </c>
      <c r="G156" s="3" t="s">
        <v>1220</v>
      </c>
      <c r="H156" s="8"/>
      <c r="I156" s="8"/>
      <c r="J156" s="10"/>
      <c r="K156" s="10"/>
      <c r="L156" s="10"/>
      <c r="M156" s="10"/>
      <c r="N156" s="10"/>
      <c r="O156" s="10">
        <f t="shared" si="0"/>
        <v>0</v>
      </c>
    </row>
    <row r="157" spans="1:15" ht="15.75">
      <c r="A157" s="4"/>
      <c r="B157" s="4"/>
      <c r="C157" s="4"/>
      <c r="D157" s="4"/>
      <c r="E157" s="4"/>
      <c r="F157" s="5" t="s">
        <v>1306</v>
      </c>
      <c r="G157" s="5" t="s">
        <v>1221</v>
      </c>
      <c r="H157" s="8"/>
      <c r="I157" s="8"/>
      <c r="J157" s="10"/>
      <c r="K157" s="10"/>
      <c r="L157" s="10"/>
      <c r="M157" s="10"/>
      <c r="N157" s="10"/>
      <c r="O157" s="10">
        <f t="shared" ref="O157:O203" si="1">SUMPRODUCT(J157:N157,$J$2:$N$2)</f>
        <v>0</v>
      </c>
    </row>
    <row r="158" spans="1:15" ht="15.75">
      <c r="A158" s="2"/>
      <c r="B158" s="2"/>
      <c r="C158" s="2"/>
      <c r="D158" s="2"/>
      <c r="E158" s="2"/>
      <c r="F158" s="3" t="s">
        <v>1307</v>
      </c>
      <c r="G158" s="3" t="s">
        <v>1222</v>
      </c>
      <c r="H158" s="8"/>
      <c r="I158" s="8"/>
      <c r="J158" s="10"/>
      <c r="K158" s="10"/>
      <c r="L158" s="10"/>
      <c r="M158" s="10"/>
      <c r="N158" s="10"/>
      <c r="O158" s="10">
        <f t="shared" si="1"/>
        <v>0</v>
      </c>
    </row>
    <row r="159" spans="1:15" ht="15.75">
      <c r="A159" s="4"/>
      <c r="B159" s="4"/>
      <c r="C159" s="4"/>
      <c r="D159" s="4"/>
      <c r="E159" s="4"/>
      <c r="F159" s="5" t="s">
        <v>1308</v>
      </c>
      <c r="G159" s="5" t="s">
        <v>1223</v>
      </c>
      <c r="H159" s="8"/>
      <c r="I159" s="8"/>
      <c r="J159" s="10"/>
      <c r="K159" s="10"/>
      <c r="L159" s="10"/>
      <c r="M159" s="10"/>
      <c r="N159" s="10"/>
      <c r="O159" s="10">
        <f t="shared" si="1"/>
        <v>0</v>
      </c>
    </row>
    <row r="160" spans="1:15" ht="15.75">
      <c r="A160" s="2"/>
      <c r="B160" s="2"/>
      <c r="C160" s="2"/>
      <c r="D160" s="2"/>
      <c r="E160" s="2"/>
      <c r="F160" s="3" t="s">
        <v>1309</v>
      </c>
      <c r="G160" s="3" t="s">
        <v>1224</v>
      </c>
      <c r="H160" s="8"/>
      <c r="I160" s="8"/>
      <c r="J160" s="10"/>
      <c r="K160" s="10"/>
      <c r="L160" s="10"/>
      <c r="M160" s="10"/>
      <c r="N160" s="10"/>
      <c r="O160" s="10">
        <f t="shared" si="1"/>
        <v>0</v>
      </c>
    </row>
    <row r="161" spans="1:15" ht="15.75">
      <c r="A161" s="4"/>
      <c r="B161" s="4"/>
      <c r="C161" s="4"/>
      <c r="D161" s="4"/>
      <c r="E161" s="4"/>
      <c r="F161" s="5" t="s">
        <v>1310</v>
      </c>
      <c r="G161" s="5" t="s">
        <v>1225</v>
      </c>
      <c r="H161" s="8"/>
      <c r="I161" s="8"/>
      <c r="J161" s="10"/>
      <c r="K161" s="10"/>
      <c r="L161" s="10"/>
      <c r="M161" s="10"/>
      <c r="N161" s="10"/>
      <c r="O161" s="10">
        <f t="shared" si="1"/>
        <v>0</v>
      </c>
    </row>
    <row r="162" spans="1:15" ht="15.75">
      <c r="A162" s="2"/>
      <c r="B162" s="2"/>
      <c r="C162" s="2"/>
      <c r="D162" s="2"/>
      <c r="E162" s="2"/>
      <c r="F162" s="3" t="s">
        <v>1311</v>
      </c>
      <c r="G162" s="3" t="s">
        <v>1226</v>
      </c>
      <c r="H162" s="8"/>
      <c r="I162" s="8"/>
      <c r="J162" s="10"/>
      <c r="K162" s="10"/>
      <c r="L162" s="10"/>
      <c r="M162" s="10"/>
      <c r="N162" s="10"/>
      <c r="O162" s="10">
        <f t="shared" si="1"/>
        <v>0</v>
      </c>
    </row>
    <row r="163" spans="1:15" ht="15.75">
      <c r="A163" s="4"/>
      <c r="B163" s="4"/>
      <c r="C163" s="4"/>
      <c r="D163" s="4"/>
      <c r="E163" s="4"/>
      <c r="F163" s="5" t="s">
        <v>1312</v>
      </c>
      <c r="G163" s="5" t="s">
        <v>1227</v>
      </c>
      <c r="H163" s="8"/>
      <c r="I163" s="8"/>
      <c r="J163" s="10"/>
      <c r="K163" s="10"/>
      <c r="L163" s="10"/>
      <c r="M163" s="10"/>
      <c r="N163" s="10"/>
      <c r="O163" s="10">
        <f t="shared" si="1"/>
        <v>0</v>
      </c>
    </row>
    <row r="164" spans="1:15" ht="15.75">
      <c r="A164" s="2"/>
      <c r="B164" s="2"/>
      <c r="C164" s="2"/>
      <c r="D164" s="2"/>
      <c r="E164" s="2"/>
      <c r="F164" s="3" t="s">
        <v>1313</v>
      </c>
      <c r="G164" s="3" t="s">
        <v>1228</v>
      </c>
      <c r="H164" s="8"/>
      <c r="I164" s="8"/>
      <c r="J164" s="10"/>
      <c r="K164" s="10"/>
      <c r="L164" s="10"/>
      <c r="M164" s="10"/>
      <c r="N164" s="10"/>
      <c r="O164" s="10">
        <f t="shared" si="1"/>
        <v>0</v>
      </c>
    </row>
    <row r="165" spans="1:15" ht="15.75">
      <c r="A165" s="4"/>
      <c r="B165" s="4"/>
      <c r="C165" s="4"/>
      <c r="D165" s="4"/>
      <c r="E165" s="4"/>
      <c r="F165" s="5" t="s">
        <v>1314</v>
      </c>
      <c r="G165" s="5" t="s">
        <v>1229</v>
      </c>
      <c r="H165" s="8"/>
      <c r="I165" s="8"/>
      <c r="J165" s="10"/>
      <c r="K165" s="10"/>
      <c r="L165" s="10"/>
      <c r="M165" s="10"/>
      <c r="N165" s="10"/>
      <c r="O165" s="10">
        <f t="shared" si="1"/>
        <v>0</v>
      </c>
    </row>
    <row r="166" spans="1:15" ht="15.75">
      <c r="A166" s="2"/>
      <c r="B166" s="2"/>
      <c r="C166" s="2"/>
      <c r="D166" s="2"/>
      <c r="E166" s="2"/>
      <c r="F166" s="3" t="s">
        <v>1315</v>
      </c>
      <c r="G166" s="3" t="s">
        <v>1230</v>
      </c>
      <c r="H166" s="8"/>
      <c r="I166" s="8"/>
      <c r="J166" s="10"/>
      <c r="K166" s="10"/>
      <c r="L166" s="10"/>
      <c r="M166" s="10"/>
      <c r="N166" s="10"/>
      <c r="O166" s="10">
        <f t="shared" si="1"/>
        <v>0</v>
      </c>
    </row>
    <row r="167" spans="1:15" ht="15.75">
      <c r="A167" s="4"/>
      <c r="B167" s="4"/>
      <c r="C167" s="4"/>
      <c r="D167" s="4"/>
      <c r="E167" s="4"/>
      <c r="F167" s="5" t="s">
        <v>1316</v>
      </c>
      <c r="G167" s="5" t="s">
        <v>1231</v>
      </c>
      <c r="H167" s="8"/>
      <c r="I167" s="8"/>
      <c r="J167" s="10"/>
      <c r="K167" s="10"/>
      <c r="L167" s="10"/>
      <c r="M167" s="10"/>
      <c r="N167" s="10"/>
      <c r="O167" s="10">
        <f t="shared" si="1"/>
        <v>0</v>
      </c>
    </row>
    <row r="168" spans="1:15" ht="15.75">
      <c r="A168" s="2"/>
      <c r="B168" s="2"/>
      <c r="C168" s="2"/>
      <c r="D168" s="2"/>
      <c r="E168" s="2"/>
      <c r="F168" s="3" t="s">
        <v>1317</v>
      </c>
      <c r="G168" s="3" t="s">
        <v>1232</v>
      </c>
      <c r="H168" s="8"/>
      <c r="I168" s="8"/>
      <c r="J168" s="10"/>
      <c r="K168" s="10"/>
      <c r="L168" s="10"/>
      <c r="M168" s="10"/>
      <c r="N168" s="10"/>
      <c r="O168" s="10">
        <f t="shared" si="1"/>
        <v>0</v>
      </c>
    </row>
    <row r="169" spans="1:15" ht="15.75">
      <c r="A169" s="4"/>
      <c r="B169" s="4"/>
      <c r="C169" s="4"/>
      <c r="D169" s="4"/>
      <c r="E169" s="4"/>
      <c r="F169" s="5" t="s">
        <v>1318</v>
      </c>
      <c r="G169" s="5" t="s">
        <v>1233</v>
      </c>
      <c r="H169" s="8"/>
      <c r="I169" s="8"/>
      <c r="J169" s="10"/>
      <c r="K169" s="10"/>
      <c r="L169" s="10"/>
      <c r="M169" s="10"/>
      <c r="N169" s="10"/>
      <c r="O169" s="10">
        <f t="shared" si="1"/>
        <v>0</v>
      </c>
    </row>
    <row r="170" spans="1:15" ht="15.75">
      <c r="A170" s="2"/>
      <c r="B170" s="2"/>
      <c r="C170" s="2"/>
      <c r="D170" s="2"/>
      <c r="E170" s="2"/>
      <c r="F170" s="3" t="s">
        <v>1319</v>
      </c>
      <c r="G170" s="3" t="s">
        <v>1234</v>
      </c>
      <c r="H170" s="8"/>
      <c r="I170" s="8"/>
      <c r="J170" s="10"/>
      <c r="K170" s="10"/>
      <c r="L170" s="10"/>
      <c r="M170" s="10"/>
      <c r="N170" s="10"/>
      <c r="O170" s="10">
        <f t="shared" si="1"/>
        <v>0</v>
      </c>
    </row>
    <row r="171" spans="1:15" ht="15.75">
      <c r="A171" s="4"/>
      <c r="B171" s="4"/>
      <c r="C171" s="4"/>
      <c r="D171" s="4"/>
      <c r="E171" s="4"/>
      <c r="F171" s="5" t="s">
        <v>1320</v>
      </c>
      <c r="G171" s="5" t="s">
        <v>1235</v>
      </c>
      <c r="H171" s="8"/>
      <c r="I171" s="8"/>
      <c r="J171" s="10"/>
      <c r="K171" s="10"/>
      <c r="L171" s="10"/>
      <c r="M171" s="10"/>
      <c r="N171" s="10"/>
      <c r="O171" s="10">
        <f t="shared" si="1"/>
        <v>0</v>
      </c>
    </row>
    <row r="172" spans="1:15" ht="15.75">
      <c r="A172" s="2"/>
      <c r="B172" s="2"/>
      <c r="C172" s="2"/>
      <c r="D172" s="2"/>
      <c r="E172" s="2"/>
      <c r="F172" s="3" t="s">
        <v>1321</v>
      </c>
      <c r="G172" s="3" t="s">
        <v>1236</v>
      </c>
      <c r="H172" s="8"/>
      <c r="I172" s="8"/>
      <c r="J172" s="10"/>
      <c r="K172" s="10"/>
      <c r="L172" s="10"/>
      <c r="M172" s="10"/>
      <c r="N172" s="10"/>
      <c r="O172" s="10">
        <f t="shared" si="1"/>
        <v>0</v>
      </c>
    </row>
    <row r="173" spans="1:15" ht="15.75">
      <c r="A173" s="4"/>
      <c r="B173" s="4"/>
      <c r="C173" s="4"/>
      <c r="D173" s="4"/>
      <c r="E173" s="4"/>
      <c r="F173" s="5" t="s">
        <v>1322</v>
      </c>
      <c r="G173" s="5" t="s">
        <v>1237</v>
      </c>
      <c r="H173" s="8"/>
      <c r="I173" s="8"/>
      <c r="J173" s="10"/>
      <c r="K173" s="10"/>
      <c r="L173" s="10"/>
      <c r="M173" s="10"/>
      <c r="N173" s="10"/>
      <c r="O173" s="10">
        <f t="shared" si="1"/>
        <v>0</v>
      </c>
    </row>
    <row r="174" spans="1:15" ht="15.75">
      <c r="A174" s="2"/>
      <c r="B174" s="2"/>
      <c r="C174" s="2"/>
      <c r="D174" s="2"/>
      <c r="E174" s="2"/>
      <c r="F174" s="3" t="s">
        <v>1323</v>
      </c>
      <c r="G174" s="3" t="s">
        <v>1238</v>
      </c>
      <c r="H174" s="8"/>
      <c r="I174" s="8"/>
      <c r="J174" s="10"/>
      <c r="K174" s="10"/>
      <c r="L174" s="10"/>
      <c r="M174" s="10"/>
      <c r="N174" s="10"/>
      <c r="O174" s="10">
        <f t="shared" si="1"/>
        <v>0</v>
      </c>
    </row>
    <row r="175" spans="1:15" ht="15.75">
      <c r="A175" s="4"/>
      <c r="B175" s="4"/>
      <c r="C175" s="4"/>
      <c r="D175" s="4"/>
      <c r="E175" s="4"/>
      <c r="F175" s="5" t="s">
        <v>1324</v>
      </c>
      <c r="G175" s="5" t="s">
        <v>1239</v>
      </c>
      <c r="H175" s="8"/>
      <c r="I175" s="8"/>
      <c r="J175" s="10"/>
      <c r="K175" s="10"/>
      <c r="L175" s="10"/>
      <c r="M175" s="10"/>
      <c r="N175" s="10"/>
      <c r="O175" s="10">
        <f t="shared" si="1"/>
        <v>0</v>
      </c>
    </row>
    <row r="176" spans="1:15" ht="15.75">
      <c r="A176" s="2"/>
      <c r="B176" s="2"/>
      <c r="C176" s="2"/>
      <c r="D176" s="2"/>
      <c r="E176" s="2"/>
      <c r="F176" s="3" t="s">
        <v>1325</v>
      </c>
      <c r="G176" s="3" t="s">
        <v>1240</v>
      </c>
      <c r="H176" s="8"/>
      <c r="I176" s="8"/>
      <c r="J176" s="10"/>
      <c r="K176" s="10"/>
      <c r="L176" s="10"/>
      <c r="M176" s="10"/>
      <c r="N176" s="10"/>
      <c r="O176" s="10">
        <f t="shared" si="1"/>
        <v>0</v>
      </c>
    </row>
    <row r="177" spans="1:15" ht="15.75">
      <c r="A177" s="4"/>
      <c r="B177" s="4"/>
      <c r="C177" s="4"/>
      <c r="D177" s="4"/>
      <c r="E177" s="4"/>
      <c r="F177" s="5" t="s">
        <v>1326</v>
      </c>
      <c r="G177" s="5" t="s">
        <v>1241</v>
      </c>
      <c r="H177" s="8"/>
      <c r="I177" s="8"/>
      <c r="J177" s="10"/>
      <c r="K177" s="10"/>
      <c r="L177" s="10"/>
      <c r="M177" s="10"/>
      <c r="N177" s="10"/>
      <c r="O177" s="10">
        <f t="shared" si="1"/>
        <v>0</v>
      </c>
    </row>
    <row r="178" spans="1:15" ht="15.75">
      <c r="A178" s="2"/>
      <c r="B178" s="2"/>
      <c r="C178" s="2"/>
      <c r="D178" s="2"/>
      <c r="E178" s="2"/>
      <c r="F178" s="3" t="s">
        <v>1327</v>
      </c>
      <c r="G178" s="3" t="s">
        <v>1242</v>
      </c>
      <c r="H178" s="8"/>
      <c r="I178" s="8"/>
      <c r="J178" s="10"/>
      <c r="K178" s="10"/>
      <c r="L178" s="10"/>
      <c r="M178" s="10"/>
      <c r="N178" s="10"/>
      <c r="O178" s="10">
        <f t="shared" si="1"/>
        <v>0</v>
      </c>
    </row>
    <row r="179" spans="1:15" ht="15.75">
      <c r="A179" s="4"/>
      <c r="B179" s="4"/>
      <c r="C179" s="4"/>
      <c r="D179" s="4"/>
      <c r="E179" s="4"/>
      <c r="F179" s="5" t="s">
        <v>1328</v>
      </c>
      <c r="G179" s="5" t="s">
        <v>1243</v>
      </c>
      <c r="H179" s="8"/>
      <c r="I179" s="8"/>
      <c r="J179" s="10"/>
      <c r="K179" s="10"/>
      <c r="L179" s="10"/>
      <c r="M179" s="10"/>
      <c r="N179" s="10"/>
      <c r="O179" s="10">
        <f t="shared" si="1"/>
        <v>0</v>
      </c>
    </row>
    <row r="180" spans="1:15" ht="15.75">
      <c r="A180" s="2"/>
      <c r="B180" s="2"/>
      <c r="C180" s="2"/>
      <c r="D180" s="2"/>
      <c r="E180" s="2"/>
      <c r="F180" s="3" t="s">
        <v>1329</v>
      </c>
      <c r="G180" s="3" t="s">
        <v>1244</v>
      </c>
      <c r="H180" s="8"/>
      <c r="I180" s="8"/>
      <c r="J180" s="10"/>
      <c r="K180" s="10"/>
      <c r="L180" s="10"/>
      <c r="M180" s="10"/>
      <c r="N180" s="10"/>
      <c r="O180" s="10">
        <f t="shared" si="1"/>
        <v>0</v>
      </c>
    </row>
    <row r="181" spans="1:15" ht="15.75">
      <c r="A181" s="4"/>
      <c r="B181" s="4"/>
      <c r="C181" s="4"/>
      <c r="D181" s="4"/>
      <c r="E181" s="4"/>
      <c r="F181" s="5" t="s">
        <v>1330</v>
      </c>
      <c r="G181" s="5" t="s">
        <v>1245</v>
      </c>
      <c r="H181" s="8"/>
      <c r="I181" s="8"/>
      <c r="J181" s="10"/>
      <c r="K181" s="10"/>
      <c r="L181" s="10"/>
      <c r="M181" s="10"/>
      <c r="N181" s="10"/>
      <c r="O181" s="10">
        <f t="shared" si="1"/>
        <v>0</v>
      </c>
    </row>
    <row r="182" spans="1:15" ht="15.75">
      <c r="A182" s="2"/>
      <c r="B182" s="2"/>
      <c r="C182" s="2"/>
      <c r="D182" s="2"/>
      <c r="E182" s="2"/>
      <c r="F182" s="3" t="s">
        <v>1331</v>
      </c>
      <c r="G182" s="3" t="s">
        <v>1246</v>
      </c>
      <c r="H182" s="8"/>
      <c r="I182" s="8"/>
      <c r="J182" s="10"/>
      <c r="K182" s="10"/>
      <c r="L182" s="10"/>
      <c r="M182" s="10"/>
      <c r="N182" s="10"/>
      <c r="O182" s="10">
        <f t="shared" si="1"/>
        <v>0</v>
      </c>
    </row>
    <row r="183" spans="1:15" ht="15.75">
      <c r="A183" s="4"/>
      <c r="B183" s="4"/>
      <c r="C183" s="4"/>
      <c r="D183" s="4"/>
      <c r="E183" s="4"/>
      <c r="F183" s="5" t="s">
        <v>1332</v>
      </c>
      <c r="G183" s="5" t="s">
        <v>1247</v>
      </c>
      <c r="H183" s="8"/>
      <c r="I183" s="8"/>
      <c r="J183" s="10"/>
      <c r="K183" s="10"/>
      <c r="L183" s="10"/>
      <c r="M183" s="10"/>
      <c r="N183" s="10"/>
      <c r="O183" s="10">
        <f t="shared" si="1"/>
        <v>0</v>
      </c>
    </row>
    <row r="184" spans="1:15" ht="15.75">
      <c r="A184" s="2"/>
      <c r="B184" s="2"/>
      <c r="C184" s="2"/>
      <c r="D184" s="2"/>
      <c r="E184" s="2"/>
      <c r="F184" s="3" t="s">
        <v>1333</v>
      </c>
      <c r="G184" s="3" t="s">
        <v>1248</v>
      </c>
      <c r="H184" s="8"/>
      <c r="I184" s="8"/>
      <c r="J184" s="10"/>
      <c r="K184" s="10"/>
      <c r="L184" s="10"/>
      <c r="M184" s="10"/>
      <c r="N184" s="10"/>
      <c r="O184" s="10">
        <f t="shared" si="1"/>
        <v>0</v>
      </c>
    </row>
    <row r="185" spans="1:15" ht="15.75">
      <c r="A185" s="4"/>
      <c r="B185" s="4"/>
      <c r="C185" s="4"/>
      <c r="D185" s="4"/>
      <c r="E185" s="4"/>
      <c r="F185" s="5" t="s">
        <v>1334</v>
      </c>
      <c r="G185" s="5" t="s">
        <v>1249</v>
      </c>
      <c r="H185" s="8"/>
      <c r="I185" s="8"/>
      <c r="J185" s="10"/>
      <c r="K185" s="10"/>
      <c r="L185" s="10"/>
      <c r="M185" s="10"/>
      <c r="N185" s="10"/>
      <c r="O185" s="10">
        <f t="shared" si="1"/>
        <v>0</v>
      </c>
    </row>
    <row r="186" spans="1:15" ht="15.75">
      <c r="A186" s="2"/>
      <c r="B186" s="2"/>
      <c r="C186" s="2"/>
      <c r="D186" s="2"/>
      <c r="E186" s="2"/>
      <c r="F186" s="3" t="s">
        <v>1335</v>
      </c>
      <c r="G186" s="3" t="s">
        <v>1250</v>
      </c>
      <c r="H186" s="8"/>
      <c r="I186" s="8"/>
      <c r="J186" s="10"/>
      <c r="K186" s="10"/>
      <c r="L186" s="10"/>
      <c r="M186" s="10"/>
      <c r="N186" s="10"/>
      <c r="O186" s="10">
        <f t="shared" si="1"/>
        <v>0</v>
      </c>
    </row>
    <row r="187" spans="1:15" ht="15.75">
      <c r="A187" s="4"/>
      <c r="B187" s="4"/>
      <c r="C187" s="4"/>
      <c r="D187" s="4"/>
      <c r="E187" s="4"/>
      <c r="F187" s="5" t="s">
        <v>1336</v>
      </c>
      <c r="G187" s="5" t="s">
        <v>1251</v>
      </c>
      <c r="H187" s="8"/>
      <c r="I187" s="8"/>
      <c r="J187" s="10"/>
      <c r="K187" s="10"/>
      <c r="L187" s="10"/>
      <c r="M187" s="10"/>
      <c r="N187" s="10"/>
      <c r="O187" s="10">
        <f t="shared" si="1"/>
        <v>0</v>
      </c>
    </row>
    <row r="188" spans="1:15" ht="15.75">
      <c r="A188" s="2"/>
      <c r="B188" s="2"/>
      <c r="C188" s="2"/>
      <c r="D188" s="2"/>
      <c r="E188" s="2"/>
      <c r="F188" s="3" t="s">
        <v>1337</v>
      </c>
      <c r="G188" s="3" t="s">
        <v>1252</v>
      </c>
      <c r="H188" s="8"/>
      <c r="I188" s="8"/>
      <c r="J188" s="10"/>
      <c r="K188" s="10"/>
      <c r="L188" s="10"/>
      <c r="M188" s="10"/>
      <c r="N188" s="10"/>
      <c r="O188" s="10">
        <f t="shared" si="1"/>
        <v>0</v>
      </c>
    </row>
    <row r="189" spans="1:15" ht="15.75">
      <c r="A189" s="4"/>
      <c r="B189" s="4"/>
      <c r="C189" s="4"/>
      <c r="D189" s="4"/>
      <c r="E189" s="4"/>
      <c r="F189" s="5" t="s">
        <v>1338</v>
      </c>
      <c r="G189" s="5" t="s">
        <v>1253</v>
      </c>
      <c r="H189" s="8"/>
      <c r="I189" s="8"/>
      <c r="J189" s="10"/>
      <c r="K189" s="10"/>
      <c r="L189" s="10"/>
      <c r="M189" s="10"/>
      <c r="N189" s="10"/>
      <c r="O189" s="10">
        <f t="shared" si="1"/>
        <v>0</v>
      </c>
    </row>
    <row r="190" spans="1:15" ht="15.75">
      <c r="A190" s="2"/>
      <c r="B190" s="2"/>
      <c r="C190" s="2"/>
      <c r="D190" s="2"/>
      <c r="E190" s="2"/>
      <c r="F190" s="3" t="s">
        <v>1339</v>
      </c>
      <c r="G190" s="3" t="s">
        <v>1254</v>
      </c>
      <c r="H190" s="8"/>
      <c r="I190" s="8"/>
      <c r="J190" s="10"/>
      <c r="K190" s="10"/>
      <c r="L190" s="10"/>
      <c r="M190" s="10"/>
      <c r="N190" s="10"/>
      <c r="O190" s="10">
        <f t="shared" si="1"/>
        <v>0</v>
      </c>
    </row>
    <row r="191" spans="1:15" ht="15.75">
      <c r="A191" s="4"/>
      <c r="B191" s="4"/>
      <c r="C191" s="4"/>
      <c r="D191" s="4"/>
      <c r="E191" s="4"/>
      <c r="F191" s="5" t="s">
        <v>1340</v>
      </c>
      <c r="G191" s="5" t="s">
        <v>1255</v>
      </c>
      <c r="H191" s="8"/>
      <c r="I191" s="8"/>
      <c r="J191" s="10"/>
      <c r="K191" s="10"/>
      <c r="L191" s="10"/>
      <c r="M191" s="10"/>
      <c r="N191" s="10"/>
      <c r="O191" s="10">
        <f t="shared" si="1"/>
        <v>0</v>
      </c>
    </row>
    <row r="192" spans="1:15" ht="15.75">
      <c r="A192" s="2"/>
      <c r="B192" s="2"/>
      <c r="C192" s="2"/>
      <c r="D192" s="2"/>
      <c r="E192" s="2"/>
      <c r="F192" s="3" t="s">
        <v>1341</v>
      </c>
      <c r="G192" s="3" t="s">
        <v>1256</v>
      </c>
      <c r="H192" s="8"/>
      <c r="I192" s="8"/>
      <c r="J192" s="10"/>
      <c r="K192" s="10"/>
      <c r="L192" s="10"/>
      <c r="M192" s="10"/>
      <c r="N192" s="10"/>
      <c r="O192" s="10">
        <f t="shared" si="1"/>
        <v>0</v>
      </c>
    </row>
    <row r="193" spans="1:15" ht="15.75">
      <c r="A193" s="4"/>
      <c r="B193" s="4"/>
      <c r="C193" s="4"/>
      <c r="D193" s="4"/>
      <c r="E193" s="4"/>
      <c r="F193" s="5" t="s">
        <v>1342</v>
      </c>
      <c r="G193" s="5" t="s">
        <v>1257</v>
      </c>
      <c r="H193" s="8"/>
      <c r="I193" s="8"/>
      <c r="J193" s="10"/>
      <c r="K193" s="10"/>
      <c r="L193" s="10"/>
      <c r="M193" s="10"/>
      <c r="N193" s="10"/>
      <c r="O193" s="10">
        <f t="shared" si="1"/>
        <v>0</v>
      </c>
    </row>
    <row r="194" spans="1:15" ht="15.75">
      <c r="A194" s="2"/>
      <c r="B194" s="2"/>
      <c r="C194" s="2"/>
      <c r="D194" s="2"/>
      <c r="E194" s="2"/>
      <c r="F194" s="3" t="s">
        <v>1343</v>
      </c>
      <c r="G194" s="3" t="s">
        <v>1258</v>
      </c>
      <c r="H194" s="8"/>
      <c r="I194" s="8"/>
      <c r="J194" s="10"/>
      <c r="K194" s="10"/>
      <c r="L194" s="10"/>
      <c r="M194" s="10"/>
      <c r="N194" s="10"/>
      <c r="O194" s="10">
        <f t="shared" si="1"/>
        <v>0</v>
      </c>
    </row>
    <row r="195" spans="1:15" ht="15.75">
      <c r="A195" s="4"/>
      <c r="B195" s="4"/>
      <c r="C195" s="4"/>
      <c r="D195" s="4"/>
      <c r="E195" s="4"/>
      <c r="F195" s="5" t="s">
        <v>1344</v>
      </c>
      <c r="G195" s="5" t="s">
        <v>1259</v>
      </c>
      <c r="H195" s="8"/>
      <c r="I195" s="8"/>
      <c r="J195" s="10"/>
      <c r="K195" s="10"/>
      <c r="L195" s="10"/>
      <c r="M195" s="10"/>
      <c r="N195" s="10"/>
      <c r="O195" s="10">
        <f t="shared" si="1"/>
        <v>0</v>
      </c>
    </row>
    <row r="196" spans="1:15" ht="15.75">
      <c r="A196" s="2"/>
      <c r="B196" s="2"/>
      <c r="C196" s="2"/>
      <c r="D196" s="2"/>
      <c r="E196" s="2"/>
      <c r="F196" s="3" t="s">
        <v>1345</v>
      </c>
      <c r="G196" s="3" t="s">
        <v>1260</v>
      </c>
      <c r="H196" s="8"/>
      <c r="I196" s="8"/>
      <c r="J196" s="10"/>
      <c r="K196" s="10"/>
      <c r="L196" s="10"/>
      <c r="M196" s="10"/>
      <c r="N196" s="10"/>
      <c r="O196" s="10">
        <f t="shared" si="1"/>
        <v>0</v>
      </c>
    </row>
    <row r="197" spans="1:15" ht="15.75">
      <c r="A197" s="4"/>
      <c r="B197" s="4"/>
      <c r="C197" s="4"/>
      <c r="D197" s="4"/>
      <c r="E197" s="4"/>
      <c r="F197" s="5" t="s">
        <v>1346</v>
      </c>
      <c r="G197" s="5" t="s">
        <v>1261</v>
      </c>
      <c r="H197" s="8"/>
      <c r="I197" s="8"/>
      <c r="J197" s="10"/>
      <c r="K197" s="10"/>
      <c r="L197" s="10"/>
      <c r="M197" s="10"/>
      <c r="N197" s="10"/>
      <c r="O197" s="10">
        <f t="shared" si="1"/>
        <v>0</v>
      </c>
    </row>
    <row r="198" spans="1:15" ht="15.75">
      <c r="A198" s="2"/>
      <c r="B198" s="2"/>
      <c r="C198" s="2"/>
      <c r="D198" s="2"/>
      <c r="E198" s="2"/>
      <c r="F198" s="3" t="s">
        <v>1347</v>
      </c>
      <c r="G198" s="3" t="s">
        <v>1262</v>
      </c>
      <c r="H198" s="8"/>
      <c r="I198" s="8"/>
      <c r="J198" s="10"/>
      <c r="K198" s="10"/>
      <c r="L198" s="10"/>
      <c r="M198" s="10"/>
      <c r="N198" s="10"/>
      <c r="O198" s="10">
        <f t="shared" si="1"/>
        <v>0</v>
      </c>
    </row>
    <row r="199" spans="1:15" ht="15.75">
      <c r="A199" s="4"/>
      <c r="B199" s="4"/>
      <c r="C199" s="4"/>
      <c r="D199" s="4"/>
      <c r="E199" s="4"/>
      <c r="F199" s="5" t="s">
        <v>1348</v>
      </c>
      <c r="G199" s="5" t="s">
        <v>1263</v>
      </c>
      <c r="H199" s="8"/>
      <c r="I199" s="8"/>
      <c r="J199" s="10"/>
      <c r="K199" s="10"/>
      <c r="L199" s="10"/>
      <c r="M199" s="10"/>
      <c r="N199" s="10"/>
      <c r="O199" s="10">
        <f t="shared" si="1"/>
        <v>0</v>
      </c>
    </row>
    <row r="200" spans="1:15" ht="15.75">
      <c r="A200" s="2"/>
      <c r="B200" s="2"/>
      <c r="C200" s="2"/>
      <c r="D200" s="2"/>
      <c r="E200" s="2"/>
      <c r="F200" s="3" t="s">
        <v>1349</v>
      </c>
      <c r="G200" s="3" t="s">
        <v>1264</v>
      </c>
      <c r="H200" s="8"/>
      <c r="I200" s="8"/>
      <c r="J200" s="10"/>
      <c r="K200" s="10"/>
      <c r="L200" s="10"/>
      <c r="M200" s="10"/>
      <c r="N200" s="10"/>
      <c r="O200" s="10">
        <f t="shared" si="1"/>
        <v>0</v>
      </c>
    </row>
    <row r="201" spans="1:15" ht="15.75">
      <c r="A201" s="4"/>
      <c r="B201" s="4"/>
      <c r="C201" s="4"/>
      <c r="D201" s="4"/>
      <c r="E201" s="4"/>
      <c r="F201" s="5" t="s">
        <v>1350</v>
      </c>
      <c r="G201" s="5" t="s">
        <v>1265</v>
      </c>
      <c r="H201" s="8"/>
      <c r="I201" s="8"/>
      <c r="J201" s="10"/>
      <c r="K201" s="10"/>
      <c r="L201" s="10"/>
      <c r="M201" s="10"/>
      <c r="N201" s="10"/>
      <c r="O201" s="10">
        <f t="shared" si="1"/>
        <v>0</v>
      </c>
    </row>
    <row r="202" spans="1:15" ht="15.75">
      <c r="A202" s="2"/>
      <c r="B202" s="2"/>
      <c r="C202" s="2"/>
      <c r="D202" s="2"/>
      <c r="E202" s="2"/>
      <c r="F202" s="3" t="s">
        <v>1351</v>
      </c>
      <c r="G202" s="3" t="s">
        <v>1266</v>
      </c>
      <c r="H202" s="8"/>
      <c r="I202" s="8"/>
      <c r="J202" s="10"/>
      <c r="K202" s="10"/>
      <c r="L202" s="10"/>
      <c r="M202" s="10"/>
      <c r="N202" s="10"/>
      <c r="O202" s="10">
        <f t="shared" si="1"/>
        <v>0</v>
      </c>
    </row>
    <row r="203" spans="1:15" ht="15.75">
      <c r="A203" s="4"/>
      <c r="B203" s="4"/>
      <c r="C203" s="4"/>
      <c r="D203" s="4"/>
      <c r="E203" s="4"/>
      <c r="F203" s="5" t="s">
        <v>369</v>
      </c>
      <c r="G203" s="5" t="s">
        <v>370</v>
      </c>
      <c r="H203" s="1">
        <v>0</v>
      </c>
      <c r="I203" s="8"/>
      <c r="J203" s="10"/>
      <c r="K203" s="10"/>
      <c r="L203" s="10"/>
      <c r="M203" s="10"/>
      <c r="N203" s="10"/>
      <c r="O203" s="10">
        <f t="shared" si="1"/>
        <v>0</v>
      </c>
    </row>
    <row r="204" spans="1:15" ht="15.75">
      <c r="A204" s="2">
        <v>100</v>
      </c>
      <c r="B204" s="18"/>
      <c r="C204" s="2"/>
      <c r="D204" s="4"/>
      <c r="E204" s="22"/>
      <c r="F204" s="5" t="s">
        <v>1161</v>
      </c>
      <c r="G204" s="5" t="s">
        <v>365</v>
      </c>
      <c r="H204" s="1">
        <v>0</v>
      </c>
      <c r="I204" s="8"/>
      <c r="J204" s="10"/>
      <c r="K204" s="10"/>
      <c r="L204" s="10"/>
      <c r="M204" s="10"/>
      <c r="N204" s="10"/>
      <c r="O204" s="10">
        <v>0</v>
      </c>
    </row>
    <row r="205" spans="1:15" ht="15.75">
      <c r="A205" s="2">
        <v>100</v>
      </c>
      <c r="B205" s="18"/>
      <c r="C205" s="2"/>
      <c r="D205" s="2"/>
      <c r="E205" s="22"/>
      <c r="F205" s="3" t="s">
        <v>1162</v>
      </c>
      <c r="G205" s="3" t="s">
        <v>366</v>
      </c>
      <c r="H205" s="1">
        <v>0</v>
      </c>
      <c r="I205" s="8"/>
      <c r="J205" s="10"/>
      <c r="K205" s="10"/>
      <c r="L205" s="10"/>
      <c r="M205" s="10"/>
      <c r="N205" s="10"/>
      <c r="O205" s="10">
        <v>0</v>
      </c>
    </row>
    <row r="206" spans="1:15" ht="15.75">
      <c r="A206" s="2">
        <v>100</v>
      </c>
      <c r="B206" s="18"/>
      <c r="C206" s="2"/>
      <c r="D206" s="4"/>
      <c r="E206" s="22"/>
      <c r="F206" s="5" t="s">
        <v>1163</v>
      </c>
      <c r="G206" s="5" t="s">
        <v>385</v>
      </c>
      <c r="H206" s="1">
        <v>0</v>
      </c>
      <c r="I206" s="8"/>
      <c r="J206" s="10"/>
      <c r="K206" s="10"/>
      <c r="L206" s="10"/>
      <c r="M206" s="10"/>
      <c r="N206" s="10"/>
      <c r="O206" s="10">
        <v>0</v>
      </c>
    </row>
    <row r="207" spans="1:15" ht="15.75">
      <c r="A207" s="2">
        <v>500</v>
      </c>
      <c r="B207" s="17"/>
      <c r="C207" s="2"/>
      <c r="D207" s="2"/>
      <c r="E207" s="2"/>
      <c r="F207" s="3" t="s">
        <v>1156</v>
      </c>
      <c r="G207" s="3" t="s">
        <v>1167</v>
      </c>
      <c r="H207" s="1">
        <v>0</v>
      </c>
      <c r="I207" s="8"/>
      <c r="J207" s="10"/>
      <c r="K207" s="10"/>
      <c r="L207" s="10"/>
      <c r="M207" s="10"/>
      <c r="N207" s="10"/>
      <c r="O207" s="10">
        <v>0</v>
      </c>
    </row>
    <row r="208" spans="1:15" ht="15.75">
      <c r="A208" s="2">
        <v>600</v>
      </c>
      <c r="B208" s="18"/>
      <c r="C208" s="2"/>
      <c r="D208" s="4"/>
      <c r="E208" s="4"/>
      <c r="F208" s="5" t="s">
        <v>1158</v>
      </c>
      <c r="G208" s="5" t="s">
        <v>1177</v>
      </c>
      <c r="H208" s="1">
        <v>0</v>
      </c>
      <c r="I208" s="8">
        <v>0</v>
      </c>
      <c r="J208" s="10"/>
      <c r="K208" s="10"/>
      <c r="L208" s="10"/>
      <c r="M208" s="10"/>
      <c r="N208" s="10"/>
      <c r="O208" s="10">
        <v>0</v>
      </c>
    </row>
    <row r="209" spans="1:15" ht="15.75">
      <c r="A209" s="2">
        <v>700</v>
      </c>
      <c r="B209" s="18"/>
      <c r="C209" s="2"/>
      <c r="D209" s="2"/>
      <c r="E209" s="2"/>
      <c r="F209" s="3" t="s">
        <v>1164</v>
      </c>
      <c r="G209" s="3" t="s">
        <v>386</v>
      </c>
      <c r="H209" s="1">
        <v>0</v>
      </c>
      <c r="I209" s="8"/>
      <c r="J209" s="10"/>
      <c r="K209" s="10"/>
      <c r="L209" s="10"/>
      <c r="M209" s="10"/>
      <c r="N209" s="10"/>
      <c r="O209" s="10">
        <v>0</v>
      </c>
    </row>
    <row r="210" spans="1:15" ht="15.75">
      <c r="A210" s="2">
        <v>700</v>
      </c>
      <c r="B210" s="18"/>
      <c r="C210" s="2"/>
      <c r="D210" s="4"/>
      <c r="E210" s="4"/>
      <c r="F210" s="5" t="s">
        <v>1159</v>
      </c>
      <c r="G210" s="5" t="s">
        <v>1179</v>
      </c>
      <c r="H210" s="1">
        <v>0</v>
      </c>
      <c r="I210" s="1"/>
      <c r="J210" s="10"/>
      <c r="K210" s="10"/>
      <c r="L210" s="10"/>
      <c r="M210" s="10"/>
      <c r="N210" s="10"/>
      <c r="O210" s="10">
        <v>0</v>
      </c>
    </row>
    <row r="211" spans="1:15" ht="15.75">
      <c r="A211" s="2">
        <v>800</v>
      </c>
      <c r="B211" s="18"/>
      <c r="C211" s="2"/>
      <c r="D211" s="2"/>
      <c r="E211" s="2"/>
      <c r="F211" s="3" t="s">
        <v>1157</v>
      </c>
      <c r="G211" s="3" t="s">
        <v>335</v>
      </c>
      <c r="H211" s="1">
        <v>0</v>
      </c>
      <c r="I211" s="8" t="s">
        <v>1368</v>
      </c>
      <c r="J211" s="10"/>
      <c r="K211" s="10"/>
      <c r="L211" s="10"/>
      <c r="M211" s="10"/>
      <c r="N211" s="10"/>
      <c r="O211" s="10">
        <v>0</v>
      </c>
    </row>
    <row r="212" spans="1:15" ht="15.75">
      <c r="A212" s="2">
        <v>800</v>
      </c>
      <c r="B212" s="18"/>
      <c r="C212" s="2"/>
      <c r="D212" s="2"/>
      <c r="E212" s="2"/>
      <c r="F212" s="3" t="s">
        <v>1160</v>
      </c>
      <c r="G212" s="3" t="s">
        <v>1180</v>
      </c>
      <c r="H212" s="1">
        <v>0</v>
      </c>
      <c r="I212" s="8" t="s">
        <v>1368</v>
      </c>
      <c r="J212" s="10"/>
      <c r="K212" s="10"/>
      <c r="L212" s="10"/>
      <c r="M212" s="10"/>
      <c r="N212" s="10"/>
      <c r="O212" s="10">
        <v>0</v>
      </c>
    </row>
    <row r="213" spans="1:15" ht="15.75">
      <c r="A213" s="2">
        <v>900</v>
      </c>
      <c r="B213" s="18"/>
      <c r="C213" s="2"/>
      <c r="D213" s="2"/>
      <c r="E213" s="2"/>
      <c r="F213" s="3" t="s">
        <v>1165</v>
      </c>
      <c r="G213" s="3" t="s">
        <v>389</v>
      </c>
      <c r="H213" s="1">
        <v>0</v>
      </c>
      <c r="I213" s="8"/>
      <c r="J213" s="10"/>
      <c r="K213" s="10"/>
      <c r="L213" s="10"/>
      <c r="M213" s="10"/>
      <c r="N213" s="10"/>
      <c r="O213" s="10">
        <v>0</v>
      </c>
    </row>
    <row r="214" spans="1:15" ht="15.75">
      <c r="A214" s="4">
        <v>1100</v>
      </c>
      <c r="B214" s="20"/>
      <c r="C214" s="4"/>
      <c r="D214" s="4"/>
      <c r="E214" s="4"/>
      <c r="F214" s="5" t="s">
        <v>362</v>
      </c>
      <c r="G214" s="5" t="s">
        <v>1184</v>
      </c>
      <c r="H214" s="1">
        <v>0</v>
      </c>
      <c r="I214" s="8"/>
      <c r="J214" s="10"/>
      <c r="K214" s="10"/>
      <c r="L214" s="10"/>
      <c r="M214" s="10"/>
      <c r="N214" s="10"/>
      <c r="O214" s="10">
        <v>0</v>
      </c>
    </row>
    <row r="215" spans="1:15" ht="15.75">
      <c r="A215" s="4">
        <v>1200</v>
      </c>
      <c r="B215" s="19"/>
      <c r="C215" s="4"/>
      <c r="D215" s="4"/>
      <c r="E215" s="4"/>
      <c r="F215" s="5" t="s">
        <v>336</v>
      </c>
      <c r="G215" s="5" t="s">
        <v>1169</v>
      </c>
      <c r="H215" s="1">
        <v>0</v>
      </c>
      <c r="I215" s="8" t="s">
        <v>1367</v>
      </c>
      <c r="J215" s="10"/>
      <c r="K215" s="10"/>
      <c r="L215" s="10"/>
      <c r="M215" s="10"/>
      <c r="N215" s="10"/>
      <c r="O215" s="10">
        <v>0</v>
      </c>
    </row>
    <row r="216" spans="1:15" ht="15.75">
      <c r="A216" s="4">
        <v>1200</v>
      </c>
      <c r="B216" s="21"/>
      <c r="C216" s="4"/>
      <c r="D216" s="4"/>
      <c r="E216" s="4"/>
      <c r="F216" s="5" t="s">
        <v>341</v>
      </c>
      <c r="G216" s="5" t="s">
        <v>1172</v>
      </c>
      <c r="H216" s="1">
        <v>0</v>
      </c>
      <c r="I216" s="8" t="s">
        <v>1367</v>
      </c>
      <c r="J216" s="10"/>
      <c r="K216" s="10"/>
      <c r="L216" s="10"/>
      <c r="M216" s="10"/>
      <c r="N216" s="10"/>
      <c r="O216" s="10">
        <v>0</v>
      </c>
    </row>
    <row r="217" spans="1:15" ht="15.75">
      <c r="A217" s="4">
        <v>1200</v>
      </c>
      <c r="B217" s="21"/>
      <c r="C217" s="4"/>
      <c r="D217" s="2"/>
      <c r="E217" s="2"/>
      <c r="F217" s="3" t="s">
        <v>342</v>
      </c>
      <c r="G217" s="3" t="s">
        <v>1173</v>
      </c>
      <c r="H217" s="1">
        <v>0</v>
      </c>
      <c r="I217" s="8" t="s">
        <v>1367</v>
      </c>
      <c r="J217" s="10"/>
      <c r="K217" s="10"/>
      <c r="L217" s="10"/>
      <c r="M217" s="10"/>
      <c r="N217" s="10"/>
      <c r="O217" s="10">
        <v>0</v>
      </c>
    </row>
    <row r="218" spans="1:15" ht="15.75">
      <c r="A218" s="4">
        <v>1200</v>
      </c>
      <c r="B218" s="21"/>
      <c r="C218" s="4"/>
      <c r="D218" s="2"/>
      <c r="E218" s="2"/>
      <c r="F218" s="3" t="s">
        <v>344</v>
      </c>
      <c r="G218" s="3" t="s">
        <v>1175</v>
      </c>
      <c r="H218" s="1">
        <v>0</v>
      </c>
      <c r="I218" s="8" t="s">
        <v>1367</v>
      </c>
      <c r="J218" s="10"/>
      <c r="K218" s="10"/>
      <c r="L218" s="10"/>
      <c r="M218" s="10"/>
      <c r="N218" s="10"/>
      <c r="O218" s="10">
        <v>0</v>
      </c>
    </row>
    <row r="219" spans="1:15" ht="15.75">
      <c r="A219" s="4">
        <v>1200</v>
      </c>
      <c r="B219" s="20"/>
      <c r="C219" s="4"/>
      <c r="D219" s="4"/>
      <c r="E219" s="4"/>
      <c r="F219" s="5" t="s">
        <v>381</v>
      </c>
      <c r="G219" s="5" t="s">
        <v>382</v>
      </c>
      <c r="H219" s="1">
        <v>0</v>
      </c>
      <c r="I219" s="8" t="s">
        <v>1367</v>
      </c>
      <c r="J219" s="10"/>
      <c r="K219" s="10"/>
      <c r="L219" s="10"/>
      <c r="M219" s="10"/>
      <c r="N219" s="10"/>
      <c r="O219" s="10">
        <v>0</v>
      </c>
    </row>
    <row r="220" spans="1:15" ht="15.75">
      <c r="A220" s="4">
        <v>1300</v>
      </c>
      <c r="B220" s="19"/>
      <c r="C220" s="4"/>
      <c r="D220" s="4"/>
      <c r="E220" s="4"/>
      <c r="F220" s="5" t="s">
        <v>343</v>
      </c>
      <c r="G220" s="5" t="s">
        <v>1174</v>
      </c>
      <c r="H220" s="1">
        <v>0</v>
      </c>
      <c r="I220" s="8" t="s">
        <v>1367</v>
      </c>
      <c r="J220" s="10"/>
      <c r="K220" s="10"/>
      <c r="L220" s="10"/>
      <c r="M220" s="10"/>
      <c r="N220" s="10"/>
      <c r="O220" s="10">
        <v>0</v>
      </c>
    </row>
    <row r="221" spans="1:15" ht="15.75">
      <c r="A221" s="4">
        <v>1300</v>
      </c>
      <c r="B221" s="21"/>
      <c r="C221" s="4"/>
      <c r="D221" s="2"/>
      <c r="E221" s="2"/>
      <c r="F221" s="3" t="s">
        <v>393</v>
      </c>
      <c r="G221" s="3" t="s">
        <v>394</v>
      </c>
      <c r="H221" s="1">
        <v>0</v>
      </c>
      <c r="I221" s="8" t="s">
        <v>1367</v>
      </c>
      <c r="J221" s="10"/>
      <c r="K221" s="10"/>
      <c r="L221" s="10"/>
      <c r="M221" s="10"/>
      <c r="N221" s="10"/>
      <c r="O221" s="10">
        <v>0</v>
      </c>
    </row>
    <row r="222" spans="1:15" ht="15.75">
      <c r="A222" s="4">
        <v>1300</v>
      </c>
      <c r="B222" s="21"/>
      <c r="C222" s="4"/>
      <c r="D222" s="4"/>
      <c r="E222" s="4"/>
      <c r="F222" s="5" t="s">
        <v>395</v>
      </c>
      <c r="G222" s="5" t="s">
        <v>396</v>
      </c>
      <c r="H222" s="1">
        <v>0</v>
      </c>
      <c r="I222" s="8" t="s">
        <v>1367</v>
      </c>
      <c r="J222" s="10"/>
      <c r="K222" s="10"/>
      <c r="L222" s="10"/>
      <c r="M222" s="10"/>
      <c r="N222" s="10"/>
      <c r="O222" s="10">
        <v>0</v>
      </c>
    </row>
    <row r="223" spans="1:15" ht="15.75">
      <c r="A223" s="4"/>
      <c r="B223" s="4"/>
      <c r="C223" s="4"/>
      <c r="D223" s="4"/>
      <c r="E223" s="4"/>
      <c r="F223" s="5" t="s">
        <v>357</v>
      </c>
      <c r="G223" s="5" t="s">
        <v>358</v>
      </c>
      <c r="H223" s="1">
        <v>0</v>
      </c>
      <c r="I223" s="8"/>
      <c r="J223" s="10"/>
      <c r="K223" s="10"/>
      <c r="L223" s="10"/>
      <c r="M223" s="10"/>
      <c r="N223" s="10"/>
      <c r="O223" s="10">
        <v>0</v>
      </c>
    </row>
    <row r="224" spans="1:15" ht="15.75">
      <c r="A224" s="2"/>
      <c r="B224" s="2"/>
      <c r="C224" s="2"/>
      <c r="D224" s="2"/>
      <c r="E224" s="2"/>
      <c r="F224" s="3" t="s">
        <v>398</v>
      </c>
      <c r="G224" s="3" t="s">
        <v>390</v>
      </c>
      <c r="H224" s="1">
        <v>0</v>
      </c>
      <c r="I224" s="8"/>
      <c r="J224" s="10"/>
      <c r="K224" s="10"/>
      <c r="L224" s="10"/>
      <c r="M224" s="10"/>
      <c r="N224" s="10"/>
      <c r="O224" s="10">
        <v>0</v>
      </c>
    </row>
    <row r="225" spans="1:15" ht="15.75">
      <c r="A225" s="4"/>
      <c r="B225" s="4"/>
      <c r="C225" s="4"/>
      <c r="D225" s="4"/>
      <c r="E225" s="4"/>
      <c r="F225" s="5" t="s">
        <v>350</v>
      </c>
      <c r="G225" s="5" t="s">
        <v>351</v>
      </c>
      <c r="H225" s="1">
        <v>0</v>
      </c>
      <c r="I225" s="8"/>
      <c r="J225" s="10"/>
      <c r="K225" s="10"/>
      <c r="L225" s="10"/>
      <c r="M225" s="10"/>
      <c r="N225" s="10"/>
      <c r="O225" s="10">
        <v>0</v>
      </c>
    </row>
    <row r="226" spans="1:15" ht="15.75">
      <c r="A226" s="2"/>
      <c r="B226" s="2"/>
      <c r="C226" s="2"/>
      <c r="D226" s="2"/>
      <c r="E226" s="2"/>
      <c r="F226" s="3" t="s">
        <v>399</v>
      </c>
      <c r="G226" s="3" t="s">
        <v>391</v>
      </c>
      <c r="H226" s="1">
        <v>0</v>
      </c>
      <c r="I226" s="8"/>
      <c r="J226" s="10"/>
      <c r="K226" s="10"/>
      <c r="L226" s="10"/>
      <c r="M226" s="10"/>
      <c r="N226" s="10"/>
      <c r="O226" s="10">
        <v>0</v>
      </c>
    </row>
    <row r="227" spans="1:15" ht="15.75">
      <c r="A227" s="4"/>
      <c r="B227" s="4"/>
      <c r="C227" s="4"/>
      <c r="D227" s="4"/>
      <c r="E227" s="4"/>
      <c r="F227" s="5" t="s">
        <v>383</v>
      </c>
      <c r="G227" s="5" t="s">
        <v>392</v>
      </c>
      <c r="H227" s="1">
        <v>0</v>
      </c>
      <c r="I227" s="8"/>
      <c r="J227" s="10"/>
      <c r="K227" s="10"/>
      <c r="L227" s="10"/>
      <c r="M227" s="10"/>
      <c r="N227" s="10"/>
      <c r="O227" s="10">
        <v>0</v>
      </c>
    </row>
    <row r="228" spans="1:15" ht="15.75">
      <c r="A228" s="2"/>
      <c r="B228" s="2"/>
      <c r="C228" s="2"/>
      <c r="D228" s="2"/>
      <c r="E228" s="2"/>
      <c r="F228" s="3" t="s">
        <v>400</v>
      </c>
      <c r="G228" s="3" t="s">
        <v>384</v>
      </c>
      <c r="H228" s="1">
        <v>0</v>
      </c>
      <c r="I228" s="8"/>
      <c r="J228" s="10"/>
      <c r="K228" s="10"/>
      <c r="L228" s="10"/>
      <c r="M228" s="10"/>
      <c r="N228" s="10"/>
      <c r="O228" s="10">
        <v>0</v>
      </c>
    </row>
    <row r="229" spans="1:15" ht="15.75">
      <c r="A229" s="2">
        <v>500</v>
      </c>
      <c r="B229" s="2"/>
      <c r="C229" s="2"/>
      <c r="D229" s="4"/>
      <c r="E229" s="4"/>
      <c r="F229" s="5" t="s">
        <v>1046</v>
      </c>
      <c r="G229" s="5" t="s">
        <v>79</v>
      </c>
      <c r="H229" s="8" t="s">
        <v>1362</v>
      </c>
      <c r="I229" s="8" t="s">
        <v>1368</v>
      </c>
      <c r="J229" s="10"/>
      <c r="K229" s="10"/>
      <c r="L229" s="10"/>
      <c r="M229" s="10"/>
      <c r="N229" s="10"/>
      <c r="O229" s="10">
        <v>0</v>
      </c>
    </row>
    <row r="230" spans="1:15" ht="15.75">
      <c r="A230" s="2">
        <v>600</v>
      </c>
      <c r="B230" s="2"/>
      <c r="C230" s="2"/>
      <c r="D230" s="2"/>
      <c r="E230" s="2"/>
      <c r="F230" s="3" t="s">
        <v>1047</v>
      </c>
      <c r="G230" s="3" t="s">
        <v>79</v>
      </c>
      <c r="H230" s="1" t="s">
        <v>1362</v>
      </c>
      <c r="I230" s="8" t="s">
        <v>1368</v>
      </c>
      <c r="J230" s="10"/>
      <c r="K230" s="10"/>
      <c r="L230" s="10"/>
      <c r="M230" s="10"/>
      <c r="N230" s="10"/>
      <c r="O230" s="10">
        <v>0</v>
      </c>
    </row>
    <row r="231" spans="1:15" ht="15.75">
      <c r="A231" s="2">
        <v>600</v>
      </c>
      <c r="B231" s="2"/>
      <c r="C231" s="2"/>
      <c r="D231" s="4"/>
      <c r="E231" s="4"/>
      <c r="F231" s="5" t="s">
        <v>1048</v>
      </c>
      <c r="G231" s="5" t="s">
        <v>79</v>
      </c>
      <c r="H231" s="1" t="s">
        <v>1362</v>
      </c>
      <c r="I231" s="8" t="s">
        <v>1368</v>
      </c>
      <c r="J231" s="10"/>
      <c r="K231" s="10"/>
      <c r="L231" s="10"/>
      <c r="M231" s="10"/>
      <c r="N231" s="10"/>
      <c r="O231" s="10">
        <v>0</v>
      </c>
    </row>
    <row r="232" spans="1:15" ht="15.75">
      <c r="A232" s="2">
        <v>600</v>
      </c>
      <c r="B232" s="2"/>
      <c r="C232" s="2"/>
      <c r="D232" s="2"/>
      <c r="E232" s="2"/>
      <c r="F232" s="3" t="s">
        <v>1049</v>
      </c>
      <c r="G232" s="3" t="s">
        <v>79</v>
      </c>
      <c r="H232" s="1" t="s">
        <v>1362</v>
      </c>
      <c r="I232" s="8" t="s">
        <v>1368</v>
      </c>
      <c r="J232" s="10"/>
      <c r="K232" s="10"/>
      <c r="L232" s="10"/>
      <c r="M232" s="10"/>
      <c r="N232" s="10"/>
      <c r="O232" s="10">
        <v>0</v>
      </c>
    </row>
    <row r="233" spans="1:15" ht="15.75">
      <c r="A233" s="2">
        <v>600</v>
      </c>
      <c r="B233" s="2"/>
      <c r="C233" s="2"/>
      <c r="D233" s="4"/>
      <c r="E233" s="4"/>
      <c r="F233" s="5" t="s">
        <v>1050</v>
      </c>
      <c r="G233" s="5" t="s">
        <v>79</v>
      </c>
      <c r="H233" s="1" t="s">
        <v>1362</v>
      </c>
      <c r="I233" s="8" t="s">
        <v>1368</v>
      </c>
      <c r="J233" s="10"/>
      <c r="K233" s="10"/>
      <c r="L233" s="10"/>
      <c r="M233" s="10"/>
      <c r="N233" s="10"/>
      <c r="O233" s="10">
        <v>0</v>
      </c>
    </row>
    <row r="234" spans="1:15" ht="15.75">
      <c r="A234" s="2">
        <v>600</v>
      </c>
      <c r="B234" s="2"/>
      <c r="C234" s="2"/>
      <c r="D234" s="2"/>
      <c r="E234" s="2"/>
      <c r="F234" s="3" t="s">
        <v>1051</v>
      </c>
      <c r="G234" s="3" t="s">
        <v>79</v>
      </c>
      <c r="H234" s="1" t="s">
        <v>1362</v>
      </c>
      <c r="I234" s="8" t="s">
        <v>1368</v>
      </c>
      <c r="J234" s="10"/>
      <c r="K234" s="10"/>
      <c r="L234" s="10"/>
      <c r="M234" s="10"/>
      <c r="N234" s="10"/>
      <c r="O234" s="10">
        <v>0</v>
      </c>
    </row>
    <row r="235" spans="1:15" ht="15.75">
      <c r="A235" s="2">
        <v>600</v>
      </c>
      <c r="B235" s="2"/>
      <c r="C235" s="2"/>
      <c r="D235" s="4"/>
      <c r="E235" s="4"/>
      <c r="F235" s="5" t="s">
        <v>1052</v>
      </c>
      <c r="G235" s="5" t="s">
        <v>79</v>
      </c>
      <c r="H235" s="1" t="s">
        <v>1362</v>
      </c>
      <c r="I235" s="8" t="s">
        <v>1368</v>
      </c>
      <c r="J235" s="10"/>
      <c r="K235" s="10"/>
      <c r="L235" s="10"/>
      <c r="M235" s="10"/>
      <c r="N235" s="10"/>
      <c r="O235" s="10">
        <v>0</v>
      </c>
    </row>
    <row r="236" spans="1:15" ht="15.75">
      <c r="A236" s="2">
        <v>600</v>
      </c>
      <c r="B236" s="2"/>
      <c r="C236" s="2"/>
      <c r="D236" s="2"/>
      <c r="E236" s="2"/>
      <c r="F236" s="3" t="s">
        <v>1053</v>
      </c>
      <c r="G236" s="3" t="s">
        <v>79</v>
      </c>
      <c r="H236" s="1" t="s">
        <v>1362</v>
      </c>
      <c r="I236" s="8" t="s">
        <v>1368</v>
      </c>
      <c r="J236" s="10"/>
      <c r="K236" s="10"/>
      <c r="L236" s="10"/>
      <c r="M236" s="10"/>
      <c r="N236" s="10"/>
      <c r="O236" s="10">
        <v>0</v>
      </c>
    </row>
    <row r="237" spans="1:15" ht="15.75">
      <c r="A237" s="2">
        <v>600</v>
      </c>
      <c r="B237" s="2"/>
      <c r="C237" s="2"/>
      <c r="D237" s="4"/>
      <c r="E237" s="4"/>
      <c r="F237" s="5" t="s">
        <v>1054</v>
      </c>
      <c r="G237" s="5" t="s">
        <v>79</v>
      </c>
      <c r="H237" s="1" t="s">
        <v>1362</v>
      </c>
      <c r="I237" s="8" t="s">
        <v>1368</v>
      </c>
      <c r="J237" s="10"/>
      <c r="K237" s="10"/>
      <c r="L237" s="10"/>
      <c r="M237" s="10"/>
      <c r="N237" s="10"/>
      <c r="O237" s="10">
        <v>0</v>
      </c>
    </row>
    <row r="238" spans="1:15" ht="15.75">
      <c r="A238" s="2">
        <v>600</v>
      </c>
      <c r="B238" s="2"/>
      <c r="C238" s="2"/>
      <c r="D238" s="2"/>
      <c r="E238" s="2"/>
      <c r="F238" s="3" t="s">
        <v>1055</v>
      </c>
      <c r="G238" s="3" t="s">
        <v>79</v>
      </c>
      <c r="H238" s="1" t="s">
        <v>1362</v>
      </c>
      <c r="I238" s="8" t="s">
        <v>1368</v>
      </c>
      <c r="J238" s="10"/>
      <c r="K238" s="10"/>
      <c r="L238" s="10"/>
      <c r="M238" s="10"/>
      <c r="N238" s="10"/>
      <c r="O238" s="10">
        <v>0</v>
      </c>
    </row>
    <row r="239" spans="1:15" ht="15.75">
      <c r="A239" s="2">
        <v>700</v>
      </c>
      <c r="B239" s="2"/>
      <c r="C239" s="2"/>
      <c r="D239" s="4"/>
      <c r="E239" s="4"/>
      <c r="F239" s="5" t="s">
        <v>1056</v>
      </c>
      <c r="G239" s="5" t="s">
        <v>79</v>
      </c>
      <c r="H239" s="1" t="s">
        <v>1362</v>
      </c>
      <c r="I239" s="1" t="s">
        <v>1366</v>
      </c>
      <c r="J239" s="10"/>
      <c r="K239" s="10"/>
      <c r="L239" s="10"/>
      <c r="M239" s="10"/>
      <c r="N239" s="10"/>
      <c r="O239" s="10">
        <v>0</v>
      </c>
    </row>
    <row r="240" spans="1:15" ht="15.75">
      <c r="A240" s="2">
        <v>700</v>
      </c>
      <c r="B240" s="2"/>
      <c r="C240" s="2"/>
      <c r="D240" s="2"/>
      <c r="E240" s="2"/>
      <c r="F240" s="3" t="s">
        <v>1057</v>
      </c>
      <c r="G240" s="3" t="s">
        <v>79</v>
      </c>
      <c r="H240" s="1" t="s">
        <v>1362</v>
      </c>
      <c r="I240" s="1" t="s">
        <v>1366</v>
      </c>
      <c r="J240" s="10"/>
      <c r="K240" s="10"/>
      <c r="L240" s="10"/>
      <c r="M240" s="10"/>
      <c r="N240" s="10"/>
      <c r="O240" s="10">
        <v>0</v>
      </c>
    </row>
    <row r="241" spans="1:15" ht="15.75">
      <c r="A241" s="2">
        <v>500</v>
      </c>
      <c r="B241" s="2"/>
      <c r="C241" s="2"/>
      <c r="D241" s="4"/>
      <c r="E241" s="4"/>
      <c r="F241" s="5" t="s">
        <v>1059</v>
      </c>
      <c r="G241" s="5" t="s">
        <v>240</v>
      </c>
      <c r="H241" s="8" t="s">
        <v>1362</v>
      </c>
      <c r="I241" s="8" t="s">
        <v>1368</v>
      </c>
      <c r="J241" s="10"/>
      <c r="K241" s="10"/>
      <c r="L241" s="10"/>
      <c r="M241" s="10"/>
      <c r="N241" s="10"/>
      <c r="O241" s="10">
        <v>0</v>
      </c>
    </row>
    <row r="242" spans="1:15" ht="15.75">
      <c r="A242" s="2">
        <v>800</v>
      </c>
      <c r="B242" s="2"/>
      <c r="C242" s="2"/>
      <c r="D242" s="2"/>
      <c r="E242" s="2"/>
      <c r="F242" s="3" t="s">
        <v>1058</v>
      </c>
      <c r="G242" s="3" t="s">
        <v>241</v>
      </c>
      <c r="H242" s="1" t="s">
        <v>1361</v>
      </c>
      <c r="I242" s="8" t="s">
        <v>1368</v>
      </c>
      <c r="J242" s="10"/>
      <c r="K242" s="10"/>
      <c r="L242" s="10"/>
      <c r="M242" s="10"/>
      <c r="N242" s="10"/>
      <c r="O242" s="10">
        <v>0</v>
      </c>
    </row>
    <row r="243" spans="1:15" ht="15.75">
      <c r="A243" s="2">
        <v>800</v>
      </c>
      <c r="B243" s="2"/>
      <c r="C243" s="2"/>
      <c r="D243" s="2"/>
      <c r="E243" s="2"/>
      <c r="F243" s="3" t="s">
        <v>1060</v>
      </c>
      <c r="G243" s="3" t="s">
        <v>104</v>
      </c>
      <c r="H243" s="8" t="s">
        <v>1361</v>
      </c>
      <c r="I243" s="1" t="s">
        <v>1368</v>
      </c>
      <c r="J243" s="10"/>
      <c r="K243" s="10"/>
      <c r="L243" s="10"/>
      <c r="M243" s="10"/>
      <c r="N243" s="10"/>
      <c r="O243" s="10">
        <f t="shared" ref="O243:O306" si="2">SUMPRODUCT(J243:N243,$J$2:$N$2)</f>
        <v>0</v>
      </c>
    </row>
    <row r="244" spans="1:15" ht="15.75">
      <c r="A244" s="2"/>
      <c r="B244" s="2"/>
      <c r="C244" s="2"/>
      <c r="D244" s="2"/>
      <c r="E244" s="2"/>
      <c r="F244" s="3" t="s">
        <v>560</v>
      </c>
      <c r="G244" s="3" t="s">
        <v>412</v>
      </c>
      <c r="H244" s="8"/>
      <c r="I244" s="8"/>
      <c r="J244" s="10"/>
      <c r="K244" s="10"/>
      <c r="L244" s="10"/>
      <c r="M244" s="10"/>
      <c r="N244" s="10"/>
      <c r="O244" s="10">
        <f t="shared" si="2"/>
        <v>0</v>
      </c>
    </row>
    <row r="245" spans="1:15" ht="15.75">
      <c r="A245" s="4"/>
      <c r="B245" s="4"/>
      <c r="C245" s="4"/>
      <c r="D245" s="4"/>
      <c r="E245" s="4"/>
      <c r="F245" s="5" t="s">
        <v>561</v>
      </c>
      <c r="G245" s="5" t="s">
        <v>412</v>
      </c>
      <c r="H245" s="8"/>
      <c r="I245" s="8"/>
      <c r="J245" s="10"/>
      <c r="K245" s="10"/>
      <c r="L245" s="10"/>
      <c r="M245" s="10"/>
      <c r="N245" s="10"/>
      <c r="O245" s="10">
        <f t="shared" si="2"/>
        <v>0</v>
      </c>
    </row>
    <row r="246" spans="1:15" ht="15.75">
      <c r="A246" s="2"/>
      <c r="B246" s="2"/>
      <c r="C246" s="2"/>
      <c r="D246" s="2"/>
      <c r="E246" s="2"/>
      <c r="F246" s="3" t="s">
        <v>562</v>
      </c>
      <c r="G246" s="3" t="s">
        <v>412</v>
      </c>
      <c r="H246" s="8"/>
      <c r="I246" s="8"/>
      <c r="J246" s="10"/>
      <c r="K246" s="10"/>
      <c r="L246" s="10"/>
      <c r="M246" s="10"/>
      <c r="N246" s="10"/>
      <c r="O246" s="10">
        <f t="shared" si="2"/>
        <v>0</v>
      </c>
    </row>
    <row r="247" spans="1:15" ht="15.75">
      <c r="A247" s="4"/>
      <c r="B247" s="4"/>
      <c r="C247" s="4"/>
      <c r="D247" s="4"/>
      <c r="E247" s="4"/>
      <c r="F247" s="5" t="s">
        <v>563</v>
      </c>
      <c r="G247" s="5" t="s">
        <v>412</v>
      </c>
      <c r="H247" s="8"/>
      <c r="I247" s="8"/>
      <c r="J247" s="10"/>
      <c r="K247" s="10"/>
      <c r="L247" s="10"/>
      <c r="M247" s="10"/>
      <c r="N247" s="10"/>
      <c r="O247" s="10">
        <f t="shared" si="2"/>
        <v>0</v>
      </c>
    </row>
    <row r="248" spans="1:15" ht="15.75">
      <c r="A248" s="2"/>
      <c r="B248" s="2"/>
      <c r="C248" s="2"/>
      <c r="D248" s="2"/>
      <c r="E248" s="2"/>
      <c r="F248" s="3" t="s">
        <v>564</v>
      </c>
      <c r="G248" s="3" t="s">
        <v>412</v>
      </c>
      <c r="H248" s="8"/>
      <c r="I248" s="8"/>
      <c r="J248" s="10"/>
      <c r="K248" s="10"/>
      <c r="L248" s="10"/>
      <c r="M248" s="10"/>
      <c r="N248" s="10"/>
      <c r="O248" s="10">
        <f t="shared" si="2"/>
        <v>0</v>
      </c>
    </row>
    <row r="249" spans="1:15" ht="15.75">
      <c r="A249" s="4"/>
      <c r="B249" s="4"/>
      <c r="C249" s="4"/>
      <c r="D249" s="4"/>
      <c r="E249" s="4"/>
      <c r="F249" s="5" t="s">
        <v>565</v>
      </c>
      <c r="G249" s="5" t="s">
        <v>412</v>
      </c>
      <c r="H249" s="8"/>
      <c r="I249" s="8"/>
      <c r="J249" s="10"/>
      <c r="K249" s="10"/>
      <c r="L249" s="10"/>
      <c r="M249" s="10"/>
      <c r="N249" s="10"/>
      <c r="O249" s="10">
        <f t="shared" si="2"/>
        <v>0</v>
      </c>
    </row>
    <row r="250" spans="1:15" ht="15.75">
      <c r="A250" s="2"/>
      <c r="B250" s="2"/>
      <c r="C250" s="2"/>
      <c r="D250" s="2"/>
      <c r="E250" s="2"/>
      <c r="F250" s="3" t="s">
        <v>592</v>
      </c>
      <c r="G250" s="3" t="s">
        <v>402</v>
      </c>
      <c r="H250" s="8"/>
      <c r="I250" s="8"/>
      <c r="J250" s="10"/>
      <c r="K250" s="10"/>
      <c r="L250" s="10"/>
      <c r="M250" s="10"/>
      <c r="N250" s="10"/>
      <c r="O250" s="10">
        <f t="shared" si="2"/>
        <v>0</v>
      </c>
    </row>
    <row r="251" spans="1:15" ht="15.75">
      <c r="A251" s="4"/>
      <c r="B251" s="4"/>
      <c r="C251" s="4"/>
      <c r="D251" s="4"/>
      <c r="E251" s="4"/>
      <c r="F251" s="5" t="s">
        <v>601</v>
      </c>
      <c r="G251" s="5" t="s">
        <v>402</v>
      </c>
      <c r="H251" s="8"/>
      <c r="I251" s="8"/>
      <c r="J251" s="10"/>
      <c r="K251" s="10"/>
      <c r="L251" s="10"/>
      <c r="M251" s="10"/>
      <c r="N251" s="10"/>
      <c r="O251" s="10">
        <f t="shared" si="2"/>
        <v>0</v>
      </c>
    </row>
    <row r="252" spans="1:15" ht="15.75">
      <c r="A252" s="2"/>
      <c r="B252" s="2"/>
      <c r="C252" s="2"/>
      <c r="D252" s="2"/>
      <c r="E252" s="2"/>
      <c r="F252" s="3" t="s">
        <v>602</v>
      </c>
      <c r="G252" s="3" t="s">
        <v>402</v>
      </c>
      <c r="H252" s="8"/>
      <c r="I252" s="8"/>
      <c r="J252" s="10"/>
      <c r="K252" s="10"/>
      <c r="L252" s="10"/>
      <c r="M252" s="10"/>
      <c r="N252" s="10"/>
      <c r="O252" s="10">
        <f t="shared" si="2"/>
        <v>0</v>
      </c>
    </row>
    <row r="253" spans="1:15" ht="15.75">
      <c r="A253" s="4"/>
      <c r="B253" s="4"/>
      <c r="C253" s="4"/>
      <c r="D253" s="4"/>
      <c r="E253" s="4"/>
      <c r="F253" s="5" t="s">
        <v>603</v>
      </c>
      <c r="G253" s="5" t="s">
        <v>402</v>
      </c>
      <c r="H253" s="8"/>
      <c r="I253" s="8"/>
      <c r="J253" s="10"/>
      <c r="K253" s="10"/>
      <c r="L253" s="10"/>
      <c r="M253" s="10"/>
      <c r="N253" s="10"/>
      <c r="O253" s="10">
        <f t="shared" si="2"/>
        <v>0</v>
      </c>
    </row>
    <row r="254" spans="1:15" ht="15.75">
      <c r="A254" s="2"/>
      <c r="B254" s="2"/>
      <c r="C254" s="2"/>
      <c r="D254" s="2"/>
      <c r="E254" s="2"/>
      <c r="F254" s="3" t="s">
        <v>604</v>
      </c>
      <c r="G254" s="3" t="s">
        <v>402</v>
      </c>
      <c r="H254" s="8"/>
      <c r="I254" s="8"/>
      <c r="J254" s="10"/>
      <c r="K254" s="10"/>
      <c r="L254" s="10"/>
      <c r="M254" s="10"/>
      <c r="N254" s="10"/>
      <c r="O254" s="10">
        <f t="shared" si="2"/>
        <v>0</v>
      </c>
    </row>
    <row r="255" spans="1:15" ht="15.75">
      <c r="A255" s="4"/>
      <c r="B255" s="4"/>
      <c r="C255" s="4"/>
      <c r="D255" s="4"/>
      <c r="E255" s="4"/>
      <c r="F255" s="5" t="s">
        <v>605</v>
      </c>
      <c r="G255" s="5" t="s">
        <v>402</v>
      </c>
      <c r="H255" s="8"/>
      <c r="I255" s="8"/>
      <c r="J255" s="10"/>
      <c r="K255" s="10"/>
      <c r="L255" s="10"/>
      <c r="M255" s="10"/>
      <c r="N255" s="10"/>
      <c r="O255" s="10">
        <f t="shared" si="2"/>
        <v>0</v>
      </c>
    </row>
    <row r="256" spans="1:15" ht="15.75">
      <c r="A256" s="2"/>
      <c r="B256" s="2"/>
      <c r="C256" s="2"/>
      <c r="D256" s="2"/>
      <c r="E256" s="2"/>
      <c r="F256" s="3" t="s">
        <v>606</v>
      </c>
      <c r="G256" s="3" t="s">
        <v>402</v>
      </c>
      <c r="H256" s="8"/>
      <c r="I256" s="8"/>
      <c r="J256" s="10"/>
      <c r="K256" s="10"/>
      <c r="L256" s="10"/>
      <c r="M256" s="10"/>
      <c r="N256" s="10"/>
      <c r="O256" s="10">
        <f t="shared" si="2"/>
        <v>0</v>
      </c>
    </row>
    <row r="257" spans="1:15" ht="15.75">
      <c r="A257" s="4"/>
      <c r="B257" s="4"/>
      <c r="C257" s="4"/>
      <c r="D257" s="4"/>
      <c r="E257" s="4"/>
      <c r="F257" s="5" t="s">
        <v>607</v>
      </c>
      <c r="G257" s="5" t="s">
        <v>402</v>
      </c>
      <c r="H257" s="8"/>
      <c r="I257" s="8"/>
      <c r="J257" s="10"/>
      <c r="K257" s="10"/>
      <c r="L257" s="10"/>
      <c r="M257" s="10"/>
      <c r="N257" s="10"/>
      <c r="O257" s="10">
        <f t="shared" si="2"/>
        <v>0</v>
      </c>
    </row>
    <row r="258" spans="1:15" ht="15.75">
      <c r="A258" s="2"/>
      <c r="B258" s="2"/>
      <c r="C258" s="2"/>
      <c r="D258" s="2"/>
      <c r="E258" s="2"/>
      <c r="F258" s="3" t="s">
        <v>608</v>
      </c>
      <c r="G258" s="3" t="s">
        <v>402</v>
      </c>
      <c r="H258" s="8"/>
      <c r="I258" s="8"/>
      <c r="J258" s="10"/>
      <c r="K258" s="10"/>
      <c r="L258" s="10"/>
      <c r="M258" s="10"/>
      <c r="N258" s="10"/>
      <c r="O258" s="10">
        <f t="shared" si="2"/>
        <v>0</v>
      </c>
    </row>
    <row r="259" spans="1:15" ht="15.75">
      <c r="A259" s="4"/>
      <c r="B259" s="4"/>
      <c r="C259" s="4"/>
      <c r="D259" s="4"/>
      <c r="E259" s="4"/>
      <c r="F259" s="5" t="s">
        <v>609</v>
      </c>
      <c r="G259" s="5" t="s">
        <v>402</v>
      </c>
      <c r="H259" s="8"/>
      <c r="I259" s="8"/>
      <c r="J259" s="10"/>
      <c r="K259" s="10"/>
      <c r="L259" s="10"/>
      <c r="M259" s="10"/>
      <c r="N259" s="10"/>
      <c r="O259" s="10">
        <f t="shared" si="2"/>
        <v>0</v>
      </c>
    </row>
    <row r="260" spans="1:15" ht="15.75">
      <c r="A260" s="2"/>
      <c r="B260" s="2"/>
      <c r="C260" s="2"/>
      <c r="D260" s="2"/>
      <c r="E260" s="2"/>
      <c r="F260" s="3" t="s">
        <v>610</v>
      </c>
      <c r="G260" s="3" t="s">
        <v>402</v>
      </c>
      <c r="H260" s="8"/>
      <c r="I260" s="8"/>
      <c r="J260" s="10"/>
      <c r="K260" s="10"/>
      <c r="L260" s="10"/>
      <c r="M260" s="10"/>
      <c r="N260" s="10"/>
      <c r="O260" s="10">
        <f t="shared" si="2"/>
        <v>0</v>
      </c>
    </row>
    <row r="261" spans="1:15" ht="15.75">
      <c r="A261" s="4"/>
      <c r="B261" s="4"/>
      <c r="C261" s="4"/>
      <c r="D261" s="4"/>
      <c r="E261" s="4"/>
      <c r="F261" s="5" t="s">
        <v>593</v>
      </c>
      <c r="G261" s="5" t="s">
        <v>402</v>
      </c>
      <c r="H261" s="8"/>
      <c r="I261" s="8"/>
      <c r="J261" s="10"/>
      <c r="K261" s="10"/>
      <c r="L261" s="10"/>
      <c r="M261" s="10"/>
      <c r="N261" s="10"/>
      <c r="O261" s="10">
        <f t="shared" si="2"/>
        <v>0</v>
      </c>
    </row>
    <row r="262" spans="1:15" ht="15.75">
      <c r="A262" s="4"/>
      <c r="B262" s="4"/>
      <c r="C262" s="4"/>
      <c r="D262" s="4"/>
      <c r="E262" s="4"/>
      <c r="F262" s="5" t="s">
        <v>611</v>
      </c>
      <c r="G262" s="5" t="s">
        <v>402</v>
      </c>
      <c r="H262" s="8"/>
      <c r="I262" s="8"/>
      <c r="J262" s="10"/>
      <c r="K262" s="10"/>
      <c r="L262" s="10"/>
      <c r="M262" s="10"/>
      <c r="N262" s="10"/>
      <c r="O262" s="10">
        <f t="shared" si="2"/>
        <v>0</v>
      </c>
    </row>
    <row r="263" spans="1:15" ht="15.75">
      <c r="A263" s="2"/>
      <c r="B263" s="2"/>
      <c r="C263" s="2"/>
      <c r="D263" s="2"/>
      <c r="E263" s="2"/>
      <c r="F263" s="3" t="s">
        <v>612</v>
      </c>
      <c r="G263" s="3" t="s">
        <v>402</v>
      </c>
      <c r="H263" s="8"/>
      <c r="I263" s="8"/>
      <c r="J263" s="10"/>
      <c r="K263" s="10"/>
      <c r="L263" s="10"/>
      <c r="M263" s="10"/>
      <c r="N263" s="10"/>
      <c r="O263" s="10">
        <f t="shared" si="2"/>
        <v>0</v>
      </c>
    </row>
    <row r="264" spans="1:15" ht="15.75">
      <c r="A264" s="4"/>
      <c r="B264" s="4"/>
      <c r="C264" s="4"/>
      <c r="D264" s="4"/>
      <c r="E264" s="4"/>
      <c r="F264" s="5" t="s">
        <v>613</v>
      </c>
      <c r="G264" s="5" t="s">
        <v>402</v>
      </c>
      <c r="H264" s="8"/>
      <c r="I264" s="8"/>
      <c r="J264" s="10"/>
      <c r="K264" s="10"/>
      <c r="L264" s="10"/>
      <c r="M264" s="10"/>
      <c r="N264" s="10"/>
      <c r="O264" s="10">
        <f t="shared" si="2"/>
        <v>0</v>
      </c>
    </row>
    <row r="265" spans="1:15" ht="15.75">
      <c r="A265" s="2"/>
      <c r="B265" s="2"/>
      <c r="C265" s="2"/>
      <c r="D265" s="2"/>
      <c r="E265" s="2"/>
      <c r="F265" s="3" t="s">
        <v>614</v>
      </c>
      <c r="G265" s="3" t="s">
        <v>402</v>
      </c>
      <c r="H265" s="8"/>
      <c r="I265" s="8"/>
      <c r="J265" s="10"/>
      <c r="K265" s="10"/>
      <c r="L265" s="10"/>
      <c r="M265" s="10"/>
      <c r="N265" s="10"/>
      <c r="O265" s="10">
        <f t="shared" si="2"/>
        <v>0</v>
      </c>
    </row>
    <row r="266" spans="1:15" ht="15.75">
      <c r="A266" s="4"/>
      <c r="B266" s="4"/>
      <c r="C266" s="4"/>
      <c r="D266" s="4"/>
      <c r="E266" s="4"/>
      <c r="F266" s="5" t="s">
        <v>615</v>
      </c>
      <c r="G266" s="5" t="s">
        <v>402</v>
      </c>
      <c r="H266" s="8"/>
      <c r="I266" s="8"/>
      <c r="J266" s="10"/>
      <c r="K266" s="10"/>
      <c r="L266" s="10"/>
      <c r="M266" s="10"/>
      <c r="N266" s="10"/>
      <c r="O266" s="10">
        <f t="shared" si="2"/>
        <v>0</v>
      </c>
    </row>
    <row r="267" spans="1:15" ht="15.75">
      <c r="A267" s="2"/>
      <c r="B267" s="2"/>
      <c r="C267" s="2"/>
      <c r="D267" s="2"/>
      <c r="E267" s="2"/>
      <c r="F267" s="3" t="s">
        <v>616</v>
      </c>
      <c r="G267" s="3" t="s">
        <v>402</v>
      </c>
      <c r="H267" s="8"/>
      <c r="I267" s="8"/>
      <c r="J267" s="10"/>
      <c r="K267" s="10"/>
      <c r="L267" s="10"/>
      <c r="M267" s="10"/>
      <c r="N267" s="10"/>
      <c r="O267" s="10">
        <f t="shared" si="2"/>
        <v>0</v>
      </c>
    </row>
    <row r="268" spans="1:15" ht="15.75">
      <c r="A268" s="4"/>
      <c r="B268" s="4"/>
      <c r="C268" s="4"/>
      <c r="D268" s="4"/>
      <c r="E268" s="4"/>
      <c r="F268" s="5" t="s">
        <v>617</v>
      </c>
      <c r="G268" s="5" t="s">
        <v>402</v>
      </c>
      <c r="H268" s="8"/>
      <c r="I268" s="8"/>
      <c r="J268" s="10"/>
      <c r="K268" s="10"/>
      <c r="L268" s="10"/>
      <c r="M268" s="10"/>
      <c r="N268" s="10"/>
      <c r="O268" s="10">
        <f t="shared" si="2"/>
        <v>0</v>
      </c>
    </row>
    <row r="269" spans="1:15" ht="15.75">
      <c r="A269" s="2"/>
      <c r="B269" s="2"/>
      <c r="C269" s="2"/>
      <c r="D269" s="2"/>
      <c r="E269" s="2"/>
      <c r="F269" s="3" t="s">
        <v>594</v>
      </c>
      <c r="G269" s="3" t="s">
        <v>402</v>
      </c>
      <c r="H269" s="8"/>
      <c r="I269" s="8"/>
      <c r="J269" s="10"/>
      <c r="K269" s="10"/>
      <c r="L269" s="10"/>
      <c r="M269" s="10"/>
      <c r="N269" s="10"/>
      <c r="O269" s="10">
        <f t="shared" si="2"/>
        <v>0</v>
      </c>
    </row>
    <row r="270" spans="1:15" ht="15.75">
      <c r="A270" s="4"/>
      <c r="B270" s="4"/>
      <c r="C270" s="4"/>
      <c r="D270" s="4"/>
      <c r="E270" s="4"/>
      <c r="F270" s="5" t="s">
        <v>595</v>
      </c>
      <c r="G270" s="5" t="s">
        <v>402</v>
      </c>
      <c r="H270" s="8"/>
      <c r="I270" s="8"/>
      <c r="J270" s="10"/>
      <c r="K270" s="10"/>
      <c r="L270" s="10"/>
      <c r="M270" s="10"/>
      <c r="N270" s="10"/>
      <c r="O270" s="10">
        <f t="shared" si="2"/>
        <v>0</v>
      </c>
    </row>
    <row r="271" spans="1:15" ht="15.75">
      <c r="A271" s="2"/>
      <c r="B271" s="2"/>
      <c r="C271" s="2"/>
      <c r="D271" s="2"/>
      <c r="E271" s="2"/>
      <c r="F271" s="3" t="s">
        <v>596</v>
      </c>
      <c r="G271" s="3" t="s">
        <v>402</v>
      </c>
      <c r="H271" s="8"/>
      <c r="I271" s="8"/>
      <c r="J271" s="10"/>
      <c r="K271" s="10"/>
      <c r="L271" s="10"/>
      <c r="M271" s="10"/>
      <c r="N271" s="10"/>
      <c r="O271" s="10">
        <f t="shared" si="2"/>
        <v>0</v>
      </c>
    </row>
    <row r="272" spans="1:15" ht="15.75">
      <c r="A272" s="4"/>
      <c r="B272" s="4"/>
      <c r="C272" s="4"/>
      <c r="D272" s="4"/>
      <c r="E272" s="4"/>
      <c r="F272" s="5" t="s">
        <v>597</v>
      </c>
      <c r="G272" s="5" t="s">
        <v>402</v>
      </c>
      <c r="H272" s="8"/>
      <c r="I272" s="8"/>
      <c r="J272" s="10"/>
      <c r="K272" s="10"/>
      <c r="L272" s="10"/>
      <c r="M272" s="10"/>
      <c r="N272" s="10"/>
      <c r="O272" s="10">
        <f t="shared" si="2"/>
        <v>0</v>
      </c>
    </row>
    <row r="273" spans="1:15" ht="15.75">
      <c r="A273" s="2"/>
      <c r="B273" s="2"/>
      <c r="C273" s="2"/>
      <c r="D273" s="2"/>
      <c r="E273" s="2"/>
      <c r="F273" s="3" t="s">
        <v>598</v>
      </c>
      <c r="G273" s="3" t="s">
        <v>402</v>
      </c>
      <c r="H273" s="8"/>
      <c r="I273" s="8"/>
      <c r="J273" s="10"/>
      <c r="K273" s="10"/>
      <c r="L273" s="10"/>
      <c r="M273" s="10"/>
      <c r="N273" s="10"/>
      <c r="O273" s="10">
        <f t="shared" si="2"/>
        <v>0</v>
      </c>
    </row>
    <row r="274" spans="1:15" ht="15.75">
      <c r="A274" s="4"/>
      <c r="B274" s="4"/>
      <c r="C274" s="4"/>
      <c r="D274" s="4"/>
      <c r="E274" s="4"/>
      <c r="F274" s="5" t="s">
        <v>599</v>
      </c>
      <c r="G274" s="5" t="s">
        <v>402</v>
      </c>
      <c r="H274" s="8"/>
      <c r="I274" s="8"/>
      <c r="J274" s="10"/>
      <c r="K274" s="10"/>
      <c r="L274" s="10"/>
      <c r="M274" s="10"/>
      <c r="N274" s="10"/>
      <c r="O274" s="10">
        <f t="shared" si="2"/>
        <v>0</v>
      </c>
    </row>
    <row r="275" spans="1:15" ht="15.75">
      <c r="A275" s="2"/>
      <c r="B275" s="2"/>
      <c r="C275" s="2"/>
      <c r="D275" s="2"/>
      <c r="E275" s="2"/>
      <c r="F275" s="3" t="s">
        <v>600</v>
      </c>
      <c r="G275" s="3" t="s">
        <v>402</v>
      </c>
      <c r="H275" s="8"/>
      <c r="I275" s="8"/>
      <c r="J275" s="10"/>
      <c r="K275" s="10"/>
      <c r="L275" s="10"/>
      <c r="M275" s="10"/>
      <c r="N275" s="10"/>
      <c r="O275" s="10">
        <f t="shared" si="2"/>
        <v>0</v>
      </c>
    </row>
    <row r="276" spans="1:15" ht="15.75">
      <c r="A276" s="4"/>
      <c r="B276" s="4"/>
      <c r="C276" s="4"/>
      <c r="D276" s="4"/>
      <c r="E276" s="4"/>
      <c r="F276" s="5" t="s">
        <v>403</v>
      </c>
      <c r="G276" s="5" t="s">
        <v>404</v>
      </c>
      <c r="H276" s="8"/>
      <c r="I276" s="8"/>
      <c r="J276" s="10"/>
      <c r="K276" s="10"/>
      <c r="L276" s="10"/>
      <c r="M276" s="10"/>
      <c r="N276" s="10"/>
      <c r="O276" s="10">
        <f t="shared" si="2"/>
        <v>0</v>
      </c>
    </row>
    <row r="277" spans="1:15" ht="15.75">
      <c r="A277" s="2"/>
      <c r="B277" s="2"/>
      <c r="C277" s="2"/>
      <c r="D277" s="2"/>
      <c r="E277" s="2"/>
      <c r="F277" s="3" t="s">
        <v>405</v>
      </c>
      <c r="G277" s="3" t="s">
        <v>406</v>
      </c>
      <c r="H277" s="8"/>
      <c r="I277" s="8"/>
      <c r="J277" s="10"/>
      <c r="K277" s="10"/>
      <c r="L277" s="10"/>
      <c r="M277" s="10"/>
      <c r="N277" s="10"/>
      <c r="O277" s="10">
        <f t="shared" si="2"/>
        <v>0</v>
      </c>
    </row>
    <row r="278" spans="1:15" ht="15.75">
      <c r="A278" s="4"/>
      <c r="B278" s="4"/>
      <c r="C278" s="4"/>
      <c r="D278" s="4"/>
      <c r="E278" s="4"/>
      <c r="F278" s="5" t="s">
        <v>407</v>
      </c>
      <c r="G278" s="5" t="s">
        <v>406</v>
      </c>
      <c r="H278" s="8"/>
      <c r="I278" s="8"/>
      <c r="J278" s="10"/>
      <c r="K278" s="10"/>
      <c r="L278" s="10"/>
      <c r="M278" s="10"/>
      <c r="N278" s="10"/>
      <c r="O278" s="10">
        <f t="shared" si="2"/>
        <v>0</v>
      </c>
    </row>
    <row r="279" spans="1:15" ht="15.75">
      <c r="A279" s="2"/>
      <c r="B279" s="2"/>
      <c r="C279" s="2"/>
      <c r="D279" s="2"/>
      <c r="E279" s="2"/>
      <c r="F279" s="3" t="s">
        <v>408</v>
      </c>
      <c r="G279" s="3" t="s">
        <v>406</v>
      </c>
      <c r="H279" s="8"/>
      <c r="I279" s="8"/>
      <c r="J279" s="10"/>
      <c r="K279" s="10"/>
      <c r="L279" s="10"/>
      <c r="M279" s="10"/>
      <c r="N279" s="10"/>
      <c r="O279" s="10">
        <f t="shared" si="2"/>
        <v>0</v>
      </c>
    </row>
    <row r="280" spans="1:15" ht="15.75">
      <c r="A280" s="4"/>
      <c r="B280" s="4"/>
      <c r="C280" s="4"/>
      <c r="D280" s="4"/>
      <c r="E280" s="4"/>
      <c r="F280" s="5" t="s">
        <v>417</v>
      </c>
      <c r="G280" s="5" t="s">
        <v>418</v>
      </c>
      <c r="H280" s="8"/>
      <c r="I280" s="8"/>
      <c r="J280" s="10"/>
      <c r="K280" s="10"/>
      <c r="L280" s="10"/>
      <c r="M280" s="10"/>
      <c r="N280" s="10"/>
      <c r="O280" s="10">
        <f t="shared" si="2"/>
        <v>0</v>
      </c>
    </row>
    <row r="281" spans="1:15" ht="15.75">
      <c r="A281" s="2"/>
      <c r="B281" s="2"/>
      <c r="C281" s="2"/>
      <c r="D281" s="2"/>
      <c r="E281" s="2"/>
      <c r="F281" s="3" t="s">
        <v>419</v>
      </c>
      <c r="G281" s="3" t="s">
        <v>418</v>
      </c>
      <c r="H281" s="8"/>
      <c r="I281" s="8"/>
      <c r="J281" s="10"/>
      <c r="K281" s="10"/>
      <c r="L281" s="10"/>
      <c r="M281" s="10"/>
      <c r="N281" s="10"/>
      <c r="O281" s="10">
        <f t="shared" si="2"/>
        <v>0</v>
      </c>
    </row>
    <row r="282" spans="1:15" ht="15.75">
      <c r="A282" s="4"/>
      <c r="B282" s="4"/>
      <c r="C282" s="4"/>
      <c r="D282" s="4"/>
      <c r="E282" s="4"/>
      <c r="F282" s="5" t="s">
        <v>420</v>
      </c>
      <c r="G282" s="5" t="s">
        <v>418</v>
      </c>
      <c r="H282" s="8"/>
      <c r="I282" s="8"/>
      <c r="J282" s="10"/>
      <c r="K282" s="10"/>
      <c r="L282" s="10"/>
      <c r="M282" s="10"/>
      <c r="N282" s="10"/>
      <c r="O282" s="10">
        <f t="shared" si="2"/>
        <v>0</v>
      </c>
    </row>
    <row r="283" spans="1:15" ht="15.75">
      <c r="A283" s="2"/>
      <c r="B283" s="2"/>
      <c r="C283" s="2"/>
      <c r="D283" s="2"/>
      <c r="E283" s="2"/>
      <c r="F283" s="3" t="s">
        <v>421</v>
      </c>
      <c r="G283" s="3" t="s">
        <v>418</v>
      </c>
      <c r="H283" s="8"/>
      <c r="I283" s="8"/>
      <c r="J283" s="10"/>
      <c r="K283" s="10"/>
      <c r="L283" s="10"/>
      <c r="M283" s="10"/>
      <c r="N283" s="10"/>
      <c r="O283" s="10">
        <f t="shared" si="2"/>
        <v>0</v>
      </c>
    </row>
    <row r="284" spans="1:15" ht="15.75">
      <c r="A284" s="4"/>
      <c r="B284" s="4"/>
      <c r="C284" s="4"/>
      <c r="D284" s="4"/>
      <c r="E284" s="4"/>
      <c r="F284" s="5" t="s">
        <v>422</v>
      </c>
      <c r="G284" s="5" t="s">
        <v>418</v>
      </c>
      <c r="H284" s="8"/>
      <c r="I284" s="8"/>
      <c r="J284" s="10"/>
      <c r="K284" s="10"/>
      <c r="L284" s="10"/>
      <c r="M284" s="10"/>
      <c r="N284" s="10"/>
      <c r="O284" s="10">
        <f t="shared" si="2"/>
        <v>0</v>
      </c>
    </row>
    <row r="285" spans="1:15" ht="15.75">
      <c r="A285" s="2"/>
      <c r="B285" s="2"/>
      <c r="C285" s="2"/>
      <c r="D285" s="2"/>
      <c r="E285" s="2"/>
      <c r="F285" s="3" t="s">
        <v>423</v>
      </c>
      <c r="G285" s="3" t="s">
        <v>418</v>
      </c>
      <c r="H285" s="8"/>
      <c r="I285" s="8"/>
      <c r="J285" s="10"/>
      <c r="K285" s="10"/>
      <c r="L285" s="10"/>
      <c r="M285" s="10"/>
      <c r="N285" s="10"/>
      <c r="O285" s="10">
        <f t="shared" si="2"/>
        <v>0</v>
      </c>
    </row>
    <row r="286" spans="1:15" ht="15.75">
      <c r="A286" s="2"/>
      <c r="B286" s="2"/>
      <c r="C286" s="2"/>
      <c r="D286" s="2"/>
      <c r="E286" s="2"/>
      <c r="F286" s="3" t="s">
        <v>401</v>
      </c>
      <c r="G286" s="3" t="s">
        <v>402</v>
      </c>
      <c r="H286" s="8"/>
      <c r="I286" s="8"/>
      <c r="J286" s="10"/>
      <c r="K286" s="10"/>
      <c r="L286" s="10"/>
      <c r="M286" s="10"/>
      <c r="N286" s="10"/>
      <c r="O286" s="10">
        <f t="shared" si="2"/>
        <v>0</v>
      </c>
    </row>
    <row r="287" spans="1:15" ht="15.75">
      <c r="A287" s="4"/>
      <c r="B287" s="4"/>
      <c r="C287" s="4"/>
      <c r="D287" s="4"/>
      <c r="E287" s="4"/>
      <c r="F287" s="5" t="s">
        <v>413</v>
      </c>
      <c r="G287" s="5" t="s">
        <v>414</v>
      </c>
      <c r="H287" s="8"/>
      <c r="I287" s="8"/>
      <c r="J287" s="10"/>
      <c r="K287" s="10"/>
      <c r="L287" s="10"/>
      <c r="M287" s="10"/>
      <c r="N287" s="10"/>
      <c r="O287" s="10">
        <f t="shared" si="2"/>
        <v>0</v>
      </c>
    </row>
    <row r="288" spans="1:15" ht="15.75">
      <c r="A288" s="4"/>
      <c r="B288" s="4"/>
      <c r="C288" s="4"/>
      <c r="D288" s="4"/>
      <c r="E288" s="4"/>
      <c r="F288" s="5" t="s">
        <v>409</v>
      </c>
      <c r="G288" s="5" t="s">
        <v>410</v>
      </c>
      <c r="H288" s="8"/>
      <c r="I288" s="8"/>
      <c r="J288" s="10"/>
      <c r="K288" s="10"/>
      <c r="L288" s="10"/>
      <c r="M288" s="10"/>
      <c r="N288" s="10"/>
      <c r="O288" s="10">
        <f t="shared" si="2"/>
        <v>0</v>
      </c>
    </row>
    <row r="289" spans="1:15" ht="15.75">
      <c r="A289" s="2"/>
      <c r="B289" s="2"/>
      <c r="C289" s="2"/>
      <c r="D289" s="2"/>
      <c r="E289" s="2"/>
      <c r="F289" s="3" t="s">
        <v>415</v>
      </c>
      <c r="G289" s="3" t="s">
        <v>416</v>
      </c>
      <c r="H289" s="8"/>
      <c r="I289" s="8"/>
      <c r="J289" s="10"/>
      <c r="K289" s="10"/>
      <c r="L289" s="10"/>
      <c r="M289" s="10"/>
      <c r="N289" s="10"/>
      <c r="O289" s="10">
        <f t="shared" si="2"/>
        <v>0</v>
      </c>
    </row>
    <row r="290" spans="1:15" ht="15.75">
      <c r="A290" s="2"/>
      <c r="B290" s="2"/>
      <c r="C290" s="2"/>
      <c r="D290" s="2"/>
      <c r="E290" s="2"/>
      <c r="F290" s="3" t="s">
        <v>411</v>
      </c>
      <c r="G290" s="3" t="s">
        <v>412</v>
      </c>
      <c r="H290" s="8"/>
      <c r="I290" s="8"/>
      <c r="J290" s="10"/>
      <c r="K290" s="10"/>
      <c r="L290" s="10"/>
      <c r="M290" s="10"/>
      <c r="N290" s="10"/>
      <c r="O290" s="10">
        <f t="shared" si="2"/>
        <v>0</v>
      </c>
    </row>
    <row r="291" spans="1:15" ht="15.75">
      <c r="A291" s="2"/>
      <c r="B291" s="2"/>
      <c r="C291" s="2"/>
      <c r="D291" s="2"/>
      <c r="E291" s="2"/>
      <c r="F291" s="3" t="s">
        <v>547</v>
      </c>
      <c r="G291" s="3" t="s">
        <v>437</v>
      </c>
      <c r="H291" s="8"/>
      <c r="I291" s="8"/>
      <c r="J291" s="10"/>
      <c r="K291" s="10"/>
      <c r="L291" s="10"/>
      <c r="M291" s="10"/>
      <c r="N291" s="10"/>
      <c r="O291" s="10">
        <f t="shared" si="2"/>
        <v>0</v>
      </c>
    </row>
    <row r="292" spans="1:15" ht="15.75">
      <c r="A292" s="2"/>
      <c r="B292" s="2"/>
      <c r="C292" s="2"/>
      <c r="D292" s="2"/>
      <c r="E292" s="2"/>
      <c r="F292" s="3" t="s">
        <v>537</v>
      </c>
      <c r="G292" s="3" t="s">
        <v>437</v>
      </c>
      <c r="H292" s="8"/>
      <c r="I292" s="8"/>
      <c r="J292" s="10"/>
      <c r="K292" s="10"/>
      <c r="L292" s="10"/>
      <c r="M292" s="10"/>
      <c r="N292" s="10"/>
      <c r="O292" s="10">
        <f t="shared" si="2"/>
        <v>0</v>
      </c>
    </row>
    <row r="293" spans="1:15" ht="15.75">
      <c r="A293" s="4"/>
      <c r="B293" s="4"/>
      <c r="C293" s="4"/>
      <c r="D293" s="4"/>
      <c r="E293" s="4"/>
      <c r="F293" s="5" t="s">
        <v>538</v>
      </c>
      <c r="G293" s="5" t="s">
        <v>437</v>
      </c>
      <c r="H293" s="8"/>
      <c r="I293" s="8"/>
      <c r="J293" s="10"/>
      <c r="K293" s="10"/>
      <c r="L293" s="10"/>
      <c r="M293" s="10"/>
      <c r="N293" s="10"/>
      <c r="O293" s="10">
        <f t="shared" si="2"/>
        <v>0</v>
      </c>
    </row>
    <row r="294" spans="1:15" ht="15.75">
      <c r="A294" s="2"/>
      <c r="B294" s="2"/>
      <c r="C294" s="2"/>
      <c r="D294" s="2"/>
      <c r="E294" s="2"/>
      <c r="F294" s="3" t="s">
        <v>539</v>
      </c>
      <c r="G294" s="3" t="s">
        <v>437</v>
      </c>
      <c r="H294" s="8"/>
      <c r="I294" s="8"/>
      <c r="J294" s="10"/>
      <c r="K294" s="10"/>
      <c r="L294" s="10"/>
      <c r="M294" s="10"/>
      <c r="N294" s="10"/>
      <c r="O294" s="10">
        <f t="shared" si="2"/>
        <v>0</v>
      </c>
    </row>
    <row r="295" spans="1:15" ht="15.75">
      <c r="A295" s="4"/>
      <c r="B295" s="4"/>
      <c r="C295" s="4"/>
      <c r="D295" s="4"/>
      <c r="E295" s="4"/>
      <c r="F295" s="5" t="s">
        <v>540</v>
      </c>
      <c r="G295" s="5" t="s">
        <v>437</v>
      </c>
      <c r="H295" s="8"/>
      <c r="I295" s="8"/>
      <c r="J295" s="10"/>
      <c r="K295" s="10"/>
      <c r="L295" s="10"/>
      <c r="M295" s="10"/>
      <c r="N295" s="10"/>
      <c r="O295" s="10">
        <f t="shared" si="2"/>
        <v>0</v>
      </c>
    </row>
    <row r="296" spans="1:15" ht="15.75">
      <c r="A296" s="2"/>
      <c r="B296" s="2"/>
      <c r="C296" s="2"/>
      <c r="D296" s="2"/>
      <c r="E296" s="2"/>
      <c r="F296" s="3" t="s">
        <v>541</v>
      </c>
      <c r="G296" s="3" t="s">
        <v>437</v>
      </c>
      <c r="H296" s="8"/>
      <c r="I296" s="8"/>
      <c r="J296" s="10"/>
      <c r="K296" s="10"/>
      <c r="L296" s="10"/>
      <c r="M296" s="10"/>
      <c r="N296" s="10"/>
      <c r="O296" s="10">
        <f t="shared" si="2"/>
        <v>0</v>
      </c>
    </row>
    <row r="297" spans="1:15" ht="15.75">
      <c r="A297" s="4"/>
      <c r="B297" s="4"/>
      <c r="C297" s="4"/>
      <c r="D297" s="4"/>
      <c r="E297" s="4"/>
      <c r="F297" s="5" t="s">
        <v>542</v>
      </c>
      <c r="G297" s="5" t="s">
        <v>437</v>
      </c>
      <c r="H297" s="8"/>
      <c r="I297" s="8"/>
      <c r="J297" s="10"/>
      <c r="K297" s="10"/>
      <c r="L297" s="10"/>
      <c r="M297" s="10"/>
      <c r="N297" s="10"/>
      <c r="O297" s="10">
        <f t="shared" si="2"/>
        <v>0</v>
      </c>
    </row>
    <row r="298" spans="1:15" ht="15.75">
      <c r="A298" s="2"/>
      <c r="B298" s="2"/>
      <c r="C298" s="2"/>
      <c r="D298" s="2"/>
      <c r="E298" s="2"/>
      <c r="F298" s="3" t="s">
        <v>543</v>
      </c>
      <c r="G298" s="3" t="s">
        <v>437</v>
      </c>
      <c r="H298" s="8"/>
      <c r="I298" s="8"/>
      <c r="J298" s="10"/>
      <c r="K298" s="10"/>
      <c r="L298" s="10"/>
      <c r="M298" s="10"/>
      <c r="N298" s="10"/>
      <c r="O298" s="10">
        <f t="shared" si="2"/>
        <v>0</v>
      </c>
    </row>
    <row r="299" spans="1:15" ht="15.75">
      <c r="A299" s="4"/>
      <c r="B299" s="4"/>
      <c r="C299" s="4"/>
      <c r="D299" s="4"/>
      <c r="E299" s="4"/>
      <c r="F299" s="5" t="s">
        <v>544</v>
      </c>
      <c r="G299" s="5" t="s">
        <v>437</v>
      </c>
      <c r="H299" s="8"/>
      <c r="I299" s="8"/>
      <c r="J299" s="10"/>
      <c r="K299" s="10"/>
      <c r="L299" s="10"/>
      <c r="M299" s="10"/>
      <c r="N299" s="10"/>
      <c r="O299" s="10">
        <f t="shared" si="2"/>
        <v>0</v>
      </c>
    </row>
    <row r="300" spans="1:15" ht="15.75">
      <c r="A300" s="2"/>
      <c r="B300" s="2"/>
      <c r="C300" s="2"/>
      <c r="D300" s="2"/>
      <c r="E300" s="2"/>
      <c r="F300" s="3" t="s">
        <v>545</v>
      </c>
      <c r="G300" s="3" t="s">
        <v>437</v>
      </c>
      <c r="H300" s="8"/>
      <c r="I300" s="8"/>
      <c r="J300" s="10"/>
      <c r="K300" s="10"/>
      <c r="L300" s="10"/>
      <c r="M300" s="10"/>
      <c r="N300" s="10"/>
      <c r="O300" s="10">
        <f t="shared" si="2"/>
        <v>0</v>
      </c>
    </row>
    <row r="301" spans="1:15" ht="15.75">
      <c r="A301" s="4"/>
      <c r="B301" s="4"/>
      <c r="C301" s="4"/>
      <c r="D301" s="4"/>
      <c r="E301" s="4"/>
      <c r="F301" s="5" t="s">
        <v>546</v>
      </c>
      <c r="G301" s="5" t="s">
        <v>437</v>
      </c>
      <c r="H301" s="8"/>
      <c r="I301" s="8"/>
      <c r="J301" s="10"/>
      <c r="K301" s="10"/>
      <c r="L301" s="10"/>
      <c r="M301" s="10"/>
      <c r="N301" s="10"/>
      <c r="O301" s="10">
        <f t="shared" si="2"/>
        <v>0</v>
      </c>
    </row>
    <row r="302" spans="1:15" ht="15.75">
      <c r="A302" s="4"/>
      <c r="B302" s="4"/>
      <c r="C302" s="4"/>
      <c r="D302" s="4"/>
      <c r="E302" s="4"/>
      <c r="F302" s="5" t="s">
        <v>550</v>
      </c>
      <c r="G302" s="5" t="s">
        <v>437</v>
      </c>
      <c r="H302" s="8"/>
      <c r="I302" s="8"/>
      <c r="J302" s="10"/>
      <c r="K302" s="10"/>
      <c r="L302" s="10"/>
      <c r="M302" s="10"/>
      <c r="N302" s="10"/>
      <c r="O302" s="10">
        <f t="shared" si="2"/>
        <v>0</v>
      </c>
    </row>
    <row r="303" spans="1:15" ht="15.75">
      <c r="A303" s="2"/>
      <c r="B303" s="2"/>
      <c r="C303" s="2"/>
      <c r="D303" s="2"/>
      <c r="E303" s="2"/>
      <c r="F303" s="3" t="s">
        <v>551</v>
      </c>
      <c r="G303" s="3" t="s">
        <v>437</v>
      </c>
      <c r="H303" s="8"/>
      <c r="I303" s="8"/>
      <c r="J303" s="10"/>
      <c r="K303" s="10"/>
      <c r="L303" s="10"/>
      <c r="M303" s="10"/>
      <c r="N303" s="10"/>
      <c r="O303" s="10">
        <f t="shared" si="2"/>
        <v>0</v>
      </c>
    </row>
    <row r="304" spans="1:15" ht="15.75">
      <c r="A304" s="4"/>
      <c r="B304" s="4"/>
      <c r="C304" s="4"/>
      <c r="D304" s="4"/>
      <c r="E304" s="4"/>
      <c r="F304" s="5" t="s">
        <v>552</v>
      </c>
      <c r="G304" s="5" t="s">
        <v>437</v>
      </c>
      <c r="H304" s="8"/>
      <c r="I304" s="8"/>
      <c r="J304" s="10"/>
      <c r="K304" s="10"/>
      <c r="L304" s="10"/>
      <c r="M304" s="10"/>
      <c r="N304" s="10"/>
      <c r="O304" s="10">
        <f t="shared" si="2"/>
        <v>0</v>
      </c>
    </row>
    <row r="305" spans="1:15" ht="15.75">
      <c r="A305" s="2"/>
      <c r="B305" s="2"/>
      <c r="C305" s="2"/>
      <c r="D305" s="2"/>
      <c r="E305" s="2"/>
      <c r="F305" s="3" t="s">
        <v>553</v>
      </c>
      <c r="G305" s="3" t="s">
        <v>437</v>
      </c>
      <c r="H305" s="8"/>
      <c r="I305" s="8"/>
      <c r="J305" s="10"/>
      <c r="K305" s="10"/>
      <c r="L305" s="10"/>
      <c r="M305" s="10"/>
      <c r="N305" s="10"/>
      <c r="O305" s="10">
        <f t="shared" si="2"/>
        <v>0</v>
      </c>
    </row>
    <row r="306" spans="1:15" ht="15.75">
      <c r="A306" s="4"/>
      <c r="B306" s="4"/>
      <c r="C306" s="4"/>
      <c r="D306" s="4"/>
      <c r="E306" s="4"/>
      <c r="F306" s="5" t="s">
        <v>548</v>
      </c>
      <c r="G306" s="5" t="s">
        <v>437</v>
      </c>
      <c r="H306" s="8"/>
      <c r="I306" s="8"/>
      <c r="J306" s="10"/>
      <c r="K306" s="10"/>
      <c r="L306" s="10"/>
      <c r="M306" s="10"/>
      <c r="N306" s="10"/>
      <c r="O306" s="10">
        <f t="shared" si="2"/>
        <v>0</v>
      </c>
    </row>
    <row r="307" spans="1:15" ht="15.75">
      <c r="A307" s="4"/>
      <c r="B307" s="4"/>
      <c r="C307" s="4"/>
      <c r="D307" s="4"/>
      <c r="E307" s="4"/>
      <c r="F307" s="5" t="s">
        <v>585</v>
      </c>
      <c r="G307" s="5" t="s">
        <v>586</v>
      </c>
      <c r="H307" s="8"/>
      <c r="I307" s="8"/>
      <c r="J307" s="10"/>
      <c r="K307" s="10"/>
      <c r="L307" s="10"/>
      <c r="M307" s="10"/>
      <c r="N307" s="10"/>
      <c r="O307" s="10">
        <f t="shared" ref="O307:O370" si="3">SUMPRODUCT(J307:N307,$J$2:$N$2)</f>
        <v>0</v>
      </c>
    </row>
    <row r="308" spans="1:15" ht="15.75">
      <c r="A308" s="2"/>
      <c r="B308" s="2"/>
      <c r="C308" s="2"/>
      <c r="D308" s="2"/>
      <c r="E308" s="2"/>
      <c r="F308" s="3" t="s">
        <v>587</v>
      </c>
      <c r="G308" s="3" t="s">
        <v>586</v>
      </c>
      <c r="H308" s="8"/>
      <c r="I308" s="8"/>
      <c r="J308" s="10"/>
      <c r="K308" s="10"/>
      <c r="L308" s="10"/>
      <c r="M308" s="10"/>
      <c r="N308" s="10"/>
      <c r="O308" s="10">
        <f t="shared" si="3"/>
        <v>0</v>
      </c>
    </row>
    <row r="309" spans="1:15" ht="15.75">
      <c r="A309" s="4"/>
      <c r="B309" s="4"/>
      <c r="C309" s="4"/>
      <c r="D309" s="4"/>
      <c r="E309" s="4"/>
      <c r="F309" s="5" t="s">
        <v>588</v>
      </c>
      <c r="G309" s="5" t="s">
        <v>586</v>
      </c>
      <c r="H309" s="8"/>
      <c r="I309" s="8"/>
      <c r="J309" s="10"/>
      <c r="K309" s="10"/>
      <c r="L309" s="10"/>
      <c r="M309" s="10"/>
      <c r="N309" s="10"/>
      <c r="O309" s="10">
        <f t="shared" si="3"/>
        <v>0</v>
      </c>
    </row>
    <row r="310" spans="1:15" ht="15.75">
      <c r="A310" s="2"/>
      <c r="B310" s="2"/>
      <c r="C310" s="2"/>
      <c r="D310" s="2"/>
      <c r="E310" s="2"/>
      <c r="F310" s="3" t="s">
        <v>589</v>
      </c>
      <c r="G310" s="3" t="s">
        <v>586</v>
      </c>
      <c r="H310" s="8"/>
      <c r="I310" s="8"/>
      <c r="J310" s="10"/>
      <c r="K310" s="10"/>
      <c r="L310" s="10"/>
      <c r="M310" s="10"/>
      <c r="N310" s="10"/>
      <c r="O310" s="10">
        <f t="shared" si="3"/>
        <v>0</v>
      </c>
    </row>
    <row r="311" spans="1:15" ht="15.75">
      <c r="A311" s="4"/>
      <c r="B311" s="4"/>
      <c r="C311" s="4"/>
      <c r="D311" s="4"/>
      <c r="E311" s="4"/>
      <c r="F311" s="5" t="s">
        <v>502</v>
      </c>
      <c r="G311" s="5" t="s">
        <v>404</v>
      </c>
      <c r="H311" s="8"/>
      <c r="I311" s="8"/>
      <c r="J311" s="10"/>
      <c r="K311" s="10"/>
      <c r="L311" s="10"/>
      <c r="M311" s="10"/>
      <c r="N311" s="10"/>
      <c r="O311" s="10">
        <f t="shared" si="3"/>
        <v>0</v>
      </c>
    </row>
    <row r="312" spans="1:15" ht="15.75">
      <c r="A312" s="2"/>
      <c r="B312" s="2"/>
      <c r="C312" s="2"/>
      <c r="D312" s="2"/>
      <c r="E312" s="2"/>
      <c r="F312" s="3" t="s">
        <v>503</v>
      </c>
      <c r="G312" s="3" t="s">
        <v>404</v>
      </c>
      <c r="H312" s="8"/>
      <c r="I312" s="8"/>
      <c r="J312" s="10"/>
      <c r="K312" s="10"/>
      <c r="L312" s="10"/>
      <c r="M312" s="10"/>
      <c r="N312" s="10"/>
      <c r="O312" s="10">
        <f t="shared" si="3"/>
        <v>0</v>
      </c>
    </row>
    <row r="313" spans="1:15" ht="15.75">
      <c r="A313" s="4"/>
      <c r="B313" s="4"/>
      <c r="C313" s="4"/>
      <c r="D313" s="4"/>
      <c r="E313" s="4"/>
      <c r="F313" s="5" t="s">
        <v>504</v>
      </c>
      <c r="G313" s="5" t="s">
        <v>404</v>
      </c>
      <c r="H313" s="8"/>
      <c r="I313" s="8"/>
      <c r="J313" s="10"/>
      <c r="K313" s="10"/>
      <c r="L313" s="10"/>
      <c r="M313" s="10"/>
      <c r="N313" s="10"/>
      <c r="O313" s="10">
        <f t="shared" si="3"/>
        <v>0</v>
      </c>
    </row>
    <row r="314" spans="1:15" ht="15.75">
      <c r="A314" s="2"/>
      <c r="B314" s="2"/>
      <c r="C314" s="2"/>
      <c r="D314" s="2"/>
      <c r="E314" s="2"/>
      <c r="F314" s="3" t="s">
        <v>505</v>
      </c>
      <c r="G314" s="3" t="s">
        <v>404</v>
      </c>
      <c r="H314" s="8"/>
      <c r="I314" s="8"/>
      <c r="J314" s="10"/>
      <c r="K314" s="10"/>
      <c r="L314" s="10"/>
      <c r="M314" s="10"/>
      <c r="N314" s="10"/>
      <c r="O314" s="10">
        <f t="shared" si="3"/>
        <v>0</v>
      </c>
    </row>
    <row r="315" spans="1:15" ht="15.75">
      <c r="A315" s="4"/>
      <c r="B315" s="4"/>
      <c r="C315" s="4"/>
      <c r="D315" s="4"/>
      <c r="E315" s="4"/>
      <c r="F315" s="5" t="s">
        <v>506</v>
      </c>
      <c r="G315" s="5" t="s">
        <v>404</v>
      </c>
      <c r="H315" s="8"/>
      <c r="I315" s="8"/>
      <c r="J315" s="10"/>
      <c r="K315" s="10"/>
      <c r="L315" s="10"/>
      <c r="M315" s="10"/>
      <c r="N315" s="10"/>
      <c r="O315" s="10">
        <f t="shared" si="3"/>
        <v>0</v>
      </c>
    </row>
    <row r="316" spans="1:15" ht="15.75">
      <c r="A316" s="2"/>
      <c r="B316" s="2"/>
      <c r="C316" s="2"/>
      <c r="D316" s="2"/>
      <c r="E316" s="2"/>
      <c r="F316" s="3" t="s">
        <v>507</v>
      </c>
      <c r="G316" s="3" t="s">
        <v>404</v>
      </c>
      <c r="H316" s="8"/>
      <c r="I316" s="8"/>
      <c r="J316" s="10"/>
      <c r="K316" s="10"/>
      <c r="L316" s="10"/>
      <c r="M316" s="10"/>
      <c r="N316" s="10"/>
      <c r="O316" s="10">
        <f t="shared" si="3"/>
        <v>0</v>
      </c>
    </row>
    <row r="317" spans="1:15" ht="15.75">
      <c r="A317" s="4"/>
      <c r="B317" s="4"/>
      <c r="C317" s="4"/>
      <c r="D317" s="4"/>
      <c r="E317" s="4"/>
      <c r="F317" s="5" t="s">
        <v>508</v>
      </c>
      <c r="G317" s="5" t="s">
        <v>404</v>
      </c>
      <c r="H317" s="8"/>
      <c r="I317" s="8"/>
      <c r="J317" s="10"/>
      <c r="K317" s="10"/>
      <c r="L317" s="10"/>
      <c r="M317" s="10"/>
      <c r="N317" s="10"/>
      <c r="O317" s="10">
        <f t="shared" si="3"/>
        <v>0</v>
      </c>
    </row>
    <row r="318" spans="1:15" ht="15.75">
      <c r="A318" s="2"/>
      <c r="B318" s="2"/>
      <c r="C318" s="2"/>
      <c r="D318" s="2"/>
      <c r="E318" s="2"/>
      <c r="F318" s="3" t="s">
        <v>480</v>
      </c>
      <c r="G318" s="3" t="s">
        <v>406</v>
      </c>
      <c r="H318" s="8"/>
      <c r="I318" s="8"/>
      <c r="J318" s="10"/>
      <c r="K318" s="10"/>
      <c r="L318" s="10"/>
      <c r="M318" s="10"/>
      <c r="N318" s="10"/>
      <c r="O318" s="10">
        <f t="shared" si="3"/>
        <v>0</v>
      </c>
    </row>
    <row r="319" spans="1:15" ht="15.75">
      <c r="A319" s="4"/>
      <c r="B319" s="4"/>
      <c r="C319" s="4"/>
      <c r="D319" s="4"/>
      <c r="E319" s="4"/>
      <c r="F319" s="5" t="s">
        <v>481</v>
      </c>
      <c r="G319" s="5" t="s">
        <v>406</v>
      </c>
      <c r="H319" s="8"/>
      <c r="I319" s="8"/>
      <c r="J319" s="10"/>
      <c r="K319" s="10"/>
      <c r="L319" s="10"/>
      <c r="M319" s="10"/>
      <c r="N319" s="10"/>
      <c r="O319" s="10">
        <f t="shared" si="3"/>
        <v>0</v>
      </c>
    </row>
    <row r="320" spans="1:15" ht="15.75">
      <c r="A320" s="2"/>
      <c r="B320" s="2"/>
      <c r="C320" s="2"/>
      <c r="D320" s="2"/>
      <c r="E320" s="2"/>
      <c r="F320" s="3" t="s">
        <v>482</v>
      </c>
      <c r="G320" s="3" t="s">
        <v>406</v>
      </c>
      <c r="H320" s="8"/>
      <c r="I320" s="8"/>
      <c r="J320" s="10"/>
      <c r="K320" s="10"/>
      <c r="L320" s="10"/>
      <c r="M320" s="10"/>
      <c r="N320" s="10"/>
      <c r="O320" s="10">
        <f t="shared" si="3"/>
        <v>0</v>
      </c>
    </row>
    <row r="321" spans="1:15" ht="15.75">
      <c r="A321" s="4"/>
      <c r="B321" s="4"/>
      <c r="C321" s="4"/>
      <c r="D321" s="4"/>
      <c r="E321" s="4"/>
      <c r="F321" s="5" t="s">
        <v>483</v>
      </c>
      <c r="G321" s="5" t="s">
        <v>406</v>
      </c>
      <c r="H321" s="8"/>
      <c r="I321" s="8"/>
      <c r="J321" s="10"/>
      <c r="K321" s="10"/>
      <c r="L321" s="10"/>
      <c r="M321" s="10"/>
      <c r="N321" s="10"/>
      <c r="O321" s="10">
        <f t="shared" si="3"/>
        <v>0</v>
      </c>
    </row>
    <row r="322" spans="1:15" ht="15.75">
      <c r="A322" s="2"/>
      <c r="B322" s="2"/>
      <c r="C322" s="2"/>
      <c r="D322" s="2"/>
      <c r="E322" s="2"/>
      <c r="F322" s="3" t="s">
        <v>484</v>
      </c>
      <c r="G322" s="3" t="s">
        <v>406</v>
      </c>
      <c r="H322" s="8"/>
      <c r="I322" s="8"/>
      <c r="J322" s="10"/>
      <c r="K322" s="10"/>
      <c r="L322" s="10"/>
      <c r="M322" s="10"/>
      <c r="N322" s="10"/>
      <c r="O322" s="10">
        <f t="shared" si="3"/>
        <v>0</v>
      </c>
    </row>
    <row r="323" spans="1:15" ht="15.75">
      <c r="A323" s="2"/>
      <c r="B323" s="2"/>
      <c r="C323" s="2"/>
      <c r="D323" s="2"/>
      <c r="E323" s="2"/>
      <c r="F323" s="3" t="s">
        <v>446</v>
      </c>
      <c r="G323" s="3" t="s">
        <v>418</v>
      </c>
      <c r="H323" s="8"/>
      <c r="I323" s="8"/>
      <c r="J323" s="10"/>
      <c r="K323" s="10"/>
      <c r="L323" s="10"/>
      <c r="M323" s="10"/>
      <c r="N323" s="10"/>
      <c r="O323" s="10">
        <f t="shared" si="3"/>
        <v>0</v>
      </c>
    </row>
    <row r="324" spans="1:15" ht="15.75">
      <c r="A324" s="4"/>
      <c r="B324" s="4"/>
      <c r="C324" s="4"/>
      <c r="D324" s="4"/>
      <c r="E324" s="4"/>
      <c r="F324" s="5" t="s">
        <v>447</v>
      </c>
      <c r="G324" s="5" t="s">
        <v>418</v>
      </c>
      <c r="H324" s="8"/>
      <c r="I324" s="8"/>
      <c r="J324" s="10"/>
      <c r="K324" s="10"/>
      <c r="L324" s="10"/>
      <c r="M324" s="10"/>
      <c r="N324" s="10"/>
      <c r="O324" s="10">
        <f t="shared" si="3"/>
        <v>0</v>
      </c>
    </row>
    <row r="325" spans="1:15" ht="15.75">
      <c r="A325" s="2"/>
      <c r="B325" s="2"/>
      <c r="C325" s="2"/>
      <c r="D325" s="2"/>
      <c r="E325" s="2"/>
      <c r="F325" s="3" t="s">
        <v>448</v>
      </c>
      <c r="G325" s="3" t="s">
        <v>418</v>
      </c>
      <c r="H325" s="8"/>
      <c r="I325" s="8"/>
      <c r="J325" s="10"/>
      <c r="K325" s="10"/>
      <c r="L325" s="10"/>
      <c r="M325" s="10"/>
      <c r="N325" s="10"/>
      <c r="O325" s="10">
        <f t="shared" si="3"/>
        <v>0</v>
      </c>
    </row>
    <row r="326" spans="1:15" ht="15.75">
      <c r="A326" s="4"/>
      <c r="B326" s="4"/>
      <c r="C326" s="4"/>
      <c r="D326" s="4"/>
      <c r="E326" s="4"/>
      <c r="F326" s="5" t="s">
        <v>449</v>
      </c>
      <c r="G326" s="5" t="s">
        <v>418</v>
      </c>
      <c r="H326" s="8"/>
      <c r="I326" s="8"/>
      <c r="J326" s="10"/>
      <c r="K326" s="10"/>
      <c r="L326" s="10"/>
      <c r="M326" s="10"/>
      <c r="N326" s="10"/>
      <c r="O326" s="10">
        <f t="shared" si="3"/>
        <v>0</v>
      </c>
    </row>
    <row r="327" spans="1:15" ht="15.75">
      <c r="A327" s="2"/>
      <c r="B327" s="2"/>
      <c r="C327" s="2"/>
      <c r="D327" s="2"/>
      <c r="E327" s="2"/>
      <c r="F327" s="3" t="s">
        <v>450</v>
      </c>
      <c r="G327" s="3" t="s">
        <v>418</v>
      </c>
      <c r="H327" s="8"/>
      <c r="I327" s="8"/>
      <c r="J327" s="10"/>
      <c r="K327" s="10"/>
      <c r="L327" s="10"/>
      <c r="M327" s="10"/>
      <c r="N327" s="10"/>
      <c r="O327" s="10">
        <f t="shared" si="3"/>
        <v>0</v>
      </c>
    </row>
    <row r="328" spans="1:15" ht="15.75">
      <c r="A328" s="4"/>
      <c r="B328" s="4"/>
      <c r="C328" s="4"/>
      <c r="D328" s="4"/>
      <c r="E328" s="4"/>
      <c r="F328" s="5" t="s">
        <v>451</v>
      </c>
      <c r="G328" s="5" t="s">
        <v>418</v>
      </c>
      <c r="H328" s="8"/>
      <c r="I328" s="8"/>
      <c r="J328" s="10"/>
      <c r="K328" s="10"/>
      <c r="L328" s="10"/>
      <c r="M328" s="10"/>
      <c r="N328" s="10"/>
      <c r="O328" s="10">
        <f t="shared" si="3"/>
        <v>0</v>
      </c>
    </row>
    <row r="329" spans="1:15" ht="15.75">
      <c r="A329" s="2"/>
      <c r="B329" s="2"/>
      <c r="C329" s="2"/>
      <c r="D329" s="2"/>
      <c r="E329" s="2"/>
      <c r="F329" s="3" t="s">
        <v>452</v>
      </c>
      <c r="G329" s="3" t="s">
        <v>418</v>
      </c>
      <c r="H329" s="8"/>
      <c r="I329" s="8"/>
      <c r="J329" s="10"/>
      <c r="K329" s="10"/>
      <c r="L329" s="10"/>
      <c r="M329" s="10"/>
      <c r="N329" s="10"/>
      <c r="O329" s="10">
        <f t="shared" si="3"/>
        <v>0</v>
      </c>
    </row>
    <row r="330" spans="1:15" ht="15.75">
      <c r="A330" s="4"/>
      <c r="B330" s="4"/>
      <c r="C330" s="4"/>
      <c r="D330" s="4"/>
      <c r="E330" s="4"/>
      <c r="F330" s="5" t="s">
        <v>453</v>
      </c>
      <c r="G330" s="5" t="s">
        <v>418</v>
      </c>
      <c r="H330" s="8"/>
      <c r="I330" s="8"/>
      <c r="J330" s="10"/>
      <c r="K330" s="10"/>
      <c r="L330" s="10"/>
      <c r="M330" s="10"/>
      <c r="N330" s="10"/>
      <c r="O330" s="10">
        <f t="shared" si="3"/>
        <v>0</v>
      </c>
    </row>
    <row r="331" spans="1:15" ht="15.75">
      <c r="A331" s="2"/>
      <c r="B331" s="2"/>
      <c r="C331" s="2"/>
      <c r="D331" s="2"/>
      <c r="E331" s="2"/>
      <c r="F331" s="3" t="s">
        <v>454</v>
      </c>
      <c r="G331" s="3" t="s">
        <v>418</v>
      </c>
      <c r="H331" s="8"/>
      <c r="I331" s="8"/>
      <c r="J331" s="10"/>
      <c r="K331" s="10"/>
      <c r="L331" s="10"/>
      <c r="M331" s="10"/>
      <c r="N331" s="10"/>
      <c r="O331" s="10">
        <f t="shared" si="3"/>
        <v>0</v>
      </c>
    </row>
    <row r="332" spans="1:15" ht="15.75">
      <c r="A332" s="4"/>
      <c r="B332" s="4"/>
      <c r="C332" s="4"/>
      <c r="D332" s="4"/>
      <c r="E332" s="4"/>
      <c r="F332" s="5" t="s">
        <v>455</v>
      </c>
      <c r="G332" s="5" t="s">
        <v>418</v>
      </c>
      <c r="H332" s="8"/>
      <c r="I332" s="8"/>
      <c r="J332" s="10"/>
      <c r="K332" s="10"/>
      <c r="L332" s="10"/>
      <c r="M332" s="10"/>
      <c r="N332" s="10"/>
      <c r="O332" s="10">
        <f t="shared" si="3"/>
        <v>0</v>
      </c>
    </row>
    <row r="333" spans="1:15" ht="15.75">
      <c r="A333" s="2"/>
      <c r="B333" s="2"/>
      <c r="C333" s="2"/>
      <c r="D333" s="2"/>
      <c r="E333" s="2"/>
      <c r="F333" s="3" t="s">
        <v>456</v>
      </c>
      <c r="G333" s="3" t="s">
        <v>418</v>
      </c>
      <c r="H333" s="8"/>
      <c r="I333" s="8"/>
      <c r="J333" s="10"/>
      <c r="K333" s="10"/>
      <c r="L333" s="10"/>
      <c r="M333" s="10"/>
      <c r="N333" s="10"/>
      <c r="O333" s="10">
        <f t="shared" si="3"/>
        <v>0</v>
      </c>
    </row>
    <row r="334" spans="1:15" ht="15.75">
      <c r="A334" s="4"/>
      <c r="B334" s="4"/>
      <c r="C334" s="4"/>
      <c r="D334" s="4"/>
      <c r="E334" s="4"/>
      <c r="F334" s="5" t="s">
        <v>457</v>
      </c>
      <c r="G334" s="5" t="s">
        <v>418</v>
      </c>
      <c r="H334" s="8"/>
      <c r="I334" s="8"/>
      <c r="J334" s="10"/>
      <c r="K334" s="10"/>
      <c r="L334" s="10"/>
      <c r="M334" s="10"/>
      <c r="N334" s="10"/>
      <c r="O334" s="10">
        <f t="shared" si="3"/>
        <v>0</v>
      </c>
    </row>
    <row r="335" spans="1:15" ht="15.75">
      <c r="A335" s="2"/>
      <c r="B335" s="2"/>
      <c r="C335" s="2"/>
      <c r="D335" s="2"/>
      <c r="E335" s="2"/>
      <c r="F335" s="3" t="s">
        <v>458</v>
      </c>
      <c r="G335" s="3" t="s">
        <v>418</v>
      </c>
      <c r="H335" s="8"/>
      <c r="I335" s="8"/>
      <c r="J335" s="10"/>
      <c r="K335" s="10"/>
      <c r="L335" s="10"/>
      <c r="M335" s="10"/>
      <c r="N335" s="10"/>
      <c r="O335" s="10">
        <f t="shared" si="3"/>
        <v>0</v>
      </c>
    </row>
    <row r="336" spans="1:15" ht="15.75">
      <c r="A336" s="4"/>
      <c r="B336" s="4"/>
      <c r="C336" s="4"/>
      <c r="D336" s="4"/>
      <c r="E336" s="4"/>
      <c r="F336" s="5" t="s">
        <v>459</v>
      </c>
      <c r="G336" s="5" t="s">
        <v>418</v>
      </c>
      <c r="H336" s="8"/>
      <c r="I336" s="8"/>
      <c r="J336" s="10"/>
      <c r="K336" s="10"/>
      <c r="L336" s="10"/>
      <c r="M336" s="10"/>
      <c r="N336" s="10"/>
      <c r="O336" s="10">
        <f t="shared" si="3"/>
        <v>0</v>
      </c>
    </row>
    <row r="337" spans="1:15" ht="15.75">
      <c r="A337" s="2"/>
      <c r="B337" s="2"/>
      <c r="C337" s="2"/>
      <c r="D337" s="2"/>
      <c r="E337" s="2"/>
      <c r="F337" s="3" t="s">
        <v>460</v>
      </c>
      <c r="G337" s="3" t="s">
        <v>418</v>
      </c>
      <c r="H337" s="8"/>
      <c r="I337" s="8"/>
      <c r="J337" s="10"/>
      <c r="K337" s="10"/>
      <c r="L337" s="10"/>
      <c r="M337" s="10"/>
      <c r="N337" s="10"/>
      <c r="O337" s="10">
        <f t="shared" si="3"/>
        <v>0</v>
      </c>
    </row>
    <row r="338" spans="1:15" ht="15.75">
      <c r="A338" s="4"/>
      <c r="B338" s="4"/>
      <c r="C338" s="4"/>
      <c r="D338" s="4"/>
      <c r="E338" s="4"/>
      <c r="F338" s="5" t="s">
        <v>461</v>
      </c>
      <c r="G338" s="5" t="s">
        <v>418</v>
      </c>
      <c r="H338" s="8"/>
      <c r="I338" s="8"/>
      <c r="J338" s="10"/>
      <c r="K338" s="10"/>
      <c r="L338" s="10"/>
      <c r="M338" s="10"/>
      <c r="N338" s="10"/>
      <c r="O338" s="10">
        <f t="shared" si="3"/>
        <v>0</v>
      </c>
    </row>
    <row r="339" spans="1:15" ht="15.75">
      <c r="A339" s="2"/>
      <c r="B339" s="2"/>
      <c r="C339" s="2"/>
      <c r="D339" s="2"/>
      <c r="E339" s="2"/>
      <c r="F339" s="3" t="s">
        <v>462</v>
      </c>
      <c r="G339" s="3" t="s">
        <v>418</v>
      </c>
      <c r="H339" s="8"/>
      <c r="I339" s="8"/>
      <c r="J339" s="10"/>
      <c r="K339" s="10"/>
      <c r="L339" s="10"/>
      <c r="M339" s="10"/>
      <c r="N339" s="10"/>
      <c r="O339" s="10">
        <f t="shared" si="3"/>
        <v>0</v>
      </c>
    </row>
    <row r="340" spans="1:15" ht="15.75">
      <c r="A340" s="4"/>
      <c r="B340" s="4"/>
      <c r="C340" s="4"/>
      <c r="D340" s="4"/>
      <c r="E340" s="4"/>
      <c r="F340" s="5" t="s">
        <v>463</v>
      </c>
      <c r="G340" s="5" t="s">
        <v>418</v>
      </c>
      <c r="H340" s="8"/>
      <c r="I340" s="8"/>
      <c r="J340" s="10"/>
      <c r="K340" s="10"/>
      <c r="L340" s="10"/>
      <c r="M340" s="10"/>
      <c r="N340" s="10"/>
      <c r="O340" s="10">
        <f t="shared" si="3"/>
        <v>0</v>
      </c>
    </row>
    <row r="341" spans="1:15" ht="15.75">
      <c r="A341" s="2"/>
      <c r="B341" s="2"/>
      <c r="C341" s="2"/>
      <c r="D341" s="2"/>
      <c r="E341" s="2"/>
      <c r="F341" s="3" t="s">
        <v>464</v>
      </c>
      <c r="G341" s="3" t="s">
        <v>418</v>
      </c>
      <c r="H341" s="8"/>
      <c r="I341" s="8"/>
      <c r="J341" s="10"/>
      <c r="K341" s="10"/>
      <c r="L341" s="10"/>
      <c r="M341" s="10"/>
      <c r="N341" s="10"/>
      <c r="O341" s="10">
        <f t="shared" si="3"/>
        <v>0</v>
      </c>
    </row>
    <row r="342" spans="1:15" ht="15.75">
      <c r="A342" s="4"/>
      <c r="B342" s="4"/>
      <c r="C342" s="4"/>
      <c r="D342" s="4"/>
      <c r="E342" s="4"/>
      <c r="F342" s="5" t="s">
        <v>465</v>
      </c>
      <c r="G342" s="5" t="s">
        <v>418</v>
      </c>
      <c r="H342" s="8"/>
      <c r="I342" s="8"/>
      <c r="J342" s="10"/>
      <c r="K342" s="10"/>
      <c r="L342" s="10"/>
      <c r="M342" s="10"/>
      <c r="N342" s="10"/>
      <c r="O342" s="10">
        <f t="shared" si="3"/>
        <v>0</v>
      </c>
    </row>
    <row r="343" spans="1:15" ht="15.75">
      <c r="A343" s="2"/>
      <c r="B343" s="2"/>
      <c r="C343" s="2"/>
      <c r="D343" s="2"/>
      <c r="E343" s="2"/>
      <c r="F343" s="3" t="s">
        <v>466</v>
      </c>
      <c r="G343" s="3" t="s">
        <v>418</v>
      </c>
      <c r="H343" s="8"/>
      <c r="I343" s="8"/>
      <c r="J343" s="10"/>
      <c r="K343" s="10"/>
      <c r="L343" s="10"/>
      <c r="M343" s="10"/>
      <c r="N343" s="10"/>
      <c r="O343" s="10">
        <f t="shared" si="3"/>
        <v>0</v>
      </c>
    </row>
    <row r="344" spans="1:15" ht="15.75">
      <c r="A344" s="4"/>
      <c r="B344" s="4"/>
      <c r="C344" s="4"/>
      <c r="D344" s="4"/>
      <c r="E344" s="4"/>
      <c r="F344" s="5" t="s">
        <v>467</v>
      </c>
      <c r="G344" s="5" t="s">
        <v>418</v>
      </c>
      <c r="H344" s="8"/>
      <c r="I344" s="8"/>
      <c r="J344" s="10"/>
      <c r="K344" s="10"/>
      <c r="L344" s="10"/>
      <c r="M344" s="10"/>
      <c r="N344" s="10"/>
      <c r="O344" s="10">
        <f t="shared" si="3"/>
        <v>0</v>
      </c>
    </row>
    <row r="345" spans="1:15" ht="15.75">
      <c r="A345" s="2"/>
      <c r="B345" s="2"/>
      <c r="C345" s="2"/>
      <c r="D345" s="2"/>
      <c r="E345" s="2"/>
      <c r="F345" s="3" t="s">
        <v>468</v>
      </c>
      <c r="G345" s="3" t="s">
        <v>418</v>
      </c>
      <c r="H345" s="8"/>
      <c r="I345" s="8"/>
      <c r="J345" s="10"/>
      <c r="K345" s="10"/>
      <c r="L345" s="10"/>
      <c r="M345" s="10"/>
      <c r="N345" s="10"/>
      <c r="O345" s="10">
        <f t="shared" si="3"/>
        <v>0</v>
      </c>
    </row>
    <row r="346" spans="1:15" ht="15.75">
      <c r="A346" s="4"/>
      <c r="B346" s="4"/>
      <c r="C346" s="4"/>
      <c r="D346" s="4"/>
      <c r="E346" s="4"/>
      <c r="F346" s="5" t="s">
        <v>469</v>
      </c>
      <c r="G346" s="5" t="s">
        <v>418</v>
      </c>
      <c r="H346" s="8"/>
      <c r="I346" s="8"/>
      <c r="J346" s="10"/>
      <c r="K346" s="10"/>
      <c r="L346" s="10"/>
      <c r="M346" s="10"/>
      <c r="N346" s="10"/>
      <c r="O346" s="10">
        <f t="shared" si="3"/>
        <v>0</v>
      </c>
    </row>
    <row r="347" spans="1:15" ht="15.75">
      <c r="A347" s="2"/>
      <c r="B347" s="2"/>
      <c r="C347" s="2"/>
      <c r="D347" s="2"/>
      <c r="E347" s="2"/>
      <c r="F347" s="3" t="s">
        <v>470</v>
      </c>
      <c r="G347" s="3" t="s">
        <v>418</v>
      </c>
      <c r="H347" s="8"/>
      <c r="I347" s="8"/>
      <c r="J347" s="10"/>
      <c r="K347" s="10"/>
      <c r="L347" s="10"/>
      <c r="M347" s="10"/>
      <c r="N347" s="10"/>
      <c r="O347" s="10">
        <f t="shared" si="3"/>
        <v>0</v>
      </c>
    </row>
    <row r="348" spans="1:15" ht="15.75">
      <c r="A348" s="4"/>
      <c r="B348" s="4"/>
      <c r="C348" s="4"/>
      <c r="D348" s="4"/>
      <c r="E348" s="4"/>
      <c r="F348" s="5" t="s">
        <v>471</v>
      </c>
      <c r="G348" s="5" t="s">
        <v>418</v>
      </c>
      <c r="H348" s="8"/>
      <c r="I348" s="8"/>
      <c r="J348" s="10"/>
      <c r="K348" s="10"/>
      <c r="L348" s="10"/>
      <c r="M348" s="10"/>
      <c r="N348" s="10"/>
      <c r="O348" s="10">
        <f t="shared" si="3"/>
        <v>0</v>
      </c>
    </row>
    <row r="349" spans="1:15" ht="15.75">
      <c r="A349" s="2"/>
      <c r="B349" s="2"/>
      <c r="C349" s="2"/>
      <c r="D349" s="2"/>
      <c r="E349" s="2"/>
      <c r="F349" s="3" t="s">
        <v>472</v>
      </c>
      <c r="G349" s="3" t="s">
        <v>418</v>
      </c>
      <c r="H349" s="8"/>
      <c r="I349" s="8"/>
      <c r="J349" s="10"/>
      <c r="K349" s="10"/>
      <c r="L349" s="10"/>
      <c r="M349" s="10"/>
      <c r="N349" s="10"/>
      <c r="O349" s="10">
        <f t="shared" si="3"/>
        <v>0</v>
      </c>
    </row>
    <row r="350" spans="1:15" ht="15.75">
      <c r="A350" s="4"/>
      <c r="B350" s="4"/>
      <c r="C350" s="4"/>
      <c r="D350" s="4"/>
      <c r="E350" s="4"/>
      <c r="F350" s="5" t="s">
        <v>473</v>
      </c>
      <c r="G350" s="5" t="s">
        <v>402</v>
      </c>
      <c r="H350" s="8"/>
      <c r="I350" s="8"/>
      <c r="J350" s="10"/>
      <c r="K350" s="10"/>
      <c r="L350" s="10"/>
      <c r="M350" s="10"/>
      <c r="N350" s="10"/>
      <c r="O350" s="10">
        <f t="shared" si="3"/>
        <v>0</v>
      </c>
    </row>
    <row r="351" spans="1:15" ht="15.75">
      <c r="A351" s="2"/>
      <c r="B351" s="2"/>
      <c r="C351" s="2"/>
      <c r="D351" s="2"/>
      <c r="E351" s="2"/>
      <c r="F351" s="3" t="s">
        <v>474</v>
      </c>
      <c r="G351" s="3" t="s">
        <v>402</v>
      </c>
      <c r="H351" s="8"/>
      <c r="I351" s="8"/>
      <c r="J351" s="10"/>
      <c r="K351" s="10"/>
      <c r="L351" s="10"/>
      <c r="M351" s="10"/>
      <c r="N351" s="10"/>
      <c r="O351" s="10">
        <f t="shared" si="3"/>
        <v>0</v>
      </c>
    </row>
    <row r="352" spans="1:15" ht="15.75">
      <c r="A352" s="4"/>
      <c r="B352" s="4"/>
      <c r="C352" s="4"/>
      <c r="D352" s="4"/>
      <c r="E352" s="4"/>
      <c r="F352" s="5" t="s">
        <v>475</v>
      </c>
      <c r="G352" s="5" t="s">
        <v>402</v>
      </c>
      <c r="H352" s="8"/>
      <c r="I352" s="8"/>
      <c r="J352" s="10"/>
      <c r="K352" s="10"/>
      <c r="L352" s="10"/>
      <c r="M352" s="10"/>
      <c r="N352" s="10"/>
      <c r="O352" s="10">
        <f t="shared" si="3"/>
        <v>0</v>
      </c>
    </row>
    <row r="353" spans="1:15" ht="15.75">
      <c r="A353" s="2"/>
      <c r="B353" s="2"/>
      <c r="C353" s="2"/>
      <c r="D353" s="2"/>
      <c r="E353" s="2"/>
      <c r="F353" s="3" t="s">
        <v>476</v>
      </c>
      <c r="G353" s="3" t="s">
        <v>402</v>
      </c>
      <c r="H353" s="8"/>
      <c r="I353" s="8"/>
      <c r="J353" s="10"/>
      <c r="K353" s="10"/>
      <c r="L353" s="10"/>
      <c r="M353" s="10"/>
      <c r="N353" s="10"/>
      <c r="O353" s="10">
        <f t="shared" si="3"/>
        <v>0</v>
      </c>
    </row>
    <row r="354" spans="1:15" ht="15.75">
      <c r="A354" s="4"/>
      <c r="B354" s="4"/>
      <c r="C354" s="4"/>
      <c r="D354" s="4"/>
      <c r="E354" s="4"/>
      <c r="F354" s="5" t="s">
        <v>477</v>
      </c>
      <c r="G354" s="5" t="s">
        <v>402</v>
      </c>
      <c r="H354" s="8"/>
      <c r="I354" s="8"/>
      <c r="J354" s="10"/>
      <c r="K354" s="10"/>
      <c r="L354" s="10"/>
      <c r="M354" s="10"/>
      <c r="N354" s="10"/>
      <c r="O354" s="10">
        <f t="shared" si="3"/>
        <v>0</v>
      </c>
    </row>
    <row r="355" spans="1:15" ht="15.75">
      <c r="A355" s="2"/>
      <c r="B355" s="2"/>
      <c r="C355" s="2"/>
      <c r="D355" s="2"/>
      <c r="E355" s="2"/>
      <c r="F355" s="3" t="s">
        <v>478</v>
      </c>
      <c r="G355" s="3" t="s">
        <v>402</v>
      </c>
      <c r="H355" s="8"/>
      <c r="I355" s="8"/>
      <c r="J355" s="10"/>
      <c r="K355" s="10"/>
      <c r="L355" s="10"/>
      <c r="M355" s="10"/>
      <c r="N355" s="10"/>
      <c r="O355" s="10">
        <f t="shared" si="3"/>
        <v>0</v>
      </c>
    </row>
    <row r="356" spans="1:15" ht="15.75">
      <c r="A356" s="4"/>
      <c r="B356" s="4"/>
      <c r="C356" s="4"/>
      <c r="D356" s="4"/>
      <c r="E356" s="4"/>
      <c r="F356" s="5" t="s">
        <v>479</v>
      </c>
      <c r="G356" s="5" t="s">
        <v>402</v>
      </c>
      <c r="H356" s="8"/>
      <c r="I356" s="8"/>
      <c r="J356" s="10"/>
      <c r="K356" s="10"/>
      <c r="L356" s="10"/>
      <c r="M356" s="10"/>
      <c r="N356" s="10"/>
      <c r="O356" s="10">
        <f t="shared" si="3"/>
        <v>0</v>
      </c>
    </row>
    <row r="357" spans="1:15" ht="15.75">
      <c r="A357" s="2"/>
      <c r="B357" s="2"/>
      <c r="C357" s="2"/>
      <c r="D357" s="2"/>
      <c r="E357" s="2"/>
      <c r="F357" s="3" t="s">
        <v>444</v>
      </c>
      <c r="G357" s="3" t="s">
        <v>414</v>
      </c>
      <c r="H357" s="8"/>
      <c r="I357" s="8"/>
      <c r="J357" s="10"/>
      <c r="K357" s="10"/>
      <c r="L357" s="10"/>
      <c r="M357" s="10"/>
      <c r="N357" s="10"/>
      <c r="O357" s="10">
        <f t="shared" si="3"/>
        <v>0</v>
      </c>
    </row>
    <row r="358" spans="1:15" ht="15.75">
      <c r="A358" s="4"/>
      <c r="B358" s="4"/>
      <c r="C358" s="4"/>
      <c r="D358" s="4"/>
      <c r="E358" s="4"/>
      <c r="F358" s="5" t="s">
        <v>445</v>
      </c>
      <c r="G358" s="5" t="s">
        <v>414</v>
      </c>
      <c r="H358" s="8"/>
      <c r="I358" s="8"/>
      <c r="J358" s="10"/>
      <c r="K358" s="10"/>
      <c r="L358" s="10"/>
      <c r="M358" s="10"/>
      <c r="N358" s="10"/>
      <c r="O358" s="10">
        <f t="shared" si="3"/>
        <v>0</v>
      </c>
    </row>
    <row r="359" spans="1:15" ht="15.75">
      <c r="A359" s="4"/>
      <c r="B359" s="4"/>
      <c r="C359" s="4"/>
      <c r="D359" s="4"/>
      <c r="E359" s="4"/>
      <c r="F359" s="5" t="s">
        <v>510</v>
      </c>
      <c r="G359" s="5" t="s">
        <v>410</v>
      </c>
      <c r="H359" s="8"/>
      <c r="I359" s="8"/>
      <c r="J359" s="10"/>
      <c r="K359" s="10"/>
      <c r="L359" s="10"/>
      <c r="M359" s="10"/>
      <c r="N359" s="10"/>
      <c r="O359" s="10">
        <f t="shared" si="3"/>
        <v>0</v>
      </c>
    </row>
    <row r="360" spans="1:15" ht="15.75">
      <c r="A360" s="2"/>
      <c r="B360" s="2"/>
      <c r="C360" s="2"/>
      <c r="D360" s="2"/>
      <c r="E360" s="2"/>
      <c r="F360" s="3" t="s">
        <v>511</v>
      </c>
      <c r="G360" s="3" t="s">
        <v>410</v>
      </c>
      <c r="H360" s="8"/>
      <c r="I360" s="8"/>
      <c r="J360" s="10"/>
      <c r="K360" s="10"/>
      <c r="L360" s="10"/>
      <c r="M360" s="10"/>
      <c r="N360" s="10"/>
      <c r="O360" s="10">
        <f t="shared" si="3"/>
        <v>0</v>
      </c>
    </row>
    <row r="361" spans="1:15" ht="15.75">
      <c r="A361" s="4"/>
      <c r="B361" s="4"/>
      <c r="C361" s="4"/>
      <c r="D361" s="4"/>
      <c r="E361" s="4"/>
      <c r="F361" s="5" t="s">
        <v>512</v>
      </c>
      <c r="G361" s="5" t="s">
        <v>410</v>
      </c>
      <c r="H361" s="8"/>
      <c r="I361" s="8"/>
      <c r="J361" s="10"/>
      <c r="K361" s="10"/>
      <c r="L361" s="10"/>
      <c r="M361" s="10"/>
      <c r="N361" s="10"/>
      <c r="O361" s="10">
        <f t="shared" si="3"/>
        <v>0</v>
      </c>
    </row>
    <row r="362" spans="1:15" ht="15.75">
      <c r="A362" s="2"/>
      <c r="B362" s="2"/>
      <c r="C362" s="2"/>
      <c r="D362" s="2"/>
      <c r="E362" s="2"/>
      <c r="F362" s="3" t="s">
        <v>513</v>
      </c>
      <c r="G362" s="3" t="s">
        <v>410</v>
      </c>
      <c r="H362" s="8"/>
      <c r="I362" s="8"/>
      <c r="J362" s="10"/>
      <c r="K362" s="10"/>
      <c r="L362" s="10"/>
      <c r="M362" s="10"/>
      <c r="N362" s="10"/>
      <c r="O362" s="10">
        <f t="shared" si="3"/>
        <v>0</v>
      </c>
    </row>
    <row r="363" spans="1:15" ht="15.75">
      <c r="A363" s="4"/>
      <c r="B363" s="4"/>
      <c r="C363" s="4"/>
      <c r="D363" s="4"/>
      <c r="E363" s="4"/>
      <c r="F363" s="5" t="s">
        <v>514</v>
      </c>
      <c r="G363" s="5" t="s">
        <v>410</v>
      </c>
      <c r="H363" s="8"/>
      <c r="I363" s="8"/>
      <c r="J363" s="10"/>
      <c r="K363" s="10"/>
      <c r="L363" s="10"/>
      <c r="M363" s="10"/>
      <c r="N363" s="10"/>
      <c r="O363" s="10">
        <f t="shared" si="3"/>
        <v>0</v>
      </c>
    </row>
    <row r="364" spans="1:15" ht="15.75">
      <c r="A364" s="2"/>
      <c r="B364" s="2"/>
      <c r="C364" s="2"/>
      <c r="D364" s="2"/>
      <c r="E364" s="2"/>
      <c r="F364" s="3" t="s">
        <v>515</v>
      </c>
      <c r="G364" s="3" t="s">
        <v>437</v>
      </c>
      <c r="H364" s="8"/>
      <c r="I364" s="8"/>
      <c r="J364" s="10"/>
      <c r="K364" s="10"/>
      <c r="L364" s="10"/>
      <c r="M364" s="10"/>
      <c r="N364" s="10"/>
      <c r="O364" s="10">
        <f t="shared" si="3"/>
        <v>0</v>
      </c>
    </row>
    <row r="365" spans="1:15" ht="15.75">
      <c r="A365" s="4"/>
      <c r="B365" s="4"/>
      <c r="C365" s="4"/>
      <c r="D365" s="4"/>
      <c r="E365" s="4"/>
      <c r="F365" s="5" t="s">
        <v>516</v>
      </c>
      <c r="G365" s="5" t="s">
        <v>437</v>
      </c>
      <c r="H365" s="8"/>
      <c r="I365" s="8"/>
      <c r="J365" s="10"/>
      <c r="K365" s="10"/>
      <c r="L365" s="10"/>
      <c r="M365" s="10"/>
      <c r="N365" s="10"/>
      <c r="O365" s="10">
        <f t="shared" si="3"/>
        <v>0</v>
      </c>
    </row>
    <row r="366" spans="1:15" ht="15.75">
      <c r="A366" s="2"/>
      <c r="B366" s="2"/>
      <c r="C366" s="2"/>
      <c r="D366" s="2"/>
      <c r="E366" s="2"/>
      <c r="F366" s="3" t="s">
        <v>517</v>
      </c>
      <c r="G366" s="3" t="s">
        <v>437</v>
      </c>
      <c r="H366" s="8"/>
      <c r="I366" s="8"/>
      <c r="J366" s="10"/>
      <c r="K366" s="10"/>
      <c r="L366" s="10"/>
      <c r="M366" s="10"/>
      <c r="N366" s="10"/>
      <c r="O366" s="10">
        <f t="shared" si="3"/>
        <v>0</v>
      </c>
    </row>
    <row r="367" spans="1:15" ht="15.75">
      <c r="A367" s="4"/>
      <c r="B367" s="4"/>
      <c r="C367" s="4"/>
      <c r="D367" s="4"/>
      <c r="E367" s="4"/>
      <c r="F367" s="5" t="s">
        <v>518</v>
      </c>
      <c r="G367" s="5" t="s">
        <v>437</v>
      </c>
      <c r="H367" s="8"/>
      <c r="I367" s="8"/>
      <c r="J367" s="10"/>
      <c r="K367" s="10"/>
      <c r="L367" s="10"/>
      <c r="M367" s="10"/>
      <c r="N367" s="10"/>
      <c r="O367" s="10">
        <f t="shared" si="3"/>
        <v>0</v>
      </c>
    </row>
    <row r="368" spans="1:15" ht="15.75">
      <c r="A368" s="2"/>
      <c r="B368" s="2"/>
      <c r="C368" s="2"/>
      <c r="D368" s="2"/>
      <c r="E368" s="2"/>
      <c r="F368" s="3" t="s">
        <v>519</v>
      </c>
      <c r="G368" s="3" t="s">
        <v>437</v>
      </c>
      <c r="H368" s="8"/>
      <c r="I368" s="8"/>
      <c r="J368" s="10"/>
      <c r="K368" s="10"/>
      <c r="L368" s="10"/>
      <c r="M368" s="10"/>
      <c r="N368" s="10"/>
      <c r="O368" s="10">
        <f t="shared" si="3"/>
        <v>0</v>
      </c>
    </row>
    <row r="369" spans="1:15" ht="15.75">
      <c r="A369" s="4"/>
      <c r="B369" s="4"/>
      <c r="C369" s="4"/>
      <c r="D369" s="4"/>
      <c r="E369" s="4"/>
      <c r="F369" s="5" t="s">
        <v>520</v>
      </c>
      <c r="G369" s="5" t="s">
        <v>437</v>
      </c>
      <c r="H369" s="8"/>
      <c r="I369" s="8"/>
      <c r="J369" s="10"/>
      <c r="K369" s="10"/>
      <c r="L369" s="10"/>
      <c r="M369" s="10"/>
      <c r="N369" s="10"/>
      <c r="O369" s="10">
        <f t="shared" si="3"/>
        <v>0</v>
      </c>
    </row>
    <row r="370" spans="1:15" ht="15.75">
      <c r="A370" s="2"/>
      <c r="B370" s="2"/>
      <c r="C370" s="2"/>
      <c r="D370" s="2"/>
      <c r="E370" s="2"/>
      <c r="F370" s="3" t="s">
        <v>521</v>
      </c>
      <c r="G370" s="3" t="s">
        <v>437</v>
      </c>
      <c r="H370" s="8"/>
      <c r="I370" s="8"/>
      <c r="J370" s="10"/>
      <c r="K370" s="10"/>
      <c r="L370" s="10"/>
      <c r="M370" s="10"/>
      <c r="N370" s="10"/>
      <c r="O370" s="10">
        <f t="shared" si="3"/>
        <v>0</v>
      </c>
    </row>
    <row r="371" spans="1:15" ht="15.75">
      <c r="A371" s="4"/>
      <c r="B371" s="4"/>
      <c r="C371" s="4"/>
      <c r="D371" s="4"/>
      <c r="E371" s="4"/>
      <c r="F371" s="5" t="s">
        <v>522</v>
      </c>
      <c r="G371" s="5" t="s">
        <v>437</v>
      </c>
      <c r="H371" s="8"/>
      <c r="I371" s="8"/>
      <c r="J371" s="10"/>
      <c r="K371" s="10"/>
      <c r="L371" s="10"/>
      <c r="M371" s="10"/>
      <c r="N371" s="10"/>
      <c r="O371" s="10">
        <f t="shared" ref="O371:O434" si="4">SUMPRODUCT(J371:N371,$J$2:$N$2)</f>
        <v>0</v>
      </c>
    </row>
    <row r="372" spans="1:15" ht="15.75">
      <c r="A372" s="2"/>
      <c r="B372" s="2"/>
      <c r="C372" s="2"/>
      <c r="D372" s="2"/>
      <c r="E372" s="2"/>
      <c r="F372" s="3" t="s">
        <v>523</v>
      </c>
      <c r="G372" s="3" t="s">
        <v>437</v>
      </c>
      <c r="H372" s="8"/>
      <c r="I372" s="8"/>
      <c r="J372" s="10"/>
      <c r="K372" s="10"/>
      <c r="L372" s="10"/>
      <c r="M372" s="10"/>
      <c r="N372" s="10"/>
      <c r="O372" s="10">
        <f t="shared" si="4"/>
        <v>0</v>
      </c>
    </row>
    <row r="373" spans="1:15" ht="15.75">
      <c r="A373" s="4"/>
      <c r="B373" s="4"/>
      <c r="C373" s="4"/>
      <c r="D373" s="4"/>
      <c r="E373" s="4"/>
      <c r="F373" s="5" t="s">
        <v>524</v>
      </c>
      <c r="G373" s="5" t="s">
        <v>437</v>
      </c>
      <c r="H373" s="8"/>
      <c r="I373" s="8"/>
      <c r="J373" s="10"/>
      <c r="K373" s="10"/>
      <c r="L373" s="10"/>
      <c r="M373" s="10"/>
      <c r="N373" s="10"/>
      <c r="O373" s="10">
        <f t="shared" si="4"/>
        <v>0</v>
      </c>
    </row>
    <row r="374" spans="1:15" ht="15.75">
      <c r="A374" s="2"/>
      <c r="B374" s="2"/>
      <c r="C374" s="2"/>
      <c r="D374" s="2"/>
      <c r="E374" s="2"/>
      <c r="F374" s="3" t="s">
        <v>525</v>
      </c>
      <c r="G374" s="3" t="s">
        <v>437</v>
      </c>
      <c r="H374" s="8"/>
      <c r="I374" s="8"/>
      <c r="J374" s="10"/>
      <c r="K374" s="10"/>
      <c r="L374" s="10"/>
      <c r="M374" s="10"/>
      <c r="N374" s="10"/>
      <c r="O374" s="10">
        <f t="shared" si="4"/>
        <v>0</v>
      </c>
    </row>
    <row r="375" spans="1:15" ht="15.75">
      <c r="A375" s="4"/>
      <c r="B375" s="4"/>
      <c r="C375" s="4"/>
      <c r="D375" s="4"/>
      <c r="E375" s="4"/>
      <c r="F375" s="5" t="s">
        <v>526</v>
      </c>
      <c r="G375" s="5" t="s">
        <v>437</v>
      </c>
      <c r="H375" s="8"/>
      <c r="I375" s="8"/>
      <c r="J375" s="10"/>
      <c r="K375" s="10"/>
      <c r="L375" s="10"/>
      <c r="M375" s="10"/>
      <c r="N375" s="10"/>
      <c r="O375" s="10">
        <f t="shared" si="4"/>
        <v>0</v>
      </c>
    </row>
    <row r="376" spans="1:15" ht="15.75">
      <c r="A376" s="2"/>
      <c r="B376" s="2"/>
      <c r="C376" s="2"/>
      <c r="D376" s="2"/>
      <c r="E376" s="2"/>
      <c r="F376" s="3" t="s">
        <v>527</v>
      </c>
      <c r="G376" s="3" t="s">
        <v>437</v>
      </c>
      <c r="H376" s="8"/>
      <c r="I376" s="8"/>
      <c r="J376" s="10"/>
      <c r="K376" s="10"/>
      <c r="L376" s="10"/>
      <c r="M376" s="10"/>
      <c r="N376" s="10"/>
      <c r="O376" s="10">
        <f t="shared" si="4"/>
        <v>0</v>
      </c>
    </row>
    <row r="377" spans="1:15" ht="15.75">
      <c r="A377" s="4"/>
      <c r="B377" s="4"/>
      <c r="C377" s="4"/>
      <c r="D377" s="4"/>
      <c r="E377" s="4"/>
      <c r="F377" s="5" t="s">
        <v>528</v>
      </c>
      <c r="G377" s="5" t="s">
        <v>437</v>
      </c>
      <c r="H377" s="8"/>
      <c r="I377" s="8"/>
      <c r="J377" s="10"/>
      <c r="K377" s="10"/>
      <c r="L377" s="10"/>
      <c r="M377" s="10"/>
      <c r="N377" s="10"/>
      <c r="O377" s="10">
        <f t="shared" si="4"/>
        <v>0</v>
      </c>
    </row>
    <row r="378" spans="1:15" ht="15.75">
      <c r="A378" s="2"/>
      <c r="B378" s="2"/>
      <c r="C378" s="2"/>
      <c r="D378" s="2"/>
      <c r="E378" s="2"/>
      <c r="F378" s="3" t="s">
        <v>529</v>
      </c>
      <c r="G378" s="3" t="s">
        <v>437</v>
      </c>
      <c r="H378" s="8"/>
      <c r="I378" s="8"/>
      <c r="J378" s="10"/>
      <c r="K378" s="10"/>
      <c r="L378" s="10"/>
      <c r="M378" s="10"/>
      <c r="N378" s="10"/>
      <c r="O378" s="10">
        <f t="shared" si="4"/>
        <v>0</v>
      </c>
    </row>
    <row r="379" spans="1:15" ht="15.75">
      <c r="A379" s="4"/>
      <c r="B379" s="4"/>
      <c r="C379" s="4"/>
      <c r="D379" s="4"/>
      <c r="E379" s="4"/>
      <c r="F379" s="5" t="s">
        <v>530</v>
      </c>
      <c r="G379" s="5" t="s">
        <v>437</v>
      </c>
      <c r="H379" s="8"/>
      <c r="I379" s="8"/>
      <c r="J379" s="10"/>
      <c r="K379" s="10"/>
      <c r="L379" s="10"/>
      <c r="M379" s="10"/>
      <c r="N379" s="10"/>
      <c r="O379" s="10">
        <f t="shared" si="4"/>
        <v>0</v>
      </c>
    </row>
    <row r="380" spans="1:15" ht="15.75">
      <c r="A380" s="2"/>
      <c r="B380" s="2"/>
      <c r="C380" s="2"/>
      <c r="D380" s="2"/>
      <c r="E380" s="2"/>
      <c r="F380" s="3" t="s">
        <v>531</v>
      </c>
      <c r="G380" s="3" t="s">
        <v>437</v>
      </c>
      <c r="H380" s="8"/>
      <c r="I380" s="8"/>
      <c r="J380" s="10"/>
      <c r="K380" s="10"/>
      <c r="L380" s="10"/>
      <c r="M380" s="10"/>
      <c r="N380" s="10"/>
      <c r="O380" s="10">
        <f t="shared" si="4"/>
        <v>0</v>
      </c>
    </row>
    <row r="381" spans="1:15" ht="15.75">
      <c r="A381" s="4"/>
      <c r="B381" s="4"/>
      <c r="C381" s="4"/>
      <c r="D381" s="4"/>
      <c r="E381" s="4"/>
      <c r="F381" s="5" t="s">
        <v>532</v>
      </c>
      <c r="G381" s="5" t="s">
        <v>437</v>
      </c>
      <c r="H381" s="8"/>
      <c r="I381" s="8"/>
      <c r="J381" s="10"/>
      <c r="K381" s="10"/>
      <c r="L381" s="10"/>
      <c r="M381" s="10"/>
      <c r="N381" s="10"/>
      <c r="O381" s="10">
        <f t="shared" si="4"/>
        <v>0</v>
      </c>
    </row>
    <row r="382" spans="1:15" ht="15.75">
      <c r="A382" s="2"/>
      <c r="B382" s="2"/>
      <c r="C382" s="2"/>
      <c r="D382" s="2"/>
      <c r="E382" s="2"/>
      <c r="F382" s="3" t="s">
        <v>533</v>
      </c>
      <c r="G382" s="3" t="s">
        <v>437</v>
      </c>
      <c r="H382" s="8"/>
      <c r="I382" s="8"/>
      <c r="J382" s="10"/>
      <c r="K382" s="10"/>
      <c r="L382" s="10"/>
      <c r="M382" s="10"/>
      <c r="N382" s="10"/>
      <c r="O382" s="10">
        <f t="shared" si="4"/>
        <v>0</v>
      </c>
    </row>
    <row r="383" spans="1:15" ht="15.75">
      <c r="A383" s="4"/>
      <c r="B383" s="4"/>
      <c r="C383" s="4"/>
      <c r="D383" s="4"/>
      <c r="E383" s="4"/>
      <c r="F383" s="5" t="s">
        <v>534</v>
      </c>
      <c r="G383" s="5" t="s">
        <v>437</v>
      </c>
      <c r="H383" s="8"/>
      <c r="I383" s="8"/>
      <c r="J383" s="10"/>
      <c r="K383" s="10"/>
      <c r="L383" s="10"/>
      <c r="M383" s="10"/>
      <c r="N383" s="10"/>
      <c r="O383" s="10">
        <f t="shared" si="4"/>
        <v>0</v>
      </c>
    </row>
    <row r="384" spans="1:15" ht="15.75">
      <c r="A384" s="2"/>
      <c r="B384" s="2"/>
      <c r="C384" s="2"/>
      <c r="D384" s="2"/>
      <c r="E384" s="2"/>
      <c r="F384" s="3" t="s">
        <v>535</v>
      </c>
      <c r="G384" s="3" t="s">
        <v>437</v>
      </c>
      <c r="H384" s="8"/>
      <c r="I384" s="8"/>
      <c r="J384" s="10"/>
      <c r="K384" s="10"/>
      <c r="L384" s="10"/>
      <c r="M384" s="10"/>
      <c r="N384" s="10"/>
      <c r="O384" s="10">
        <f t="shared" si="4"/>
        <v>0</v>
      </c>
    </row>
    <row r="385" spans="1:15" ht="15.75">
      <c r="A385" s="4"/>
      <c r="B385" s="4"/>
      <c r="C385" s="4"/>
      <c r="D385" s="4"/>
      <c r="E385" s="4"/>
      <c r="F385" s="5" t="s">
        <v>536</v>
      </c>
      <c r="G385" s="5" t="s">
        <v>437</v>
      </c>
      <c r="H385" s="8"/>
      <c r="I385" s="8"/>
      <c r="J385" s="10"/>
      <c r="K385" s="10"/>
      <c r="L385" s="10"/>
      <c r="M385" s="10"/>
      <c r="N385" s="10"/>
      <c r="O385" s="10">
        <f t="shared" si="4"/>
        <v>0</v>
      </c>
    </row>
    <row r="386" spans="1:15" ht="15.75">
      <c r="A386" s="4"/>
      <c r="B386" s="4"/>
      <c r="C386" s="4"/>
      <c r="D386" s="4"/>
      <c r="E386" s="4"/>
      <c r="F386" s="5" t="s">
        <v>554</v>
      </c>
      <c r="G386" s="5" t="s">
        <v>437</v>
      </c>
      <c r="H386" s="8"/>
      <c r="I386" s="8"/>
      <c r="J386" s="10"/>
      <c r="K386" s="10"/>
      <c r="L386" s="10"/>
      <c r="M386" s="10"/>
      <c r="N386" s="10"/>
      <c r="O386" s="10">
        <f t="shared" si="4"/>
        <v>0</v>
      </c>
    </row>
    <row r="387" spans="1:15" ht="15.75">
      <c r="A387" s="2"/>
      <c r="B387" s="2"/>
      <c r="C387" s="2"/>
      <c r="D387" s="2"/>
      <c r="E387" s="2"/>
      <c r="F387" s="3" t="s">
        <v>555</v>
      </c>
      <c r="G387" s="3" t="s">
        <v>437</v>
      </c>
      <c r="H387" s="8"/>
      <c r="I387" s="8"/>
      <c r="J387" s="10"/>
      <c r="K387" s="10"/>
      <c r="L387" s="10"/>
      <c r="M387" s="10"/>
      <c r="N387" s="10"/>
      <c r="O387" s="10">
        <f t="shared" si="4"/>
        <v>0</v>
      </c>
    </row>
    <row r="388" spans="1:15" ht="15.75">
      <c r="A388" s="4"/>
      <c r="B388" s="4"/>
      <c r="C388" s="4"/>
      <c r="D388" s="4"/>
      <c r="E388" s="4"/>
      <c r="F388" s="5" t="s">
        <v>556</v>
      </c>
      <c r="G388" s="5" t="s">
        <v>437</v>
      </c>
      <c r="H388" s="8"/>
      <c r="I388" s="8"/>
      <c r="J388" s="10"/>
      <c r="K388" s="10"/>
      <c r="L388" s="10"/>
      <c r="M388" s="10"/>
      <c r="N388" s="10"/>
      <c r="O388" s="10">
        <f t="shared" si="4"/>
        <v>0</v>
      </c>
    </row>
    <row r="389" spans="1:15" ht="15.75">
      <c r="A389" s="2"/>
      <c r="B389" s="2"/>
      <c r="C389" s="2"/>
      <c r="D389" s="2"/>
      <c r="E389" s="2"/>
      <c r="F389" s="3" t="s">
        <v>557</v>
      </c>
      <c r="G389" s="3" t="s">
        <v>437</v>
      </c>
      <c r="H389" s="8"/>
      <c r="I389" s="8"/>
      <c r="J389" s="10"/>
      <c r="K389" s="10"/>
      <c r="L389" s="10"/>
      <c r="M389" s="10"/>
      <c r="N389" s="10"/>
      <c r="O389" s="10">
        <f t="shared" si="4"/>
        <v>0</v>
      </c>
    </row>
    <row r="390" spans="1:15" ht="15.75">
      <c r="A390" s="4"/>
      <c r="B390" s="4"/>
      <c r="C390" s="4"/>
      <c r="D390" s="4"/>
      <c r="E390" s="4"/>
      <c r="F390" s="5" t="s">
        <v>485</v>
      </c>
      <c r="G390" s="5" t="s">
        <v>437</v>
      </c>
      <c r="H390" s="8"/>
      <c r="I390" s="8"/>
      <c r="J390" s="10"/>
      <c r="K390" s="10"/>
      <c r="L390" s="10"/>
      <c r="M390" s="10"/>
      <c r="N390" s="10"/>
      <c r="O390" s="10">
        <f t="shared" si="4"/>
        <v>0</v>
      </c>
    </row>
    <row r="391" spans="1:15" ht="15.75">
      <c r="A391" s="2"/>
      <c r="B391" s="2"/>
      <c r="C391" s="2"/>
      <c r="D391" s="2"/>
      <c r="E391" s="2"/>
      <c r="F391" s="3" t="s">
        <v>486</v>
      </c>
      <c r="G391" s="3" t="s">
        <v>437</v>
      </c>
      <c r="H391" s="8"/>
      <c r="I391" s="8"/>
      <c r="J391" s="10"/>
      <c r="K391" s="10"/>
      <c r="L391" s="10"/>
      <c r="M391" s="10"/>
      <c r="N391" s="10"/>
      <c r="O391" s="10">
        <f t="shared" si="4"/>
        <v>0</v>
      </c>
    </row>
    <row r="392" spans="1:15" ht="15.75">
      <c r="A392" s="4"/>
      <c r="B392" s="4"/>
      <c r="C392" s="4"/>
      <c r="D392" s="4"/>
      <c r="E392" s="4"/>
      <c r="F392" s="5" t="s">
        <v>487</v>
      </c>
      <c r="G392" s="5" t="s">
        <v>437</v>
      </c>
      <c r="H392" s="8"/>
      <c r="I392" s="8"/>
      <c r="J392" s="10"/>
      <c r="K392" s="10"/>
      <c r="L392" s="10"/>
      <c r="M392" s="10"/>
      <c r="N392" s="10"/>
      <c r="O392" s="10">
        <f t="shared" si="4"/>
        <v>0</v>
      </c>
    </row>
    <row r="393" spans="1:15" ht="15.75">
      <c r="A393" s="2"/>
      <c r="B393" s="2"/>
      <c r="C393" s="2"/>
      <c r="D393" s="2"/>
      <c r="E393" s="2"/>
      <c r="F393" s="3" t="s">
        <v>488</v>
      </c>
      <c r="G393" s="3" t="s">
        <v>437</v>
      </c>
      <c r="H393" s="8"/>
      <c r="I393" s="8"/>
      <c r="J393" s="10"/>
      <c r="K393" s="10"/>
      <c r="L393" s="10"/>
      <c r="M393" s="10"/>
      <c r="N393" s="10"/>
      <c r="O393" s="10">
        <f t="shared" si="4"/>
        <v>0</v>
      </c>
    </row>
    <row r="394" spans="1:15" ht="15.75">
      <c r="A394" s="2"/>
      <c r="B394" s="2"/>
      <c r="C394" s="2"/>
      <c r="D394" s="2"/>
      <c r="E394" s="2"/>
      <c r="F394" s="3" t="s">
        <v>509</v>
      </c>
      <c r="G394" s="3" t="s">
        <v>416</v>
      </c>
      <c r="H394" s="8"/>
      <c r="I394" s="8"/>
      <c r="J394" s="10"/>
      <c r="K394" s="10"/>
      <c r="L394" s="10"/>
      <c r="M394" s="10"/>
      <c r="N394" s="10"/>
      <c r="O394" s="10">
        <f t="shared" si="4"/>
        <v>0</v>
      </c>
    </row>
    <row r="395" spans="1:15" ht="15.75">
      <c r="A395" s="2"/>
      <c r="B395" s="2"/>
      <c r="C395" s="2"/>
      <c r="D395" s="2"/>
      <c r="E395" s="2"/>
      <c r="F395" s="3" t="s">
        <v>491</v>
      </c>
      <c r="G395" s="3" t="s">
        <v>412</v>
      </c>
      <c r="H395" s="8"/>
      <c r="I395" s="8"/>
      <c r="J395" s="10"/>
      <c r="K395" s="10"/>
      <c r="L395" s="10"/>
      <c r="M395" s="10"/>
      <c r="N395" s="10"/>
      <c r="O395" s="10">
        <f t="shared" si="4"/>
        <v>0</v>
      </c>
    </row>
    <row r="396" spans="1:15" ht="15.75">
      <c r="A396" s="4"/>
      <c r="B396" s="4"/>
      <c r="C396" s="4"/>
      <c r="D396" s="4"/>
      <c r="E396" s="4"/>
      <c r="F396" s="5" t="s">
        <v>492</v>
      </c>
      <c r="G396" s="5" t="s">
        <v>412</v>
      </c>
      <c r="H396" s="8"/>
      <c r="I396" s="8"/>
      <c r="J396" s="10"/>
      <c r="K396" s="10"/>
      <c r="L396" s="10"/>
      <c r="M396" s="10"/>
      <c r="N396" s="10"/>
      <c r="O396" s="10">
        <f t="shared" si="4"/>
        <v>0</v>
      </c>
    </row>
    <row r="397" spans="1:15" ht="15.75">
      <c r="A397" s="2"/>
      <c r="B397" s="2"/>
      <c r="C397" s="2"/>
      <c r="D397" s="2"/>
      <c r="E397" s="2"/>
      <c r="F397" s="3" t="s">
        <v>493</v>
      </c>
      <c r="G397" s="3" t="s">
        <v>412</v>
      </c>
      <c r="H397" s="8"/>
      <c r="I397" s="8"/>
      <c r="J397" s="10"/>
      <c r="K397" s="10"/>
      <c r="L397" s="10"/>
      <c r="M397" s="10"/>
      <c r="N397" s="10"/>
      <c r="O397" s="10">
        <f t="shared" si="4"/>
        <v>0</v>
      </c>
    </row>
    <row r="398" spans="1:15" ht="15.75">
      <c r="A398" s="4"/>
      <c r="B398" s="4"/>
      <c r="C398" s="4"/>
      <c r="D398" s="4"/>
      <c r="E398" s="4"/>
      <c r="F398" s="5" t="s">
        <v>494</v>
      </c>
      <c r="G398" s="5" t="s">
        <v>412</v>
      </c>
      <c r="H398" s="8"/>
      <c r="I398" s="8"/>
      <c r="J398" s="10"/>
      <c r="K398" s="10"/>
      <c r="L398" s="10"/>
      <c r="M398" s="10"/>
      <c r="N398" s="10"/>
      <c r="O398" s="10">
        <f t="shared" si="4"/>
        <v>0</v>
      </c>
    </row>
    <row r="399" spans="1:15" ht="15.75">
      <c r="A399" s="2"/>
      <c r="B399" s="2"/>
      <c r="C399" s="2"/>
      <c r="D399" s="2"/>
      <c r="E399" s="2"/>
      <c r="F399" s="3" t="s">
        <v>495</v>
      </c>
      <c r="G399" s="3" t="s">
        <v>412</v>
      </c>
      <c r="H399" s="8"/>
      <c r="I399" s="8"/>
      <c r="J399" s="10"/>
      <c r="K399" s="10"/>
      <c r="L399" s="10"/>
      <c r="M399" s="10"/>
      <c r="N399" s="10"/>
      <c r="O399" s="10">
        <f t="shared" si="4"/>
        <v>0</v>
      </c>
    </row>
    <row r="400" spans="1:15" ht="15.75">
      <c r="A400" s="4"/>
      <c r="B400" s="4"/>
      <c r="C400" s="4"/>
      <c r="D400" s="4"/>
      <c r="E400" s="4"/>
      <c r="F400" s="5" t="s">
        <v>496</v>
      </c>
      <c r="G400" s="5" t="s">
        <v>412</v>
      </c>
      <c r="H400" s="8"/>
      <c r="I400" s="8"/>
      <c r="J400" s="10"/>
      <c r="K400" s="10"/>
      <c r="L400" s="10"/>
      <c r="M400" s="10"/>
      <c r="N400" s="10"/>
      <c r="O400" s="10">
        <f t="shared" si="4"/>
        <v>0</v>
      </c>
    </row>
    <row r="401" spans="1:15" ht="15.75">
      <c r="A401" s="2"/>
      <c r="B401" s="2"/>
      <c r="C401" s="2"/>
      <c r="D401" s="2"/>
      <c r="E401" s="2"/>
      <c r="F401" s="3" t="s">
        <v>497</v>
      </c>
      <c r="G401" s="3" t="s">
        <v>412</v>
      </c>
      <c r="H401" s="8"/>
      <c r="I401" s="8"/>
      <c r="J401" s="10"/>
      <c r="K401" s="10"/>
      <c r="L401" s="10"/>
      <c r="M401" s="10"/>
      <c r="N401" s="10"/>
      <c r="O401" s="10">
        <f t="shared" si="4"/>
        <v>0</v>
      </c>
    </row>
    <row r="402" spans="1:15" ht="15.75">
      <c r="A402" s="4"/>
      <c r="B402" s="4"/>
      <c r="C402" s="4"/>
      <c r="D402" s="4"/>
      <c r="E402" s="4"/>
      <c r="F402" s="5" t="s">
        <v>498</v>
      </c>
      <c r="G402" s="5" t="s">
        <v>412</v>
      </c>
      <c r="H402" s="8"/>
      <c r="I402" s="8"/>
      <c r="J402" s="10"/>
      <c r="K402" s="10"/>
      <c r="L402" s="10"/>
      <c r="M402" s="10"/>
      <c r="N402" s="10"/>
      <c r="O402" s="10">
        <f t="shared" si="4"/>
        <v>0</v>
      </c>
    </row>
    <row r="403" spans="1:15" ht="15.75">
      <c r="A403" s="2"/>
      <c r="B403" s="2"/>
      <c r="C403" s="2"/>
      <c r="D403" s="2"/>
      <c r="E403" s="2"/>
      <c r="F403" s="3" t="s">
        <v>499</v>
      </c>
      <c r="G403" s="3" t="s">
        <v>412</v>
      </c>
      <c r="H403" s="8"/>
      <c r="I403" s="8"/>
      <c r="J403" s="10"/>
      <c r="K403" s="10"/>
      <c r="L403" s="10"/>
      <c r="M403" s="10"/>
      <c r="N403" s="10"/>
      <c r="O403" s="10">
        <f t="shared" si="4"/>
        <v>0</v>
      </c>
    </row>
    <row r="404" spans="1:15" ht="15.75">
      <c r="A404" s="4"/>
      <c r="B404" s="4"/>
      <c r="C404" s="4"/>
      <c r="D404" s="4"/>
      <c r="E404" s="4"/>
      <c r="F404" s="5" t="s">
        <v>500</v>
      </c>
      <c r="G404" s="5" t="s">
        <v>412</v>
      </c>
      <c r="H404" s="8"/>
      <c r="I404" s="8"/>
      <c r="J404" s="10"/>
      <c r="K404" s="10"/>
      <c r="L404" s="10"/>
      <c r="M404" s="10"/>
      <c r="N404" s="10"/>
      <c r="O404" s="10">
        <f t="shared" si="4"/>
        <v>0</v>
      </c>
    </row>
    <row r="405" spans="1:15" ht="15.75">
      <c r="A405" s="2"/>
      <c r="B405" s="2"/>
      <c r="C405" s="2"/>
      <c r="D405" s="2"/>
      <c r="E405" s="2"/>
      <c r="F405" s="3" t="s">
        <v>501</v>
      </c>
      <c r="G405" s="3" t="s">
        <v>412</v>
      </c>
      <c r="H405" s="8"/>
      <c r="I405" s="8"/>
      <c r="J405" s="10"/>
      <c r="K405" s="10"/>
      <c r="L405" s="10"/>
      <c r="M405" s="10"/>
      <c r="N405" s="10"/>
      <c r="O405" s="10">
        <f t="shared" si="4"/>
        <v>0</v>
      </c>
    </row>
    <row r="406" spans="1:15" ht="15.75">
      <c r="A406" s="4"/>
      <c r="B406" s="4"/>
      <c r="C406" s="4"/>
      <c r="D406" s="4"/>
      <c r="E406" s="4"/>
      <c r="F406" s="5" t="s">
        <v>558</v>
      </c>
      <c r="G406" s="5" t="s">
        <v>559</v>
      </c>
      <c r="H406" s="8"/>
      <c r="I406" s="8"/>
      <c r="J406" s="10"/>
      <c r="K406" s="10"/>
      <c r="L406" s="10"/>
      <c r="M406" s="10"/>
      <c r="N406" s="10"/>
      <c r="O406" s="10">
        <f t="shared" si="4"/>
        <v>0</v>
      </c>
    </row>
    <row r="407" spans="1:15" ht="15.75">
      <c r="A407" s="4"/>
      <c r="B407" s="4"/>
      <c r="C407" s="4"/>
      <c r="D407" s="4"/>
      <c r="E407" s="4"/>
      <c r="F407" s="5" t="s">
        <v>579</v>
      </c>
      <c r="G407" s="5" t="s">
        <v>404</v>
      </c>
      <c r="H407" s="8"/>
      <c r="I407" s="8"/>
      <c r="J407" s="10"/>
      <c r="K407" s="10"/>
      <c r="L407" s="10"/>
      <c r="M407" s="10"/>
      <c r="N407" s="10"/>
      <c r="O407" s="10">
        <f t="shared" si="4"/>
        <v>0</v>
      </c>
    </row>
    <row r="408" spans="1:15" ht="15.75">
      <c r="A408" s="2"/>
      <c r="B408" s="2"/>
      <c r="C408" s="2"/>
      <c r="D408" s="2"/>
      <c r="E408" s="2"/>
      <c r="F408" s="3" t="s">
        <v>582</v>
      </c>
      <c r="G408" s="3" t="s">
        <v>404</v>
      </c>
      <c r="H408" s="8"/>
      <c r="I408" s="8"/>
      <c r="J408" s="10"/>
      <c r="K408" s="10"/>
      <c r="L408" s="10"/>
      <c r="M408" s="10"/>
      <c r="N408" s="10"/>
      <c r="O408" s="10">
        <f t="shared" si="4"/>
        <v>0</v>
      </c>
    </row>
    <row r="409" spans="1:15" ht="15.75">
      <c r="A409" s="4"/>
      <c r="B409" s="4"/>
      <c r="C409" s="4"/>
      <c r="D409" s="4"/>
      <c r="E409" s="4"/>
      <c r="F409" s="5" t="s">
        <v>583</v>
      </c>
      <c r="G409" s="5" t="s">
        <v>404</v>
      </c>
      <c r="H409" s="8"/>
      <c r="I409" s="8"/>
      <c r="J409" s="10"/>
      <c r="K409" s="10"/>
      <c r="L409" s="10"/>
      <c r="M409" s="10"/>
      <c r="N409" s="10"/>
      <c r="O409" s="10">
        <f t="shared" si="4"/>
        <v>0</v>
      </c>
    </row>
    <row r="410" spans="1:15" ht="15.75">
      <c r="A410" s="2"/>
      <c r="B410" s="2"/>
      <c r="C410" s="2"/>
      <c r="D410" s="2"/>
      <c r="E410" s="2"/>
      <c r="F410" s="3" t="s">
        <v>566</v>
      </c>
      <c r="G410" s="3" t="s">
        <v>567</v>
      </c>
      <c r="H410" s="8"/>
      <c r="I410" s="8"/>
      <c r="J410" s="10"/>
      <c r="K410" s="10"/>
      <c r="L410" s="10"/>
      <c r="M410" s="10"/>
      <c r="N410" s="10"/>
      <c r="O410" s="10">
        <f t="shared" si="4"/>
        <v>0</v>
      </c>
    </row>
    <row r="411" spans="1:15" ht="15.75">
      <c r="A411" s="4"/>
      <c r="B411" s="4"/>
      <c r="C411" s="4"/>
      <c r="D411" s="4"/>
      <c r="E411" s="4"/>
      <c r="F411" s="5" t="s">
        <v>568</v>
      </c>
      <c r="G411" s="5" t="s">
        <v>567</v>
      </c>
      <c r="H411" s="8"/>
      <c r="I411" s="8"/>
      <c r="J411" s="10"/>
      <c r="K411" s="10"/>
      <c r="L411" s="10"/>
      <c r="M411" s="10"/>
      <c r="N411" s="10"/>
      <c r="O411" s="10">
        <f t="shared" si="4"/>
        <v>0</v>
      </c>
    </row>
    <row r="412" spans="1:15" ht="15.75">
      <c r="A412" s="2"/>
      <c r="B412" s="2"/>
      <c r="C412" s="2"/>
      <c r="D412" s="2"/>
      <c r="E412" s="2"/>
      <c r="F412" s="3" t="s">
        <v>569</v>
      </c>
      <c r="G412" s="3" t="s">
        <v>418</v>
      </c>
      <c r="H412" s="8"/>
      <c r="I412" s="8"/>
      <c r="J412" s="10"/>
      <c r="K412" s="10"/>
      <c r="L412" s="10"/>
      <c r="M412" s="10"/>
      <c r="N412" s="10"/>
      <c r="O412" s="10">
        <f t="shared" si="4"/>
        <v>0</v>
      </c>
    </row>
    <row r="413" spans="1:15" ht="15.75">
      <c r="A413" s="4"/>
      <c r="B413" s="4"/>
      <c r="C413" s="4"/>
      <c r="D413" s="4"/>
      <c r="E413" s="4"/>
      <c r="F413" s="5" t="s">
        <v>570</v>
      </c>
      <c r="G413" s="5" t="s">
        <v>418</v>
      </c>
      <c r="H413" s="8"/>
      <c r="I413" s="8"/>
      <c r="J413" s="10"/>
      <c r="K413" s="10"/>
      <c r="L413" s="10"/>
      <c r="M413" s="10"/>
      <c r="N413" s="10"/>
      <c r="O413" s="10">
        <f t="shared" si="4"/>
        <v>0</v>
      </c>
    </row>
    <row r="414" spans="1:15" ht="15.75">
      <c r="A414" s="2"/>
      <c r="B414" s="2"/>
      <c r="C414" s="2"/>
      <c r="D414" s="2"/>
      <c r="E414" s="2"/>
      <c r="F414" s="3" t="s">
        <v>571</v>
      </c>
      <c r="G414" s="3" t="s">
        <v>418</v>
      </c>
      <c r="H414" s="8"/>
      <c r="I414" s="8"/>
      <c r="J414" s="10"/>
      <c r="K414" s="10"/>
      <c r="L414" s="10"/>
      <c r="M414" s="10"/>
      <c r="N414" s="10"/>
      <c r="O414" s="10">
        <f t="shared" si="4"/>
        <v>0</v>
      </c>
    </row>
    <row r="415" spans="1:15" ht="15.75">
      <c r="A415" s="4"/>
      <c r="B415" s="4"/>
      <c r="C415" s="4"/>
      <c r="D415" s="4"/>
      <c r="E415" s="4"/>
      <c r="F415" s="5" t="s">
        <v>572</v>
      </c>
      <c r="G415" s="5" t="s">
        <v>418</v>
      </c>
      <c r="H415" s="8"/>
      <c r="I415" s="8"/>
      <c r="J415" s="10"/>
      <c r="K415" s="10"/>
      <c r="L415" s="10"/>
      <c r="M415" s="10"/>
      <c r="N415" s="10"/>
      <c r="O415" s="10">
        <f t="shared" si="4"/>
        <v>0</v>
      </c>
    </row>
    <row r="416" spans="1:15" ht="15.75">
      <c r="A416" s="4"/>
      <c r="B416" s="4"/>
      <c r="C416" s="4"/>
      <c r="D416" s="4"/>
      <c r="E416" s="4"/>
      <c r="F416" s="5" t="s">
        <v>581</v>
      </c>
      <c r="G416" s="5" t="s">
        <v>402</v>
      </c>
      <c r="H416" s="8"/>
      <c r="I416" s="8"/>
      <c r="J416" s="10"/>
      <c r="K416" s="10"/>
      <c r="L416" s="10"/>
      <c r="M416" s="10"/>
      <c r="N416" s="10"/>
      <c r="O416" s="10">
        <f t="shared" si="4"/>
        <v>0</v>
      </c>
    </row>
    <row r="417" spans="1:15" ht="15.75">
      <c r="A417" s="2"/>
      <c r="B417" s="2"/>
      <c r="C417" s="2"/>
      <c r="D417" s="2"/>
      <c r="E417" s="2"/>
      <c r="F417" s="3" t="s">
        <v>580</v>
      </c>
      <c r="G417" s="3" t="s">
        <v>414</v>
      </c>
      <c r="H417" s="8"/>
      <c r="I417" s="8"/>
      <c r="J417" s="10"/>
      <c r="K417" s="10"/>
      <c r="L417" s="10"/>
      <c r="M417" s="10"/>
      <c r="N417" s="10"/>
      <c r="O417" s="10">
        <f t="shared" si="4"/>
        <v>0</v>
      </c>
    </row>
    <row r="418" spans="1:15" ht="15.75">
      <c r="A418" s="4"/>
      <c r="B418" s="4"/>
      <c r="C418" s="4"/>
      <c r="D418" s="4"/>
      <c r="E418" s="4"/>
      <c r="F418" s="5" t="s">
        <v>574</v>
      </c>
      <c r="G418" s="5" t="s">
        <v>410</v>
      </c>
      <c r="H418" s="8"/>
      <c r="I418" s="8"/>
      <c r="J418" s="10"/>
      <c r="K418" s="10"/>
      <c r="L418" s="10"/>
      <c r="M418" s="10"/>
      <c r="N418" s="10"/>
      <c r="O418" s="10">
        <f t="shared" si="4"/>
        <v>0</v>
      </c>
    </row>
    <row r="419" spans="1:15" ht="15.75">
      <c r="A419" s="2"/>
      <c r="B419" s="2"/>
      <c r="C419" s="2"/>
      <c r="D419" s="2"/>
      <c r="E419" s="2"/>
      <c r="F419" s="3" t="s">
        <v>573</v>
      </c>
      <c r="G419" s="3" t="s">
        <v>416</v>
      </c>
      <c r="H419" s="8"/>
      <c r="I419" s="8"/>
      <c r="J419" s="10"/>
      <c r="K419" s="10"/>
      <c r="L419" s="10"/>
      <c r="M419" s="10"/>
      <c r="N419" s="10"/>
      <c r="O419" s="10">
        <f t="shared" si="4"/>
        <v>0</v>
      </c>
    </row>
    <row r="420" spans="1:15" ht="15.75">
      <c r="A420" s="2"/>
      <c r="B420" s="2"/>
      <c r="C420" s="2"/>
      <c r="D420" s="2"/>
      <c r="E420" s="2"/>
      <c r="F420" s="3" t="s">
        <v>575</v>
      </c>
      <c r="G420" s="3" t="s">
        <v>576</v>
      </c>
      <c r="H420" s="8"/>
      <c r="I420" s="8"/>
      <c r="J420" s="10"/>
      <c r="K420" s="10"/>
      <c r="L420" s="10"/>
      <c r="M420" s="10"/>
      <c r="N420" s="10"/>
      <c r="O420" s="10">
        <f t="shared" si="4"/>
        <v>0</v>
      </c>
    </row>
    <row r="421" spans="1:15" ht="15.75">
      <c r="A421" s="4"/>
      <c r="B421" s="4"/>
      <c r="C421" s="4"/>
      <c r="D421" s="4"/>
      <c r="E421" s="4"/>
      <c r="F421" s="5" t="s">
        <v>577</v>
      </c>
      <c r="G421" s="5" t="s">
        <v>576</v>
      </c>
      <c r="H421" s="8"/>
      <c r="I421" s="8"/>
      <c r="J421" s="10"/>
      <c r="K421" s="10"/>
      <c r="L421" s="10"/>
      <c r="M421" s="10"/>
      <c r="N421" s="10"/>
      <c r="O421" s="10">
        <f t="shared" si="4"/>
        <v>0</v>
      </c>
    </row>
    <row r="422" spans="1:15" ht="15.75">
      <c r="A422" s="2"/>
      <c r="B422" s="2"/>
      <c r="C422" s="2"/>
      <c r="D422" s="2"/>
      <c r="E422" s="2"/>
      <c r="F422" s="3" t="s">
        <v>578</v>
      </c>
      <c r="G422" s="3" t="s">
        <v>576</v>
      </c>
      <c r="H422" s="8"/>
      <c r="I422" s="8"/>
      <c r="J422" s="10"/>
      <c r="K422" s="10"/>
      <c r="L422" s="10"/>
      <c r="M422" s="10"/>
      <c r="N422" s="10"/>
      <c r="O422" s="10">
        <f t="shared" si="4"/>
        <v>0</v>
      </c>
    </row>
    <row r="423" spans="1:15" ht="15.75">
      <c r="A423" s="2"/>
      <c r="B423" s="2"/>
      <c r="C423" s="2"/>
      <c r="D423" s="2"/>
      <c r="E423" s="2"/>
      <c r="F423" s="3" t="s">
        <v>549</v>
      </c>
      <c r="G423" s="3" t="s">
        <v>437</v>
      </c>
      <c r="H423" s="8"/>
      <c r="I423" s="8"/>
      <c r="J423" s="10"/>
      <c r="K423" s="10"/>
      <c r="L423" s="10"/>
      <c r="M423" s="10"/>
      <c r="N423" s="10"/>
      <c r="O423" s="10">
        <f t="shared" si="4"/>
        <v>0</v>
      </c>
    </row>
    <row r="424" spans="1:15" ht="15.75">
      <c r="A424" s="2"/>
      <c r="B424" s="2"/>
      <c r="C424" s="2"/>
      <c r="D424" s="2"/>
      <c r="E424" s="2"/>
      <c r="F424" s="3" t="s">
        <v>435</v>
      </c>
      <c r="G424" s="3" t="s">
        <v>404</v>
      </c>
      <c r="H424" s="8"/>
      <c r="I424" s="8"/>
      <c r="J424" s="10"/>
      <c r="K424" s="10"/>
      <c r="L424" s="10"/>
      <c r="M424" s="10"/>
      <c r="N424" s="10"/>
      <c r="O424" s="10">
        <f t="shared" si="4"/>
        <v>0</v>
      </c>
    </row>
    <row r="425" spans="1:15" ht="15.75">
      <c r="A425" s="4"/>
      <c r="B425" s="4"/>
      <c r="C425" s="4"/>
      <c r="D425" s="4"/>
      <c r="E425" s="4"/>
      <c r="F425" s="5" t="s">
        <v>439</v>
      </c>
      <c r="G425" s="5" t="s">
        <v>406</v>
      </c>
      <c r="H425" s="8"/>
      <c r="I425" s="8"/>
      <c r="J425" s="10"/>
      <c r="K425" s="10"/>
      <c r="L425" s="10"/>
      <c r="M425" s="10"/>
      <c r="N425" s="10"/>
      <c r="O425" s="10">
        <f t="shared" si="4"/>
        <v>0</v>
      </c>
    </row>
    <row r="426" spans="1:15" ht="15.75">
      <c r="A426" s="2"/>
      <c r="B426" s="2"/>
      <c r="C426" s="2"/>
      <c r="D426" s="2"/>
      <c r="E426" s="2"/>
      <c r="F426" s="3" t="s">
        <v>431</v>
      </c>
      <c r="G426" s="3" t="s">
        <v>418</v>
      </c>
      <c r="H426" s="8"/>
      <c r="I426" s="8"/>
      <c r="J426" s="10"/>
      <c r="K426" s="10"/>
      <c r="L426" s="10"/>
      <c r="M426" s="10"/>
      <c r="N426" s="10"/>
      <c r="O426" s="10">
        <f t="shared" si="4"/>
        <v>0</v>
      </c>
    </row>
    <row r="427" spans="1:15" ht="15.75">
      <c r="A427" s="4"/>
      <c r="B427" s="4"/>
      <c r="C427" s="4"/>
      <c r="D427" s="4"/>
      <c r="E427" s="4"/>
      <c r="F427" s="5" t="s">
        <v>432</v>
      </c>
      <c r="G427" s="5" t="s">
        <v>418</v>
      </c>
      <c r="H427" s="8"/>
      <c r="I427" s="8"/>
      <c r="J427" s="10"/>
      <c r="K427" s="10"/>
      <c r="L427" s="10"/>
      <c r="M427" s="10"/>
      <c r="N427" s="10"/>
      <c r="O427" s="10">
        <f t="shared" si="4"/>
        <v>0</v>
      </c>
    </row>
    <row r="428" spans="1:15" ht="15.75">
      <c r="A428" s="2"/>
      <c r="B428" s="2"/>
      <c r="C428" s="2"/>
      <c r="D428" s="2"/>
      <c r="E428" s="2"/>
      <c r="F428" s="3" t="s">
        <v>433</v>
      </c>
      <c r="G428" s="3" t="s">
        <v>418</v>
      </c>
      <c r="H428" s="8"/>
      <c r="I428" s="8"/>
      <c r="J428" s="10"/>
      <c r="K428" s="10"/>
      <c r="L428" s="10"/>
      <c r="M428" s="10"/>
      <c r="N428" s="10"/>
      <c r="O428" s="10">
        <f t="shared" si="4"/>
        <v>0</v>
      </c>
    </row>
    <row r="429" spans="1:15" ht="15.75">
      <c r="A429" s="4"/>
      <c r="B429" s="4"/>
      <c r="C429" s="4"/>
      <c r="D429" s="4"/>
      <c r="E429" s="4"/>
      <c r="F429" s="5" t="s">
        <v>434</v>
      </c>
      <c r="G429" s="5" t="s">
        <v>418</v>
      </c>
      <c r="H429" s="8"/>
      <c r="I429" s="8"/>
      <c r="J429" s="10"/>
      <c r="K429" s="10"/>
      <c r="L429" s="10"/>
      <c r="M429" s="10"/>
      <c r="N429" s="10"/>
      <c r="O429" s="10">
        <f t="shared" si="4"/>
        <v>0</v>
      </c>
    </row>
    <row r="430" spans="1:15" ht="15.75">
      <c r="A430" s="4"/>
      <c r="B430" s="4"/>
      <c r="C430" s="4"/>
      <c r="D430" s="4"/>
      <c r="E430" s="4"/>
      <c r="F430" s="5" t="s">
        <v>443</v>
      </c>
      <c r="G430" s="5" t="s">
        <v>402</v>
      </c>
      <c r="H430" s="8"/>
      <c r="I430" s="8"/>
      <c r="J430" s="10"/>
      <c r="K430" s="10"/>
      <c r="L430" s="10"/>
      <c r="M430" s="10"/>
      <c r="N430" s="10"/>
      <c r="O430" s="10">
        <f t="shared" si="4"/>
        <v>0</v>
      </c>
    </row>
    <row r="431" spans="1:15" ht="15.75">
      <c r="A431" s="4"/>
      <c r="B431" s="4"/>
      <c r="C431" s="4"/>
      <c r="D431" s="4"/>
      <c r="E431" s="4"/>
      <c r="F431" s="5" t="s">
        <v>430</v>
      </c>
      <c r="G431" s="5" t="s">
        <v>414</v>
      </c>
      <c r="H431" s="8"/>
      <c r="I431" s="8"/>
      <c r="J431" s="10"/>
      <c r="K431" s="10"/>
      <c r="L431" s="10"/>
      <c r="M431" s="10"/>
      <c r="N431" s="10"/>
      <c r="O431" s="10">
        <f t="shared" si="4"/>
        <v>0</v>
      </c>
    </row>
    <row r="432" spans="1:15" ht="15.75">
      <c r="A432" s="2"/>
      <c r="B432" s="2"/>
      <c r="C432" s="2"/>
      <c r="D432" s="2"/>
      <c r="E432" s="2"/>
      <c r="F432" s="3" t="s">
        <v>442</v>
      </c>
      <c r="G432" s="3" t="s">
        <v>410</v>
      </c>
      <c r="H432" s="8"/>
      <c r="I432" s="8"/>
      <c r="J432" s="10"/>
      <c r="K432" s="10"/>
      <c r="L432" s="10"/>
      <c r="M432" s="10"/>
      <c r="N432" s="10"/>
      <c r="O432" s="10">
        <f t="shared" si="4"/>
        <v>0</v>
      </c>
    </row>
    <row r="433" spans="1:15" ht="15.75">
      <c r="A433" s="2"/>
      <c r="B433" s="2"/>
      <c r="C433" s="2"/>
      <c r="D433" s="2"/>
      <c r="E433" s="2"/>
      <c r="F433" s="3" t="s">
        <v>438</v>
      </c>
      <c r="G433" s="3" t="s">
        <v>437</v>
      </c>
      <c r="H433" s="8"/>
      <c r="I433" s="8"/>
      <c r="J433" s="10"/>
      <c r="K433" s="10"/>
      <c r="L433" s="10"/>
      <c r="M433" s="10"/>
      <c r="N433" s="10"/>
      <c r="O433" s="10">
        <f t="shared" si="4"/>
        <v>0</v>
      </c>
    </row>
    <row r="434" spans="1:15" ht="15.75">
      <c r="A434" s="2"/>
      <c r="B434" s="2"/>
      <c r="C434" s="2"/>
      <c r="D434" s="2"/>
      <c r="E434" s="2"/>
      <c r="F434" s="3" t="s">
        <v>429</v>
      </c>
      <c r="G434" s="3" t="s">
        <v>416</v>
      </c>
      <c r="H434" s="8"/>
      <c r="I434" s="8"/>
      <c r="J434" s="10"/>
      <c r="K434" s="10"/>
      <c r="L434" s="10"/>
      <c r="M434" s="10"/>
      <c r="N434" s="10"/>
      <c r="O434" s="10">
        <f t="shared" si="4"/>
        <v>0</v>
      </c>
    </row>
    <row r="435" spans="1:15" ht="15.75">
      <c r="A435" s="4"/>
      <c r="B435" s="4"/>
      <c r="C435" s="4"/>
      <c r="D435" s="4"/>
      <c r="E435" s="4"/>
      <c r="F435" s="5" t="s">
        <v>441</v>
      </c>
      <c r="G435" s="5" t="s">
        <v>412</v>
      </c>
      <c r="H435" s="8"/>
      <c r="I435" s="8"/>
      <c r="J435" s="10"/>
      <c r="K435" s="10"/>
      <c r="L435" s="10"/>
      <c r="M435" s="10"/>
      <c r="N435" s="10"/>
      <c r="O435" s="10">
        <f t="shared" ref="O435:O474" si="5">SUMPRODUCT(J435:N435,$J$2:$N$2)</f>
        <v>0</v>
      </c>
    </row>
    <row r="436" spans="1:15" ht="15.75">
      <c r="A436" s="2"/>
      <c r="B436" s="2"/>
      <c r="C436" s="2"/>
      <c r="D436" s="2"/>
      <c r="E436" s="2"/>
      <c r="F436" s="3" t="s">
        <v>440</v>
      </c>
      <c r="G436" s="3" t="s">
        <v>412</v>
      </c>
      <c r="H436" s="8"/>
      <c r="I436" s="8"/>
      <c r="J436" s="10"/>
      <c r="K436" s="10"/>
      <c r="L436" s="10"/>
      <c r="M436" s="10"/>
      <c r="N436" s="10"/>
      <c r="O436" s="10">
        <f t="shared" si="5"/>
        <v>0</v>
      </c>
    </row>
    <row r="437" spans="1:15" ht="15.75">
      <c r="A437" s="4"/>
      <c r="B437" s="4"/>
      <c r="C437" s="4"/>
      <c r="D437" s="4"/>
      <c r="E437" s="4"/>
      <c r="F437" s="5" t="s">
        <v>424</v>
      </c>
      <c r="G437" s="5" t="s">
        <v>418</v>
      </c>
      <c r="H437" s="8"/>
      <c r="I437" s="8"/>
      <c r="J437" s="10"/>
      <c r="K437" s="10"/>
      <c r="L437" s="10"/>
      <c r="M437" s="10"/>
      <c r="N437" s="10"/>
      <c r="O437" s="10">
        <f t="shared" si="5"/>
        <v>0</v>
      </c>
    </row>
    <row r="438" spans="1:15" ht="15.75">
      <c r="A438" s="2"/>
      <c r="B438" s="2"/>
      <c r="C438" s="2"/>
      <c r="D438" s="2"/>
      <c r="E438" s="2"/>
      <c r="F438" s="3" t="s">
        <v>643</v>
      </c>
      <c r="G438" s="3" t="s">
        <v>404</v>
      </c>
      <c r="H438" s="1"/>
      <c r="I438" s="8"/>
      <c r="J438" s="10"/>
      <c r="K438" s="10"/>
      <c r="L438" s="10"/>
      <c r="M438" s="10"/>
      <c r="N438" s="10"/>
      <c r="O438" s="10">
        <f t="shared" si="5"/>
        <v>0</v>
      </c>
    </row>
    <row r="439" spans="1:15" ht="15.75">
      <c r="A439" s="4"/>
      <c r="B439" s="4"/>
      <c r="C439" s="4"/>
      <c r="D439" s="4"/>
      <c r="E439" s="4"/>
      <c r="F439" s="5" t="s">
        <v>644</v>
      </c>
      <c r="G439" s="5" t="s">
        <v>404</v>
      </c>
      <c r="H439" s="1"/>
      <c r="I439" s="8"/>
      <c r="J439" s="10"/>
      <c r="K439" s="10"/>
      <c r="L439" s="10"/>
      <c r="M439" s="10"/>
      <c r="N439" s="10"/>
      <c r="O439" s="10">
        <f t="shared" si="5"/>
        <v>0</v>
      </c>
    </row>
    <row r="440" spans="1:15" ht="15.75">
      <c r="A440" s="4"/>
      <c r="B440" s="4"/>
      <c r="C440" s="4"/>
      <c r="D440" s="4"/>
      <c r="E440" s="4"/>
      <c r="F440" s="5" t="s">
        <v>642</v>
      </c>
      <c r="G440" s="5" t="s">
        <v>418</v>
      </c>
      <c r="H440" s="1"/>
      <c r="I440" s="8"/>
      <c r="J440" s="10"/>
      <c r="K440" s="10"/>
      <c r="L440" s="10"/>
      <c r="M440" s="10"/>
      <c r="N440" s="10"/>
      <c r="O440" s="10">
        <f t="shared" si="5"/>
        <v>0</v>
      </c>
    </row>
    <row r="441" spans="1:15" ht="15.75">
      <c r="A441" s="4"/>
      <c r="B441" s="4"/>
      <c r="C441" s="4"/>
      <c r="D441" s="4"/>
      <c r="E441" s="4"/>
      <c r="F441" s="5" t="s">
        <v>646</v>
      </c>
      <c r="G441" s="5" t="s">
        <v>414</v>
      </c>
      <c r="H441" s="1"/>
      <c r="I441" s="8"/>
      <c r="J441" s="10"/>
      <c r="K441" s="10"/>
      <c r="L441" s="10"/>
      <c r="M441" s="10"/>
      <c r="N441" s="10"/>
      <c r="O441" s="10">
        <f t="shared" si="5"/>
        <v>0</v>
      </c>
    </row>
    <row r="442" spans="1:15" ht="15.75">
      <c r="A442" s="2"/>
      <c r="B442" s="2"/>
      <c r="C442" s="2"/>
      <c r="D442" s="2"/>
      <c r="E442" s="2"/>
      <c r="F442" s="3" t="s">
        <v>645</v>
      </c>
      <c r="G442" s="3" t="s">
        <v>412</v>
      </c>
      <c r="H442" s="1"/>
      <c r="I442" s="8"/>
      <c r="J442" s="10"/>
      <c r="K442" s="10"/>
      <c r="L442" s="10"/>
      <c r="M442" s="10"/>
      <c r="N442" s="10"/>
      <c r="O442" s="10">
        <f t="shared" si="5"/>
        <v>0</v>
      </c>
    </row>
    <row r="443" spans="1:15" ht="15.75">
      <c r="A443" s="2"/>
      <c r="B443" s="2"/>
      <c r="C443" s="2"/>
      <c r="D443" s="2"/>
      <c r="E443" s="2"/>
      <c r="F443" s="3" t="s">
        <v>425</v>
      </c>
      <c r="G443" s="3" t="s">
        <v>404</v>
      </c>
      <c r="H443" s="8"/>
      <c r="I443" s="8"/>
      <c r="J443" s="10"/>
      <c r="K443" s="10"/>
      <c r="L443" s="10"/>
      <c r="M443" s="10"/>
      <c r="N443" s="10"/>
      <c r="O443" s="10">
        <f t="shared" si="5"/>
        <v>0</v>
      </c>
    </row>
    <row r="444" spans="1:15" ht="15.75">
      <c r="A444" s="4"/>
      <c r="B444" s="4"/>
      <c r="C444" s="4"/>
      <c r="D444" s="4"/>
      <c r="E444" s="4"/>
      <c r="F444" s="5" t="s">
        <v>428</v>
      </c>
      <c r="G444" s="5" t="s">
        <v>402</v>
      </c>
      <c r="H444" s="8"/>
      <c r="I444" s="8"/>
      <c r="J444" s="10"/>
      <c r="K444" s="10"/>
      <c r="L444" s="10"/>
      <c r="M444" s="10"/>
      <c r="N444" s="10"/>
      <c r="O444" s="10">
        <f t="shared" si="5"/>
        <v>0</v>
      </c>
    </row>
    <row r="445" spans="1:15" ht="15.75">
      <c r="A445" s="4"/>
      <c r="B445" s="4"/>
      <c r="C445" s="4"/>
      <c r="D445" s="4"/>
      <c r="E445" s="4"/>
      <c r="F445" s="5" t="s">
        <v>426</v>
      </c>
      <c r="G445" s="5" t="s">
        <v>414</v>
      </c>
      <c r="H445" s="8"/>
      <c r="I445" s="8"/>
      <c r="J445" s="10"/>
      <c r="K445" s="10"/>
      <c r="L445" s="10"/>
      <c r="M445" s="10"/>
      <c r="N445" s="10"/>
      <c r="O445" s="10">
        <f t="shared" si="5"/>
        <v>0</v>
      </c>
    </row>
    <row r="446" spans="1:15" ht="15.75">
      <c r="A446" s="2"/>
      <c r="B446" s="2"/>
      <c r="C446" s="2"/>
      <c r="D446" s="2"/>
      <c r="E446" s="2"/>
      <c r="F446" s="3" t="s">
        <v>427</v>
      </c>
      <c r="G446" s="3" t="s">
        <v>412</v>
      </c>
      <c r="H446" s="8"/>
      <c r="I446" s="8"/>
      <c r="J446" s="10"/>
      <c r="K446" s="10"/>
      <c r="L446" s="10"/>
      <c r="M446" s="10"/>
      <c r="N446" s="10"/>
      <c r="O446" s="10">
        <f t="shared" si="5"/>
        <v>0</v>
      </c>
    </row>
    <row r="447" spans="1:15" ht="15.75">
      <c r="A447" s="4"/>
      <c r="B447" s="4"/>
      <c r="C447" s="4"/>
      <c r="D447" s="4"/>
      <c r="E447" s="4"/>
      <c r="F447" s="5" t="s">
        <v>618</v>
      </c>
      <c r="G447" s="5" t="s">
        <v>404</v>
      </c>
      <c r="H447" s="8"/>
      <c r="I447" s="8"/>
      <c r="J447" s="10"/>
      <c r="K447" s="10"/>
      <c r="L447" s="10"/>
      <c r="M447" s="10"/>
      <c r="N447" s="10"/>
      <c r="O447" s="10">
        <f t="shared" si="5"/>
        <v>0</v>
      </c>
    </row>
    <row r="448" spans="1:15" ht="15.75">
      <c r="A448" s="2"/>
      <c r="B448" s="2"/>
      <c r="C448" s="2"/>
      <c r="D448" s="2"/>
      <c r="E448" s="2"/>
      <c r="F448" s="3" t="s">
        <v>619</v>
      </c>
      <c r="G448" s="3" t="s">
        <v>404</v>
      </c>
      <c r="H448" s="8"/>
      <c r="I448" s="8"/>
      <c r="J448" s="10"/>
      <c r="K448" s="10"/>
      <c r="L448" s="10"/>
      <c r="M448" s="10"/>
      <c r="N448" s="10"/>
      <c r="O448" s="10">
        <f t="shared" si="5"/>
        <v>0</v>
      </c>
    </row>
    <row r="449" spans="1:15" ht="15.75">
      <c r="A449" s="4"/>
      <c r="B449" s="4"/>
      <c r="C449" s="4"/>
      <c r="D449" s="4"/>
      <c r="E449" s="4"/>
      <c r="F449" s="5" t="s">
        <v>620</v>
      </c>
      <c r="G449" s="5" t="s">
        <v>404</v>
      </c>
      <c r="H449" s="8"/>
      <c r="I449" s="8"/>
      <c r="J449" s="10"/>
      <c r="K449" s="10"/>
      <c r="L449" s="10"/>
      <c r="M449" s="10"/>
      <c r="N449" s="10"/>
      <c r="O449" s="10">
        <f t="shared" si="5"/>
        <v>0</v>
      </c>
    </row>
    <row r="450" spans="1:15" ht="15.75">
      <c r="A450" s="2"/>
      <c r="B450" s="2"/>
      <c r="C450" s="2"/>
      <c r="D450" s="2"/>
      <c r="E450" s="2"/>
      <c r="F450" s="3" t="s">
        <v>621</v>
      </c>
      <c r="G450" s="3" t="s">
        <v>404</v>
      </c>
      <c r="H450" s="8"/>
      <c r="I450" s="8"/>
      <c r="J450" s="10"/>
      <c r="K450" s="10"/>
      <c r="L450" s="10"/>
      <c r="M450" s="10"/>
      <c r="N450" s="10"/>
      <c r="O450" s="10">
        <f t="shared" si="5"/>
        <v>0</v>
      </c>
    </row>
    <row r="451" spans="1:15" ht="15.75">
      <c r="A451" s="2"/>
      <c r="B451" s="2"/>
      <c r="C451" s="2"/>
      <c r="D451" s="2"/>
      <c r="E451" s="2"/>
      <c r="F451" s="3" t="s">
        <v>623</v>
      </c>
      <c r="G451" s="3" t="s">
        <v>418</v>
      </c>
      <c r="H451" s="8"/>
      <c r="I451" s="8"/>
      <c r="J451" s="10"/>
      <c r="K451" s="10"/>
      <c r="L451" s="10"/>
      <c r="M451" s="10"/>
      <c r="N451" s="10"/>
      <c r="O451" s="10">
        <f t="shared" si="5"/>
        <v>0</v>
      </c>
    </row>
    <row r="452" spans="1:15" ht="15.75">
      <c r="A452" s="4"/>
      <c r="B452" s="4"/>
      <c r="C452" s="4"/>
      <c r="D452" s="4"/>
      <c r="E452" s="4"/>
      <c r="F452" s="5" t="s">
        <v>624</v>
      </c>
      <c r="G452" s="5" t="s">
        <v>402</v>
      </c>
      <c r="H452" s="8"/>
      <c r="I452" s="8"/>
      <c r="J452" s="10"/>
      <c r="K452" s="10"/>
      <c r="L452" s="10"/>
      <c r="M452" s="10"/>
      <c r="N452" s="10"/>
      <c r="O452" s="10">
        <f t="shared" si="5"/>
        <v>0</v>
      </c>
    </row>
    <row r="453" spans="1:15" ht="15.75">
      <c r="A453" s="4"/>
      <c r="B453" s="4"/>
      <c r="C453" s="4"/>
      <c r="D453" s="4"/>
      <c r="E453" s="4"/>
      <c r="F453" s="5" t="s">
        <v>622</v>
      </c>
      <c r="G453" s="5" t="s">
        <v>412</v>
      </c>
      <c r="H453" s="8"/>
      <c r="I453" s="8"/>
      <c r="J453" s="10"/>
      <c r="K453" s="10"/>
      <c r="L453" s="10"/>
      <c r="M453" s="10"/>
      <c r="N453" s="10"/>
      <c r="O453" s="10">
        <f t="shared" si="5"/>
        <v>0</v>
      </c>
    </row>
    <row r="454" spans="1:15" ht="15.75">
      <c r="A454" s="2"/>
      <c r="B454" s="2"/>
      <c r="C454" s="2"/>
      <c r="D454" s="2"/>
      <c r="E454" s="2"/>
      <c r="F454" s="3" t="s">
        <v>625</v>
      </c>
      <c r="G454" s="3" t="s">
        <v>404</v>
      </c>
      <c r="H454" s="8"/>
      <c r="I454" s="8"/>
      <c r="J454" s="10"/>
      <c r="K454" s="10"/>
      <c r="L454" s="10"/>
      <c r="M454" s="10"/>
      <c r="N454" s="10"/>
      <c r="O454" s="10">
        <f t="shared" si="5"/>
        <v>0</v>
      </c>
    </row>
    <row r="455" spans="1:15" ht="15.75">
      <c r="A455" s="4"/>
      <c r="B455" s="4"/>
      <c r="C455" s="4"/>
      <c r="D455" s="4"/>
      <c r="E455" s="4"/>
      <c r="F455" s="5" t="s">
        <v>626</v>
      </c>
      <c r="G455" s="5" t="s">
        <v>404</v>
      </c>
      <c r="H455" s="8"/>
      <c r="I455" s="8"/>
      <c r="J455" s="10"/>
      <c r="K455" s="10"/>
      <c r="L455" s="10"/>
      <c r="M455" s="10"/>
      <c r="N455" s="10"/>
      <c r="O455" s="10">
        <f t="shared" si="5"/>
        <v>0</v>
      </c>
    </row>
    <row r="456" spans="1:15" ht="15.75">
      <c r="A456" s="2"/>
      <c r="B456" s="2"/>
      <c r="C456" s="2"/>
      <c r="D456" s="2"/>
      <c r="E456" s="2"/>
      <c r="F456" s="3" t="s">
        <v>627</v>
      </c>
      <c r="G456" s="3" t="s">
        <v>404</v>
      </c>
      <c r="H456" s="8"/>
      <c r="I456" s="8"/>
      <c r="J456" s="10"/>
      <c r="K456" s="10"/>
      <c r="L456" s="10"/>
      <c r="M456" s="10"/>
      <c r="N456" s="10"/>
      <c r="O456" s="10">
        <f t="shared" si="5"/>
        <v>0</v>
      </c>
    </row>
    <row r="457" spans="1:15" ht="15.75">
      <c r="A457" s="4"/>
      <c r="B457" s="4"/>
      <c r="C457" s="4"/>
      <c r="D457" s="4"/>
      <c r="E457" s="4"/>
      <c r="F457" s="5" t="s">
        <v>628</v>
      </c>
      <c r="G457" s="5" t="s">
        <v>404</v>
      </c>
      <c r="H457" s="8"/>
      <c r="I457" s="8"/>
      <c r="J457" s="10"/>
      <c r="K457" s="10"/>
      <c r="L457" s="10"/>
      <c r="M457" s="10"/>
      <c r="N457" s="10"/>
      <c r="O457" s="10">
        <f t="shared" si="5"/>
        <v>0</v>
      </c>
    </row>
    <row r="458" spans="1:15" ht="15.75">
      <c r="A458" s="2"/>
      <c r="B458" s="2"/>
      <c r="C458" s="2"/>
      <c r="D458" s="2"/>
      <c r="E458" s="2"/>
      <c r="F458" s="3" t="s">
        <v>629</v>
      </c>
      <c r="G458" s="3" t="s">
        <v>404</v>
      </c>
      <c r="H458" s="8"/>
      <c r="I458" s="8"/>
      <c r="J458" s="10"/>
      <c r="K458" s="10"/>
      <c r="L458" s="10"/>
      <c r="M458" s="10"/>
      <c r="N458" s="10"/>
      <c r="O458" s="10">
        <f t="shared" si="5"/>
        <v>0</v>
      </c>
    </row>
    <row r="459" spans="1:15" ht="15.75">
      <c r="A459" s="2"/>
      <c r="B459" s="2"/>
      <c r="C459" s="2"/>
      <c r="D459" s="2"/>
      <c r="E459" s="2"/>
      <c r="F459" s="3" t="s">
        <v>631</v>
      </c>
      <c r="G459" s="3" t="s">
        <v>418</v>
      </c>
      <c r="H459" s="8"/>
      <c r="I459" s="8"/>
      <c r="J459" s="10"/>
      <c r="K459" s="10"/>
      <c r="L459" s="10"/>
      <c r="M459" s="10"/>
      <c r="N459" s="10"/>
      <c r="O459" s="10">
        <f t="shared" si="5"/>
        <v>0</v>
      </c>
    </row>
    <row r="460" spans="1:15" ht="15.75">
      <c r="A460" s="4"/>
      <c r="B460" s="4"/>
      <c r="C460" s="4"/>
      <c r="D460" s="4"/>
      <c r="E460" s="4"/>
      <c r="F460" s="5" t="s">
        <v>632</v>
      </c>
      <c r="G460" s="5" t="s">
        <v>418</v>
      </c>
      <c r="H460" s="8"/>
      <c r="I460" s="8"/>
      <c r="J460" s="10"/>
      <c r="K460" s="10"/>
      <c r="L460" s="10"/>
      <c r="M460" s="10"/>
      <c r="N460" s="10"/>
      <c r="O460" s="10">
        <f t="shared" si="5"/>
        <v>0</v>
      </c>
    </row>
    <row r="461" spans="1:15" ht="15.75">
      <c r="A461" s="2"/>
      <c r="B461" s="2"/>
      <c r="C461" s="2"/>
      <c r="D461" s="2"/>
      <c r="E461" s="2"/>
      <c r="F461" s="3" t="s">
        <v>633</v>
      </c>
      <c r="G461" s="3" t="s">
        <v>402</v>
      </c>
      <c r="H461" s="8"/>
      <c r="I461" s="8"/>
      <c r="J461" s="10"/>
      <c r="K461" s="10"/>
      <c r="L461" s="10"/>
      <c r="M461" s="10"/>
      <c r="N461" s="10"/>
      <c r="O461" s="10">
        <f t="shared" si="5"/>
        <v>0</v>
      </c>
    </row>
    <row r="462" spans="1:15" ht="15.75">
      <c r="A462" s="4"/>
      <c r="B462" s="4"/>
      <c r="C462" s="4"/>
      <c r="D462" s="4"/>
      <c r="E462" s="4"/>
      <c r="F462" s="5" t="s">
        <v>630</v>
      </c>
      <c r="G462" s="5" t="s">
        <v>412</v>
      </c>
      <c r="H462" s="8"/>
      <c r="I462" s="8"/>
      <c r="J462" s="10"/>
      <c r="K462" s="10"/>
      <c r="L462" s="10"/>
      <c r="M462" s="10"/>
      <c r="N462" s="10"/>
      <c r="O462" s="10">
        <f t="shared" si="5"/>
        <v>0</v>
      </c>
    </row>
    <row r="463" spans="1:15" ht="15.75">
      <c r="A463" s="4"/>
      <c r="B463" s="4"/>
      <c r="C463" s="4"/>
      <c r="D463" s="4"/>
      <c r="E463" s="4"/>
      <c r="F463" s="5" t="s">
        <v>634</v>
      </c>
      <c r="G463" s="5" t="s">
        <v>404</v>
      </c>
      <c r="H463" s="8"/>
      <c r="I463" s="8"/>
      <c r="J463" s="10"/>
      <c r="K463" s="10"/>
      <c r="L463" s="10"/>
      <c r="M463" s="10"/>
      <c r="N463" s="10"/>
      <c r="O463" s="10">
        <f t="shared" si="5"/>
        <v>0</v>
      </c>
    </row>
    <row r="464" spans="1:15" ht="15.75">
      <c r="A464" s="2"/>
      <c r="B464" s="2"/>
      <c r="C464" s="2"/>
      <c r="D464" s="2"/>
      <c r="E464" s="2"/>
      <c r="F464" s="3" t="s">
        <v>635</v>
      </c>
      <c r="G464" s="3" t="s">
        <v>404</v>
      </c>
      <c r="H464" s="8"/>
      <c r="I464" s="8"/>
      <c r="J464" s="10"/>
      <c r="K464" s="10"/>
      <c r="L464" s="10"/>
      <c r="M464" s="10"/>
      <c r="N464" s="10"/>
      <c r="O464" s="10">
        <f t="shared" si="5"/>
        <v>0</v>
      </c>
    </row>
    <row r="465" spans="1:15" ht="15.75">
      <c r="A465" s="4"/>
      <c r="B465" s="4"/>
      <c r="C465" s="4"/>
      <c r="D465" s="4"/>
      <c r="E465" s="4"/>
      <c r="F465" s="5" t="s">
        <v>636</v>
      </c>
      <c r="G465" s="5" t="s">
        <v>404</v>
      </c>
      <c r="H465" s="8"/>
      <c r="I465" s="8"/>
      <c r="J465" s="10"/>
      <c r="K465" s="10"/>
      <c r="L465" s="10"/>
      <c r="M465" s="10"/>
      <c r="N465" s="10"/>
      <c r="O465" s="10">
        <f t="shared" si="5"/>
        <v>0</v>
      </c>
    </row>
    <row r="466" spans="1:15" ht="15.75">
      <c r="A466" s="2"/>
      <c r="B466" s="2"/>
      <c r="C466" s="2"/>
      <c r="D466" s="2"/>
      <c r="E466" s="2"/>
      <c r="F466" s="3" t="s">
        <v>637</v>
      </c>
      <c r="G466" s="3" t="s">
        <v>404</v>
      </c>
      <c r="H466" s="8"/>
      <c r="I466" s="8"/>
      <c r="J466" s="10"/>
      <c r="K466" s="10"/>
      <c r="L466" s="10"/>
      <c r="M466" s="10"/>
      <c r="N466" s="10"/>
      <c r="O466" s="10">
        <f t="shared" si="5"/>
        <v>0</v>
      </c>
    </row>
    <row r="467" spans="1:15" ht="15.75">
      <c r="A467" s="2"/>
      <c r="B467" s="2"/>
      <c r="C467" s="2"/>
      <c r="D467" s="2"/>
      <c r="E467" s="2"/>
      <c r="F467" s="3" t="s">
        <v>639</v>
      </c>
      <c r="G467" s="3" t="s">
        <v>418</v>
      </c>
      <c r="H467" s="8"/>
      <c r="I467" s="8"/>
      <c r="J467" s="10"/>
      <c r="K467" s="10"/>
      <c r="L467" s="10"/>
      <c r="M467" s="10"/>
      <c r="N467" s="10"/>
      <c r="O467" s="10">
        <f t="shared" si="5"/>
        <v>0</v>
      </c>
    </row>
    <row r="468" spans="1:15" ht="15.75">
      <c r="A468" s="4"/>
      <c r="B468" s="4"/>
      <c r="C468" s="4"/>
      <c r="D468" s="4"/>
      <c r="E468" s="4"/>
      <c r="F468" s="5" t="s">
        <v>640</v>
      </c>
      <c r="G468" s="5" t="s">
        <v>418</v>
      </c>
      <c r="H468" s="8"/>
      <c r="I468" s="8"/>
      <c r="J468" s="10"/>
      <c r="K468" s="10"/>
      <c r="L468" s="10"/>
      <c r="M468" s="10"/>
      <c r="N468" s="10"/>
      <c r="O468" s="10">
        <f t="shared" si="5"/>
        <v>0</v>
      </c>
    </row>
    <row r="469" spans="1:15" ht="15.75">
      <c r="A469" s="2"/>
      <c r="B469" s="2"/>
      <c r="C469" s="2"/>
      <c r="D469" s="2"/>
      <c r="E469" s="2"/>
      <c r="F469" s="3" t="s">
        <v>641</v>
      </c>
      <c r="G469" s="3" t="s">
        <v>402</v>
      </c>
      <c r="H469" s="8"/>
      <c r="I469" s="8"/>
      <c r="J469" s="10"/>
      <c r="K469" s="10"/>
      <c r="L469" s="10"/>
      <c r="M469" s="10"/>
      <c r="N469" s="10"/>
      <c r="O469" s="10">
        <f t="shared" si="5"/>
        <v>0</v>
      </c>
    </row>
    <row r="470" spans="1:15" ht="15.75">
      <c r="A470" s="4"/>
      <c r="B470" s="4"/>
      <c r="C470" s="4"/>
      <c r="D470" s="4"/>
      <c r="E470" s="4"/>
      <c r="F470" s="5" t="s">
        <v>638</v>
      </c>
      <c r="G470" s="5" t="s">
        <v>412</v>
      </c>
      <c r="H470" s="8"/>
      <c r="I470" s="8"/>
      <c r="J470" s="10"/>
      <c r="K470" s="10"/>
      <c r="L470" s="10"/>
      <c r="M470" s="10"/>
      <c r="N470" s="10"/>
      <c r="O470" s="10">
        <f t="shared" si="5"/>
        <v>0</v>
      </c>
    </row>
    <row r="471" spans="1:15" ht="15.75">
      <c r="A471" s="2"/>
      <c r="B471" s="2"/>
      <c r="C471" s="2"/>
      <c r="D471" s="2"/>
      <c r="E471" s="2"/>
      <c r="F471" s="3" t="s">
        <v>650</v>
      </c>
      <c r="G471" s="3" t="s">
        <v>414</v>
      </c>
      <c r="H471" s="8"/>
      <c r="I471" s="8"/>
      <c r="J471" s="10"/>
      <c r="K471" s="10"/>
      <c r="L471" s="10"/>
      <c r="M471" s="10"/>
      <c r="N471" s="10"/>
      <c r="O471" s="10">
        <f t="shared" si="5"/>
        <v>0</v>
      </c>
    </row>
    <row r="472" spans="1:15" ht="15.75">
      <c r="A472" s="4"/>
      <c r="B472" s="4"/>
      <c r="C472" s="4"/>
      <c r="D472" s="4"/>
      <c r="E472" s="4"/>
      <c r="F472" s="5" t="s">
        <v>436</v>
      </c>
      <c r="G472" s="5" t="s">
        <v>437</v>
      </c>
      <c r="H472" s="8"/>
      <c r="I472" s="8"/>
      <c r="J472" s="10"/>
      <c r="K472" s="10"/>
      <c r="L472" s="10"/>
      <c r="M472" s="10"/>
      <c r="N472" s="10"/>
      <c r="O472" s="10">
        <f t="shared" si="5"/>
        <v>0</v>
      </c>
    </row>
    <row r="473" spans="1:15" ht="15.75">
      <c r="A473" s="4"/>
      <c r="B473" s="4"/>
      <c r="C473" s="4"/>
      <c r="D473" s="4"/>
      <c r="E473" s="4"/>
      <c r="F473" s="5" t="s">
        <v>590</v>
      </c>
      <c r="G473" s="5" t="s">
        <v>591</v>
      </c>
      <c r="H473" s="8"/>
      <c r="I473" s="8"/>
      <c r="J473" s="10"/>
      <c r="K473" s="10"/>
      <c r="L473" s="10"/>
      <c r="M473" s="10"/>
      <c r="N473" s="10"/>
      <c r="O473" s="10">
        <f t="shared" si="5"/>
        <v>0</v>
      </c>
    </row>
    <row r="474" spans="1:15" ht="15.75">
      <c r="A474" s="4"/>
      <c r="B474" s="4"/>
      <c r="C474" s="4"/>
      <c r="D474" s="4"/>
      <c r="E474" s="4"/>
      <c r="F474" s="5" t="s">
        <v>651</v>
      </c>
      <c r="G474" s="5" t="s">
        <v>414</v>
      </c>
      <c r="H474" s="8"/>
      <c r="I474" s="8"/>
      <c r="J474" s="10"/>
      <c r="K474" s="10"/>
      <c r="L474" s="10"/>
      <c r="M474" s="10"/>
      <c r="N474" s="10"/>
      <c r="O474" s="10">
        <f t="shared" si="5"/>
        <v>0</v>
      </c>
    </row>
  </sheetData>
  <protectedRanges>
    <protectedRange sqref="G204:G205" name="Range1_4"/>
    <protectedRange sqref="G206" name="Range1_5"/>
  </protectedRanges>
  <conditionalFormatting sqref="F66:F92">
    <cfRule type="duplicateValues" dxfId="19" priority="13"/>
  </conditionalFormatting>
  <conditionalFormatting sqref="F2:F65">
    <cfRule type="duplicateValues" dxfId="18" priority="14"/>
  </conditionalFormatting>
  <conditionalFormatting sqref="F108 F93:F106 F110:F113">
    <cfRule type="duplicateValues" dxfId="17" priority="11"/>
  </conditionalFormatting>
  <conditionalFormatting sqref="F114:F203">
    <cfRule type="duplicateValues" dxfId="16" priority="12"/>
  </conditionalFormatting>
  <conditionalFormatting sqref="F107">
    <cfRule type="duplicateValues" dxfId="15" priority="10"/>
  </conditionalFormatting>
  <conditionalFormatting sqref="F109">
    <cfRule type="duplicateValues" dxfId="14" priority="9"/>
  </conditionalFormatting>
  <conditionalFormatting sqref="F204:F222">
    <cfRule type="duplicateValues" dxfId="13" priority="8"/>
  </conditionalFormatting>
  <conditionalFormatting sqref="F223:F224">
    <cfRule type="duplicateValues" dxfId="12" priority="7"/>
  </conditionalFormatting>
  <conditionalFormatting sqref="F225:F228">
    <cfRule type="duplicateValues" dxfId="11" priority="6"/>
  </conditionalFormatting>
  <conditionalFormatting sqref="F229:F240">
    <cfRule type="duplicateValues" dxfId="10" priority="5"/>
  </conditionalFormatting>
  <conditionalFormatting sqref="F241:F242">
    <cfRule type="duplicateValues" dxfId="9" priority="4"/>
  </conditionalFormatting>
  <conditionalFormatting sqref="F243">
    <cfRule type="duplicateValues" dxfId="8" priority="3"/>
  </conditionalFormatting>
  <conditionalFormatting sqref="F394:F474">
    <cfRule type="duplicateValues" dxfId="7" priority="1"/>
  </conditionalFormatting>
  <conditionalFormatting sqref="F244:F393">
    <cfRule type="duplicateValues" dxfId="6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2"/>
  <sheetViews>
    <sheetView rightToLeft="1" zoomScale="110" zoomScaleNormal="110" workbookViewId="0">
      <selection activeCell="B14" sqref="B14"/>
    </sheetView>
  </sheetViews>
  <sheetFormatPr defaultRowHeight="15"/>
  <cols>
    <col min="1" max="1" width="28.75" style="54" customWidth="1"/>
    <col min="2" max="2" width="18" style="54" customWidth="1"/>
    <col min="3" max="3" width="13.75" style="54" customWidth="1"/>
    <col min="4" max="4" width="13.375" style="54" customWidth="1"/>
    <col min="5" max="5" width="10.875" bestFit="1" customWidth="1"/>
    <col min="10" max="10" width="10.875" bestFit="1" customWidth="1"/>
  </cols>
  <sheetData>
    <row r="1" spans="1:4" ht="18.75" customHeight="1">
      <c r="A1" s="55" t="s">
        <v>1462</v>
      </c>
      <c r="B1" s="55" t="s">
        <v>1463</v>
      </c>
      <c r="C1" s="55" t="s">
        <v>1402</v>
      </c>
      <c r="D1" s="55" t="s">
        <v>1464</v>
      </c>
    </row>
    <row r="2" spans="1:4" ht="15.75">
      <c r="A2" s="3" t="s">
        <v>657</v>
      </c>
      <c r="B2" s="8" t="s">
        <v>1391</v>
      </c>
      <c r="C2" s="2">
        <v>1</v>
      </c>
      <c r="D2" s="8">
        <v>8.4699999999999989</v>
      </c>
    </row>
    <row r="3" spans="1:4" ht="15.75">
      <c r="A3" s="5" t="s">
        <v>658</v>
      </c>
      <c r="B3" s="8" t="s">
        <v>1391</v>
      </c>
      <c r="C3" s="2">
        <v>2</v>
      </c>
      <c r="D3" s="8">
        <v>7.8840000000000003</v>
      </c>
    </row>
    <row r="4" spans="1:4" ht="15.75">
      <c r="A4" s="3" t="s">
        <v>659</v>
      </c>
      <c r="B4" s="8" t="s">
        <v>1391</v>
      </c>
      <c r="C4" s="2">
        <v>3</v>
      </c>
      <c r="D4" s="8">
        <v>7.6470000000000011</v>
      </c>
    </row>
    <row r="5" spans="1:4" ht="15.75">
      <c r="A5" s="5" t="s">
        <v>660</v>
      </c>
      <c r="B5" s="8" t="s">
        <v>1391</v>
      </c>
      <c r="C5" s="2">
        <v>4</v>
      </c>
      <c r="D5" s="8">
        <v>7.6470000000000011</v>
      </c>
    </row>
    <row r="6" spans="1:4" ht="15.75">
      <c r="A6" s="3" t="s">
        <v>661</v>
      </c>
      <c r="B6" s="8" t="s">
        <v>1391</v>
      </c>
      <c r="C6" s="2">
        <v>5</v>
      </c>
      <c r="D6" s="8">
        <v>7.6220000000000008</v>
      </c>
    </row>
    <row r="7" spans="1:4" ht="15.75">
      <c r="A7" s="5" t="s">
        <v>662</v>
      </c>
      <c r="B7" s="8" t="s">
        <v>1391</v>
      </c>
      <c r="C7" s="2">
        <v>6</v>
      </c>
      <c r="D7" s="8">
        <v>7.6220000000000008</v>
      </c>
    </row>
    <row r="8" spans="1:4" ht="15.75">
      <c r="A8" s="3" t="s">
        <v>663</v>
      </c>
      <c r="B8" s="8" t="s">
        <v>1391</v>
      </c>
      <c r="C8" s="2">
        <v>7</v>
      </c>
      <c r="D8" s="8">
        <v>7.452</v>
      </c>
    </row>
    <row r="9" spans="1:4" ht="15.75">
      <c r="A9" s="5" t="s">
        <v>664</v>
      </c>
      <c r="B9" s="8" t="s">
        <v>1391</v>
      </c>
      <c r="C9" s="2">
        <v>8</v>
      </c>
      <c r="D9" s="8">
        <v>7.452</v>
      </c>
    </row>
    <row r="10" spans="1:4" ht="15.75">
      <c r="A10" s="3" t="s">
        <v>665</v>
      </c>
      <c r="B10" s="8" t="s">
        <v>1391</v>
      </c>
      <c r="C10" s="2">
        <v>9</v>
      </c>
      <c r="D10" s="8">
        <v>7.3770000000000007</v>
      </c>
    </row>
    <row r="11" spans="1:4" ht="15.75">
      <c r="A11" s="5" t="s">
        <v>666</v>
      </c>
      <c r="B11" s="8" t="s">
        <v>1391</v>
      </c>
      <c r="C11" s="2">
        <v>10</v>
      </c>
      <c r="D11" s="8">
        <v>7.2520000000000007</v>
      </c>
    </row>
    <row r="12" spans="1:4" ht="15.75">
      <c r="A12" s="3" t="s">
        <v>667</v>
      </c>
      <c r="B12" s="8" t="s">
        <v>1391</v>
      </c>
      <c r="C12" s="2">
        <v>11</v>
      </c>
      <c r="D12" s="8">
        <v>7.2520000000000007</v>
      </c>
    </row>
    <row r="13" spans="1:4" ht="15.75">
      <c r="A13" s="5" t="s">
        <v>668</v>
      </c>
      <c r="B13" s="8" t="s">
        <v>1391</v>
      </c>
      <c r="C13" s="2">
        <v>12</v>
      </c>
      <c r="D13" s="8">
        <v>7.152000000000001</v>
      </c>
    </row>
    <row r="14" spans="1:4" ht="15.75">
      <c r="A14" s="3" t="s">
        <v>669</v>
      </c>
      <c r="B14" s="8" t="s">
        <v>1391</v>
      </c>
      <c r="C14" s="2">
        <v>13</v>
      </c>
      <c r="D14" s="8">
        <v>6.9480000000000004</v>
      </c>
    </row>
    <row r="15" spans="1:4" ht="15.75">
      <c r="A15" s="5" t="s">
        <v>670</v>
      </c>
      <c r="B15" s="8" t="s">
        <v>1391</v>
      </c>
      <c r="C15" s="2">
        <v>14</v>
      </c>
      <c r="D15" s="8">
        <v>6.9260000000000002</v>
      </c>
    </row>
    <row r="16" spans="1:4" ht="15.75">
      <c r="A16" s="3" t="s">
        <v>473</v>
      </c>
      <c r="B16" s="8" t="s">
        <v>1391</v>
      </c>
      <c r="C16" s="2">
        <v>15</v>
      </c>
      <c r="D16" s="8">
        <v>6.8880000000000008</v>
      </c>
    </row>
    <row r="17" spans="1:4" ht="15.75">
      <c r="A17" s="5" t="s">
        <v>474</v>
      </c>
      <c r="B17" s="8" t="s">
        <v>1391</v>
      </c>
      <c r="C17" s="2">
        <v>16</v>
      </c>
      <c r="D17" s="8">
        <v>6.8880000000000008</v>
      </c>
    </row>
    <row r="18" spans="1:4" ht="15.75">
      <c r="A18" s="3" t="s">
        <v>475</v>
      </c>
      <c r="B18" s="8" t="s">
        <v>1391</v>
      </c>
      <c r="C18" s="2">
        <v>17</v>
      </c>
      <c r="D18" s="8">
        <v>6.8880000000000008</v>
      </c>
    </row>
    <row r="19" spans="1:4" ht="15.75">
      <c r="A19" s="5" t="s">
        <v>476</v>
      </c>
      <c r="B19" s="8" t="s">
        <v>1391</v>
      </c>
      <c r="C19" s="2">
        <v>18</v>
      </c>
      <c r="D19" s="8">
        <v>6.8880000000000008</v>
      </c>
    </row>
    <row r="20" spans="1:4" ht="15.75">
      <c r="A20" s="3" t="s">
        <v>477</v>
      </c>
      <c r="B20" s="8" t="s">
        <v>1391</v>
      </c>
      <c r="C20" s="2">
        <v>19</v>
      </c>
      <c r="D20" s="8">
        <v>6.8880000000000008</v>
      </c>
    </row>
    <row r="21" spans="1:4" ht="15.75">
      <c r="A21" s="5" t="s">
        <v>478</v>
      </c>
      <c r="B21" s="8" t="s">
        <v>1391</v>
      </c>
      <c r="C21" s="2">
        <v>20</v>
      </c>
      <c r="D21" s="8">
        <v>6.8880000000000008</v>
      </c>
    </row>
    <row r="22" spans="1:4" ht="15.75">
      <c r="A22" s="3" t="s">
        <v>479</v>
      </c>
      <c r="B22" s="8" t="s">
        <v>1391</v>
      </c>
      <c r="C22" s="2">
        <v>21</v>
      </c>
      <c r="D22" s="8">
        <v>6.8880000000000008</v>
      </c>
    </row>
    <row r="23" spans="1:4" ht="15.75">
      <c r="A23" s="5" t="s">
        <v>671</v>
      </c>
      <c r="B23" s="8" t="s">
        <v>1391</v>
      </c>
      <c r="C23" s="2">
        <v>22</v>
      </c>
      <c r="D23" s="8">
        <v>6.8629999999999995</v>
      </c>
    </row>
    <row r="24" spans="1:4" ht="15.75">
      <c r="A24" s="3" t="s">
        <v>672</v>
      </c>
      <c r="B24" s="8" t="s">
        <v>1391</v>
      </c>
      <c r="C24" s="2">
        <v>23</v>
      </c>
      <c r="D24" s="8">
        <v>6.8629999999999995</v>
      </c>
    </row>
    <row r="25" spans="1:4" ht="15.75">
      <c r="A25" s="5" t="s">
        <v>673</v>
      </c>
      <c r="B25" s="8" t="s">
        <v>1391</v>
      </c>
      <c r="C25" s="2">
        <v>24</v>
      </c>
      <c r="D25" s="8">
        <v>6.7299999999999995</v>
      </c>
    </row>
    <row r="26" spans="1:4" ht="15.75">
      <c r="A26" s="3" t="s">
        <v>674</v>
      </c>
      <c r="B26" s="8" t="s">
        <v>1391</v>
      </c>
      <c r="C26" s="2">
        <v>25</v>
      </c>
      <c r="D26" s="8">
        <v>6.4820000000000002</v>
      </c>
    </row>
    <row r="27" spans="1:4" ht="15.75">
      <c r="A27" s="5" t="s">
        <v>675</v>
      </c>
      <c r="B27" s="8" t="s">
        <v>1391</v>
      </c>
      <c r="C27" s="2">
        <v>26</v>
      </c>
      <c r="D27" s="8">
        <v>6.4820000000000002</v>
      </c>
    </row>
    <row r="28" spans="1:4" ht="15.75">
      <c r="A28" s="3" t="s">
        <v>676</v>
      </c>
      <c r="B28" s="8" t="s">
        <v>1391</v>
      </c>
      <c r="C28" s="2">
        <v>27</v>
      </c>
      <c r="D28" s="8">
        <v>6.4009999999999998</v>
      </c>
    </row>
    <row r="29" spans="1:4" ht="15.75">
      <c r="A29" s="5" t="s">
        <v>677</v>
      </c>
      <c r="B29" s="8" t="s">
        <v>1391</v>
      </c>
      <c r="C29" s="2">
        <v>28</v>
      </c>
      <c r="D29" s="8">
        <v>6.3850000000000007</v>
      </c>
    </row>
    <row r="30" spans="1:4" ht="15.75">
      <c r="A30" s="3" t="s">
        <v>678</v>
      </c>
      <c r="B30" s="8" t="s">
        <v>1391</v>
      </c>
      <c r="C30" s="2">
        <v>29</v>
      </c>
      <c r="D30" s="8">
        <v>6.3719999999999999</v>
      </c>
    </row>
    <row r="31" spans="1:4" ht="15.75">
      <c r="A31" s="5" t="s">
        <v>679</v>
      </c>
      <c r="B31" s="8" t="s">
        <v>1391</v>
      </c>
      <c r="C31" s="2">
        <v>30</v>
      </c>
      <c r="D31" s="8">
        <v>6.3719999999999999</v>
      </c>
    </row>
    <row r="32" spans="1:4" ht="15.75">
      <c r="A32" s="3" t="s">
        <v>680</v>
      </c>
      <c r="B32" s="8" t="s">
        <v>1391</v>
      </c>
      <c r="C32" s="2">
        <v>31</v>
      </c>
      <c r="D32" s="8">
        <v>6.3719999999999999</v>
      </c>
    </row>
    <row r="33" spans="1:4" ht="15.75">
      <c r="A33" s="5" t="s">
        <v>681</v>
      </c>
      <c r="B33" s="8" t="s">
        <v>1391</v>
      </c>
      <c r="C33" s="2">
        <v>32</v>
      </c>
      <c r="D33" s="8">
        <v>6.3220000000000001</v>
      </c>
    </row>
    <row r="34" spans="1:4" ht="15.75">
      <c r="A34" s="3" t="s">
        <v>272</v>
      </c>
      <c r="B34" s="8" t="s">
        <v>1391</v>
      </c>
      <c r="C34" s="2">
        <v>33</v>
      </c>
      <c r="D34" s="8">
        <v>6.3200000000000012</v>
      </c>
    </row>
    <row r="35" spans="1:4" ht="15.75">
      <c r="A35" s="5" t="s">
        <v>271</v>
      </c>
      <c r="B35" s="8" t="s">
        <v>1391</v>
      </c>
      <c r="C35" s="2">
        <v>34</v>
      </c>
      <c r="D35" s="8">
        <v>6.3200000000000012</v>
      </c>
    </row>
    <row r="36" spans="1:4" ht="15.75">
      <c r="A36" s="3" t="s">
        <v>682</v>
      </c>
      <c r="B36" s="8" t="s">
        <v>1391</v>
      </c>
      <c r="C36" s="2">
        <v>35</v>
      </c>
      <c r="D36" s="8">
        <v>6.3079999999999998</v>
      </c>
    </row>
    <row r="37" spans="1:4" ht="15.75">
      <c r="A37" s="5" t="s">
        <v>683</v>
      </c>
      <c r="B37" s="8" t="s">
        <v>1391</v>
      </c>
      <c r="C37" s="2">
        <v>36</v>
      </c>
      <c r="D37" s="8">
        <v>6.3079999999999998</v>
      </c>
    </row>
    <row r="38" spans="1:4" ht="15.75">
      <c r="A38" s="3" t="s">
        <v>401</v>
      </c>
      <c r="B38" s="8" t="s">
        <v>1391</v>
      </c>
      <c r="C38" s="2">
        <v>37</v>
      </c>
      <c r="D38" s="8">
        <v>6.28</v>
      </c>
    </row>
    <row r="39" spans="1:4" ht="15.75">
      <c r="A39" s="5" t="s">
        <v>428</v>
      </c>
      <c r="B39" s="8" t="s">
        <v>1391</v>
      </c>
      <c r="C39" s="2">
        <v>38</v>
      </c>
      <c r="D39" s="8">
        <v>6.28</v>
      </c>
    </row>
    <row r="40" spans="1:4" ht="15.75">
      <c r="A40" s="3" t="s">
        <v>443</v>
      </c>
      <c r="B40" s="8" t="s">
        <v>1391</v>
      </c>
      <c r="C40" s="2">
        <v>39</v>
      </c>
      <c r="D40" s="8">
        <v>6.28</v>
      </c>
    </row>
    <row r="41" spans="1:4" ht="15.75">
      <c r="A41" s="5" t="s">
        <v>581</v>
      </c>
      <c r="B41" s="8" t="s">
        <v>1391</v>
      </c>
      <c r="C41" s="2">
        <v>40</v>
      </c>
      <c r="D41" s="8">
        <v>6.28</v>
      </c>
    </row>
    <row r="42" spans="1:4" ht="15.75">
      <c r="A42" s="3" t="s">
        <v>684</v>
      </c>
      <c r="B42" s="8" t="s">
        <v>1391</v>
      </c>
      <c r="C42" s="2">
        <v>41</v>
      </c>
      <c r="D42" s="8">
        <v>6.270999999999999</v>
      </c>
    </row>
    <row r="43" spans="1:4" ht="15.75">
      <c r="A43" s="5" t="s">
        <v>685</v>
      </c>
      <c r="B43" s="8" t="s">
        <v>1391</v>
      </c>
      <c r="C43" s="2">
        <v>42</v>
      </c>
      <c r="D43" s="8">
        <v>6.270999999999999</v>
      </c>
    </row>
    <row r="44" spans="1:4" ht="15.75">
      <c r="A44" s="3" t="s">
        <v>686</v>
      </c>
      <c r="B44" s="8" t="s">
        <v>1391</v>
      </c>
      <c r="C44" s="2">
        <v>43</v>
      </c>
      <c r="D44" s="8">
        <v>6.2330000000000005</v>
      </c>
    </row>
    <row r="45" spans="1:4" ht="15.75">
      <c r="A45" s="5" t="s">
        <v>687</v>
      </c>
      <c r="B45" s="8" t="s">
        <v>1391</v>
      </c>
      <c r="C45" s="2">
        <v>44</v>
      </c>
      <c r="D45" s="8">
        <v>6.2330000000000005</v>
      </c>
    </row>
    <row r="46" spans="1:4" ht="15.75">
      <c r="A46" s="3" t="s">
        <v>688</v>
      </c>
      <c r="B46" s="8" t="s">
        <v>1391</v>
      </c>
      <c r="C46" s="2">
        <v>45</v>
      </c>
      <c r="D46" s="8">
        <v>6.2330000000000005</v>
      </c>
    </row>
    <row r="47" spans="1:4" ht="15.75">
      <c r="A47" s="5" t="s">
        <v>689</v>
      </c>
      <c r="B47" s="8" t="s">
        <v>1391</v>
      </c>
      <c r="C47" s="2">
        <v>46</v>
      </c>
      <c r="D47" s="8">
        <v>6.2080000000000002</v>
      </c>
    </row>
    <row r="48" spans="1:4" ht="15.75">
      <c r="A48" s="3" t="s">
        <v>690</v>
      </c>
      <c r="B48" s="8" t="s">
        <v>1391</v>
      </c>
      <c r="C48" s="2">
        <v>47</v>
      </c>
      <c r="D48" s="8">
        <v>6.2080000000000002</v>
      </c>
    </row>
    <row r="49" spans="1:4" ht="15.75">
      <c r="A49" s="5" t="s">
        <v>691</v>
      </c>
      <c r="B49" s="8" t="s">
        <v>1391</v>
      </c>
      <c r="C49" s="2">
        <v>48</v>
      </c>
      <c r="D49" s="8">
        <v>6.194</v>
      </c>
    </row>
    <row r="50" spans="1:4" ht="15.75">
      <c r="A50" s="3" t="s">
        <v>692</v>
      </c>
      <c r="B50" s="8" t="s">
        <v>1391</v>
      </c>
      <c r="C50" s="2">
        <v>49</v>
      </c>
      <c r="D50" s="8">
        <v>6.1519999999999992</v>
      </c>
    </row>
    <row r="51" spans="1:4" ht="15.75">
      <c r="A51" s="5" t="s">
        <v>693</v>
      </c>
      <c r="B51" s="8" t="s">
        <v>1391</v>
      </c>
      <c r="C51" s="2">
        <v>50</v>
      </c>
      <c r="D51" s="8">
        <v>6.077</v>
      </c>
    </row>
    <row r="52" spans="1:4" ht="15.75">
      <c r="A52" s="3" t="s">
        <v>694</v>
      </c>
      <c r="B52" s="8" t="s">
        <v>1391</v>
      </c>
      <c r="C52" s="2">
        <v>51</v>
      </c>
      <c r="D52" s="8">
        <v>6.0440000000000005</v>
      </c>
    </row>
    <row r="53" spans="1:4" ht="15.75">
      <c r="A53" s="5" t="s">
        <v>403</v>
      </c>
      <c r="B53" s="8" t="s">
        <v>1391</v>
      </c>
      <c r="C53" s="2">
        <v>52</v>
      </c>
      <c r="D53" s="8">
        <v>6.0150000000000006</v>
      </c>
    </row>
    <row r="54" spans="1:4" ht="15.75">
      <c r="A54" s="3" t="s">
        <v>695</v>
      </c>
      <c r="B54" s="8" t="s">
        <v>1391</v>
      </c>
      <c r="C54" s="2">
        <v>53</v>
      </c>
      <c r="D54" s="8">
        <v>5.9690000000000003</v>
      </c>
    </row>
    <row r="55" spans="1:4" ht="15.75">
      <c r="A55" s="5" t="s">
        <v>696</v>
      </c>
      <c r="B55" s="8" t="s">
        <v>1391</v>
      </c>
      <c r="C55" s="2">
        <v>54</v>
      </c>
      <c r="D55" s="8">
        <v>5.9260000000000002</v>
      </c>
    </row>
    <row r="56" spans="1:4" ht="15.75">
      <c r="A56" s="3" t="s">
        <v>697</v>
      </c>
      <c r="B56" s="8" t="s">
        <v>1391</v>
      </c>
      <c r="C56" s="2">
        <v>55</v>
      </c>
      <c r="D56" s="8">
        <v>5.9160000000000004</v>
      </c>
    </row>
    <row r="57" spans="1:4" ht="15.75">
      <c r="A57" s="5" t="s">
        <v>698</v>
      </c>
      <c r="B57" s="8" t="s">
        <v>1391</v>
      </c>
      <c r="C57" s="2">
        <v>56</v>
      </c>
      <c r="D57" s="8">
        <v>5.8940000000000001</v>
      </c>
    </row>
    <row r="58" spans="1:4" ht="15.75">
      <c r="A58" s="3" t="s">
        <v>699</v>
      </c>
      <c r="B58" s="8" t="s">
        <v>1391</v>
      </c>
      <c r="C58" s="2">
        <v>57</v>
      </c>
      <c r="D58" s="8">
        <v>5.8440000000000003</v>
      </c>
    </row>
    <row r="59" spans="1:4" ht="15.75">
      <c r="A59" s="5" t="s">
        <v>700</v>
      </c>
      <c r="B59" s="8" t="s">
        <v>1391</v>
      </c>
      <c r="C59" s="2">
        <v>58</v>
      </c>
      <c r="D59" s="8">
        <v>5.8440000000000003</v>
      </c>
    </row>
    <row r="60" spans="1:4" ht="15.75">
      <c r="A60" s="3" t="s">
        <v>701</v>
      </c>
      <c r="B60" s="8" t="s">
        <v>1391</v>
      </c>
      <c r="C60" s="2">
        <v>59</v>
      </c>
      <c r="D60" s="8">
        <v>5.8440000000000003</v>
      </c>
    </row>
    <row r="61" spans="1:4" ht="15.75">
      <c r="A61" s="5" t="s">
        <v>702</v>
      </c>
      <c r="B61" s="8" t="s">
        <v>1391</v>
      </c>
      <c r="C61" s="2">
        <v>60</v>
      </c>
      <c r="D61" s="8">
        <v>5.8440000000000003</v>
      </c>
    </row>
    <row r="62" spans="1:4" ht="15.75">
      <c r="A62" s="3" t="s">
        <v>703</v>
      </c>
      <c r="B62" s="8" t="s">
        <v>1391</v>
      </c>
      <c r="C62" s="2">
        <v>61</v>
      </c>
      <c r="D62" s="8">
        <v>5.8260000000000005</v>
      </c>
    </row>
    <row r="63" spans="1:4" ht="15.75">
      <c r="A63" s="5" t="s">
        <v>704</v>
      </c>
      <c r="B63" s="8" t="s">
        <v>1391</v>
      </c>
      <c r="C63" s="2">
        <v>62</v>
      </c>
      <c r="D63" s="8">
        <v>5.8150000000000013</v>
      </c>
    </row>
    <row r="64" spans="1:4" ht="15.75">
      <c r="A64" s="3" t="s">
        <v>705</v>
      </c>
      <c r="B64" s="8" t="s">
        <v>1391</v>
      </c>
      <c r="C64" s="2">
        <v>63</v>
      </c>
      <c r="D64" s="8">
        <v>5.8150000000000013</v>
      </c>
    </row>
    <row r="65" spans="1:4" ht="15.75">
      <c r="A65" s="5" t="s">
        <v>706</v>
      </c>
      <c r="B65" s="8" t="s">
        <v>1391</v>
      </c>
      <c r="C65" s="2">
        <v>64</v>
      </c>
      <c r="D65" s="8">
        <v>5.8150000000000013</v>
      </c>
    </row>
    <row r="66" spans="1:4" ht="15.75">
      <c r="A66" s="3" t="s">
        <v>707</v>
      </c>
      <c r="B66" s="8" t="s">
        <v>1391</v>
      </c>
      <c r="C66" s="2">
        <v>65</v>
      </c>
      <c r="D66" s="8">
        <v>5.8070000000000004</v>
      </c>
    </row>
    <row r="67" spans="1:4" ht="15.75">
      <c r="A67" s="5" t="s">
        <v>411</v>
      </c>
      <c r="B67" s="8" t="s">
        <v>1391</v>
      </c>
      <c r="C67" s="2">
        <v>66</v>
      </c>
      <c r="D67" s="8">
        <v>5.7810000000000006</v>
      </c>
    </row>
    <row r="68" spans="1:4" ht="15.75">
      <c r="A68" s="3" t="s">
        <v>708</v>
      </c>
      <c r="B68" s="8" t="s">
        <v>1391</v>
      </c>
      <c r="C68" s="2">
        <v>67</v>
      </c>
      <c r="D68" s="8">
        <v>5.7460000000000004</v>
      </c>
    </row>
    <row r="69" spans="1:4" ht="15.75">
      <c r="A69" s="5" t="s">
        <v>709</v>
      </c>
      <c r="B69" s="8" t="s">
        <v>1391</v>
      </c>
      <c r="C69" s="2">
        <v>68</v>
      </c>
      <c r="D69" s="8">
        <v>5.7150000000000007</v>
      </c>
    </row>
    <row r="70" spans="1:4" ht="15.75">
      <c r="A70" s="3" t="s">
        <v>710</v>
      </c>
      <c r="B70" s="8" t="s">
        <v>1391</v>
      </c>
      <c r="C70" s="2">
        <v>69</v>
      </c>
      <c r="D70" s="8">
        <v>5.7150000000000007</v>
      </c>
    </row>
    <row r="71" spans="1:4" ht="15.75">
      <c r="A71" s="5" t="s">
        <v>711</v>
      </c>
      <c r="B71" s="8" t="s">
        <v>1391</v>
      </c>
      <c r="C71" s="2">
        <v>70</v>
      </c>
      <c r="D71" s="8">
        <v>5.705000000000001</v>
      </c>
    </row>
    <row r="72" spans="1:4" ht="15.75">
      <c r="A72" s="3" t="s">
        <v>712</v>
      </c>
      <c r="B72" s="8" t="s">
        <v>1391</v>
      </c>
      <c r="C72" s="2">
        <v>71</v>
      </c>
      <c r="D72" s="8">
        <v>5.705000000000001</v>
      </c>
    </row>
    <row r="73" spans="1:4" ht="15.75">
      <c r="A73" s="5" t="s">
        <v>713</v>
      </c>
      <c r="B73" s="8" t="s">
        <v>1391</v>
      </c>
      <c r="C73" s="2">
        <v>72</v>
      </c>
      <c r="D73" s="8">
        <v>5.705000000000001</v>
      </c>
    </row>
    <row r="74" spans="1:4" ht="15.75">
      <c r="A74" s="3" t="s">
        <v>714</v>
      </c>
      <c r="B74" s="8" t="s">
        <v>1391</v>
      </c>
      <c r="C74" s="2">
        <v>73</v>
      </c>
      <c r="D74" s="8">
        <v>5.705000000000001</v>
      </c>
    </row>
    <row r="75" spans="1:4" ht="15.75">
      <c r="A75" s="5" t="s">
        <v>715</v>
      </c>
      <c r="B75" s="8" t="s">
        <v>1391</v>
      </c>
      <c r="C75" s="2">
        <v>74</v>
      </c>
      <c r="D75" s="8">
        <v>5.6929999999999996</v>
      </c>
    </row>
    <row r="76" spans="1:4" ht="15.75">
      <c r="A76" s="3" t="s">
        <v>716</v>
      </c>
      <c r="B76" s="8" t="s">
        <v>1391</v>
      </c>
      <c r="C76" s="2">
        <v>75</v>
      </c>
      <c r="D76" s="8">
        <v>5.6760000000000002</v>
      </c>
    </row>
    <row r="77" spans="1:4" ht="15.75">
      <c r="A77" s="5" t="s">
        <v>717</v>
      </c>
      <c r="B77" s="8" t="s">
        <v>1391</v>
      </c>
      <c r="C77" s="2">
        <v>76</v>
      </c>
      <c r="D77" s="8">
        <v>5.6760000000000002</v>
      </c>
    </row>
    <row r="78" spans="1:4" ht="15.75">
      <c r="A78" s="3" t="s">
        <v>718</v>
      </c>
      <c r="B78" s="8" t="s">
        <v>1391</v>
      </c>
      <c r="C78" s="2">
        <v>77</v>
      </c>
      <c r="D78" s="8">
        <v>5.6464999999999996</v>
      </c>
    </row>
    <row r="79" spans="1:4" ht="15.75">
      <c r="A79" s="5" t="s">
        <v>719</v>
      </c>
      <c r="B79" s="8" t="s">
        <v>1391</v>
      </c>
      <c r="C79" s="2">
        <v>78</v>
      </c>
      <c r="D79" s="8">
        <v>5.6464999999999996</v>
      </c>
    </row>
    <row r="80" spans="1:4" ht="15.75">
      <c r="A80" s="3" t="s">
        <v>720</v>
      </c>
      <c r="B80" s="8" t="s">
        <v>1391</v>
      </c>
      <c r="C80" s="2">
        <v>79</v>
      </c>
      <c r="D80" s="8">
        <v>5.6464999999999996</v>
      </c>
    </row>
    <row r="81" spans="1:4" ht="15.75">
      <c r="A81" s="5" t="s">
        <v>721</v>
      </c>
      <c r="B81" s="8" t="s">
        <v>1391</v>
      </c>
      <c r="C81" s="2">
        <v>80</v>
      </c>
      <c r="D81" s="8">
        <v>5.6464999999999996</v>
      </c>
    </row>
    <row r="82" spans="1:4" ht="15.75">
      <c r="A82" s="3" t="s">
        <v>722</v>
      </c>
      <c r="B82" s="8" t="s">
        <v>1391</v>
      </c>
      <c r="C82" s="2">
        <v>81</v>
      </c>
      <c r="D82" s="8">
        <v>5.6464999999999996</v>
      </c>
    </row>
    <row r="83" spans="1:4" ht="15.75">
      <c r="A83" s="5" t="s">
        <v>723</v>
      </c>
      <c r="B83" s="8" t="s">
        <v>1391</v>
      </c>
      <c r="C83" s="2">
        <v>82</v>
      </c>
      <c r="D83" s="8">
        <v>5.6464999999999996</v>
      </c>
    </row>
    <row r="84" spans="1:4" ht="15.75">
      <c r="A84" s="3" t="s">
        <v>1403</v>
      </c>
      <c r="B84" s="8" t="s">
        <v>1391</v>
      </c>
      <c r="C84" s="2">
        <v>83</v>
      </c>
      <c r="D84" s="8">
        <v>5.6464999999999996</v>
      </c>
    </row>
    <row r="85" spans="1:4" ht="15.75">
      <c r="A85" s="5" t="s">
        <v>724</v>
      </c>
      <c r="B85" s="8" t="s">
        <v>1391</v>
      </c>
      <c r="C85" s="2">
        <v>84</v>
      </c>
      <c r="D85" s="8">
        <v>5.6450000000000005</v>
      </c>
    </row>
    <row r="86" spans="1:4" ht="15.75">
      <c r="A86" s="5" t="s">
        <v>1371</v>
      </c>
      <c r="B86" s="8" t="s">
        <v>1391</v>
      </c>
      <c r="C86" s="2">
        <v>85</v>
      </c>
      <c r="D86" s="8">
        <v>5.6180000000000003</v>
      </c>
    </row>
    <row r="87" spans="1:4" ht="15.75">
      <c r="A87" s="3" t="s">
        <v>725</v>
      </c>
      <c r="B87" s="8" t="s">
        <v>1391</v>
      </c>
      <c r="C87" s="2">
        <v>86</v>
      </c>
      <c r="D87" s="8">
        <v>5.6180000000000003</v>
      </c>
    </row>
    <row r="88" spans="1:4" ht="15.75">
      <c r="A88" s="5" t="s">
        <v>726</v>
      </c>
      <c r="B88" s="8" t="s">
        <v>1391</v>
      </c>
      <c r="C88" s="2">
        <v>87</v>
      </c>
      <c r="D88" s="8">
        <v>5.6180000000000003</v>
      </c>
    </row>
    <row r="89" spans="1:4" ht="15.75">
      <c r="A89" s="3" t="s">
        <v>727</v>
      </c>
      <c r="B89" s="8" t="s">
        <v>1391</v>
      </c>
      <c r="C89" s="2">
        <v>88</v>
      </c>
      <c r="D89" s="8">
        <v>5.6180000000000003</v>
      </c>
    </row>
    <row r="90" spans="1:4" ht="15.75">
      <c r="A90" s="5" t="s">
        <v>728</v>
      </c>
      <c r="B90" s="8" t="s">
        <v>1391</v>
      </c>
      <c r="C90" s="2">
        <v>89</v>
      </c>
      <c r="D90" s="8">
        <v>5.6180000000000003</v>
      </c>
    </row>
    <row r="91" spans="1:4" ht="15.75">
      <c r="A91" s="3" t="s">
        <v>729</v>
      </c>
      <c r="B91" s="8" t="s">
        <v>1391</v>
      </c>
      <c r="C91" s="2">
        <v>90</v>
      </c>
      <c r="D91" s="8">
        <v>5.6180000000000003</v>
      </c>
    </row>
    <row r="92" spans="1:4" ht="15.75">
      <c r="A92" s="5" t="s">
        <v>730</v>
      </c>
      <c r="B92" s="8" t="s">
        <v>1391</v>
      </c>
      <c r="C92" s="2">
        <v>91</v>
      </c>
      <c r="D92" s="8">
        <v>5.5950000000000006</v>
      </c>
    </row>
    <row r="93" spans="1:4" ht="15.75">
      <c r="A93" s="3" t="s">
        <v>731</v>
      </c>
      <c r="B93" s="8" t="s">
        <v>1391</v>
      </c>
      <c r="C93" s="2">
        <v>92</v>
      </c>
      <c r="D93" s="8">
        <v>5.5950000000000006</v>
      </c>
    </row>
    <row r="94" spans="1:4" ht="15.75">
      <c r="A94" s="5" t="s">
        <v>491</v>
      </c>
      <c r="B94" s="8" t="s">
        <v>1391</v>
      </c>
      <c r="C94" s="2">
        <v>93</v>
      </c>
      <c r="D94" s="8">
        <v>5.5520000000000005</v>
      </c>
    </row>
    <row r="95" spans="1:4" ht="15.75">
      <c r="A95" s="3" t="s">
        <v>492</v>
      </c>
      <c r="B95" s="8" t="s">
        <v>1391</v>
      </c>
      <c r="C95" s="2">
        <v>94</v>
      </c>
      <c r="D95" s="8">
        <v>5.5520000000000005</v>
      </c>
    </row>
    <row r="96" spans="1:4" ht="15.75">
      <c r="A96" s="5" t="s">
        <v>493</v>
      </c>
      <c r="B96" s="8" t="s">
        <v>1391</v>
      </c>
      <c r="C96" s="2">
        <v>95</v>
      </c>
      <c r="D96" s="8">
        <v>5.5520000000000005</v>
      </c>
    </row>
    <row r="97" spans="1:4" ht="15.75">
      <c r="A97" s="3" t="s">
        <v>494</v>
      </c>
      <c r="B97" s="8" t="s">
        <v>1391</v>
      </c>
      <c r="C97" s="2">
        <v>96</v>
      </c>
      <c r="D97" s="8">
        <v>5.5520000000000005</v>
      </c>
    </row>
    <row r="98" spans="1:4" ht="15.75">
      <c r="A98" s="5" t="s">
        <v>495</v>
      </c>
      <c r="B98" s="8" t="s">
        <v>1391</v>
      </c>
      <c r="C98" s="2">
        <v>97</v>
      </c>
      <c r="D98" s="8">
        <v>5.5520000000000005</v>
      </c>
    </row>
    <row r="99" spans="1:4" ht="15.75">
      <c r="A99" s="3" t="s">
        <v>496</v>
      </c>
      <c r="B99" s="8" t="s">
        <v>1391</v>
      </c>
      <c r="C99" s="2">
        <v>98</v>
      </c>
      <c r="D99" s="8">
        <v>5.5520000000000005</v>
      </c>
    </row>
    <row r="100" spans="1:4" ht="15.75">
      <c r="A100" s="5" t="s">
        <v>497</v>
      </c>
      <c r="B100" s="8" t="s">
        <v>1391</v>
      </c>
      <c r="C100" s="2">
        <v>99</v>
      </c>
      <c r="D100" s="8">
        <v>5.5520000000000005</v>
      </c>
    </row>
    <row r="101" spans="1:4" ht="15.75">
      <c r="A101" s="3" t="s">
        <v>498</v>
      </c>
      <c r="B101" s="8" t="s">
        <v>1391</v>
      </c>
      <c r="C101" s="2">
        <v>100</v>
      </c>
      <c r="D101" s="8">
        <v>5.5520000000000005</v>
      </c>
    </row>
    <row r="102" spans="1:4" ht="15.75">
      <c r="A102" s="5" t="s">
        <v>499</v>
      </c>
      <c r="B102" s="8" t="s">
        <v>1391</v>
      </c>
      <c r="C102" s="2">
        <v>101</v>
      </c>
      <c r="D102" s="8">
        <v>5.5520000000000005</v>
      </c>
    </row>
    <row r="103" spans="1:4" ht="15.75">
      <c r="A103" s="3" t="s">
        <v>500</v>
      </c>
      <c r="B103" s="8" t="s">
        <v>1391</v>
      </c>
      <c r="C103" s="2">
        <v>102</v>
      </c>
      <c r="D103" s="8">
        <v>5.5520000000000005</v>
      </c>
    </row>
    <row r="104" spans="1:4" ht="15.75">
      <c r="A104" s="5" t="s">
        <v>501</v>
      </c>
      <c r="B104" s="8" t="s">
        <v>1391</v>
      </c>
      <c r="C104" s="2">
        <v>103</v>
      </c>
      <c r="D104" s="8">
        <v>5.5520000000000005</v>
      </c>
    </row>
    <row r="105" spans="1:4" ht="15.75">
      <c r="A105" s="3" t="s">
        <v>409</v>
      </c>
      <c r="B105" s="8" t="s">
        <v>1391</v>
      </c>
      <c r="C105" s="2">
        <v>104</v>
      </c>
      <c r="D105" s="8">
        <v>5.4830000000000005</v>
      </c>
    </row>
    <row r="106" spans="1:4" ht="15.75">
      <c r="A106" s="5" t="s">
        <v>732</v>
      </c>
      <c r="B106" s="8" t="s">
        <v>1391</v>
      </c>
      <c r="C106" s="2">
        <v>105</v>
      </c>
      <c r="D106" s="8">
        <v>5.4560000000000004</v>
      </c>
    </row>
    <row r="107" spans="1:4" ht="15.75">
      <c r="A107" s="3" t="s">
        <v>733</v>
      </c>
      <c r="B107" s="8" t="s">
        <v>1391</v>
      </c>
      <c r="C107" s="2">
        <v>106</v>
      </c>
      <c r="D107" s="8">
        <v>5.4560000000000004</v>
      </c>
    </row>
    <row r="108" spans="1:4" ht="15.75">
      <c r="A108" s="5" t="s">
        <v>734</v>
      </c>
      <c r="B108" s="8" t="s">
        <v>1391</v>
      </c>
      <c r="C108" s="2">
        <v>107</v>
      </c>
      <c r="D108" s="8">
        <v>5.4340000000000002</v>
      </c>
    </row>
    <row r="109" spans="1:4" ht="15.75">
      <c r="A109" s="3" t="s">
        <v>735</v>
      </c>
      <c r="B109" s="8" t="s">
        <v>1391</v>
      </c>
      <c r="C109" s="2">
        <v>108</v>
      </c>
      <c r="D109" s="8">
        <v>5.4340000000000002</v>
      </c>
    </row>
    <row r="110" spans="1:4" ht="15.75">
      <c r="A110" s="5" t="s">
        <v>736</v>
      </c>
      <c r="B110" s="8" t="s">
        <v>1391</v>
      </c>
      <c r="C110" s="2">
        <v>109</v>
      </c>
      <c r="D110" s="8">
        <v>5.4110000000000005</v>
      </c>
    </row>
    <row r="111" spans="1:4" ht="15.75">
      <c r="A111" s="3" t="s">
        <v>737</v>
      </c>
      <c r="B111" s="8" t="s">
        <v>1391</v>
      </c>
      <c r="C111" s="2">
        <v>110</v>
      </c>
      <c r="D111" s="8">
        <v>5.4110000000000005</v>
      </c>
    </row>
    <row r="112" spans="1:4" ht="15.75">
      <c r="A112" s="5" t="s">
        <v>738</v>
      </c>
      <c r="B112" s="8" t="s">
        <v>1391</v>
      </c>
      <c r="C112" s="2">
        <v>111</v>
      </c>
      <c r="D112" s="8">
        <v>5.4110000000000005</v>
      </c>
    </row>
    <row r="113" spans="1:4" ht="15.75">
      <c r="A113" s="3" t="s">
        <v>739</v>
      </c>
      <c r="B113" s="8" t="s">
        <v>1391</v>
      </c>
      <c r="C113" s="2">
        <v>112</v>
      </c>
      <c r="D113" s="8">
        <v>5.41</v>
      </c>
    </row>
    <row r="114" spans="1:4" ht="15.75">
      <c r="A114" s="5" t="s">
        <v>740</v>
      </c>
      <c r="B114" s="8" t="s">
        <v>1391</v>
      </c>
      <c r="C114" s="2">
        <v>113</v>
      </c>
      <c r="D114" s="8">
        <v>5.3760000000000003</v>
      </c>
    </row>
    <row r="115" spans="1:4" ht="15.75">
      <c r="A115" s="3" t="s">
        <v>741</v>
      </c>
      <c r="B115" s="8" t="s">
        <v>1391</v>
      </c>
      <c r="C115" s="2">
        <v>114</v>
      </c>
      <c r="D115" s="8">
        <v>5.3070000000000004</v>
      </c>
    </row>
    <row r="116" spans="1:4" ht="15.75">
      <c r="A116" s="5" t="s">
        <v>506</v>
      </c>
      <c r="B116" s="8" t="s">
        <v>1391</v>
      </c>
      <c r="C116" s="2">
        <v>115</v>
      </c>
      <c r="D116" s="8">
        <v>5.2910000000000004</v>
      </c>
    </row>
    <row r="117" spans="1:4" ht="15.75">
      <c r="A117" s="3" t="s">
        <v>507</v>
      </c>
      <c r="B117" s="8" t="s">
        <v>1391</v>
      </c>
      <c r="C117" s="2">
        <v>116</v>
      </c>
      <c r="D117" s="8">
        <v>5.2910000000000004</v>
      </c>
    </row>
    <row r="118" spans="1:4" ht="15.75">
      <c r="A118" s="5" t="s">
        <v>742</v>
      </c>
      <c r="B118" s="8" t="s">
        <v>1391</v>
      </c>
      <c r="C118" s="2">
        <v>117</v>
      </c>
      <c r="D118" s="8">
        <v>5.2290000000000001</v>
      </c>
    </row>
    <row r="119" spans="1:4" ht="15.75">
      <c r="A119" s="3" t="s">
        <v>743</v>
      </c>
      <c r="B119" s="8" t="s">
        <v>1391</v>
      </c>
      <c r="C119" s="2">
        <v>118</v>
      </c>
      <c r="D119" s="8">
        <v>5.2290000000000001</v>
      </c>
    </row>
    <row r="120" spans="1:4" ht="15.75">
      <c r="A120" s="5" t="s">
        <v>744</v>
      </c>
      <c r="B120" s="8" t="s">
        <v>1391</v>
      </c>
      <c r="C120" s="2">
        <v>119</v>
      </c>
      <c r="D120" s="8">
        <v>5.2240000000000011</v>
      </c>
    </row>
    <row r="121" spans="1:4" ht="15.75">
      <c r="A121" s="3" t="s">
        <v>745</v>
      </c>
      <c r="B121" s="8" t="s">
        <v>1391</v>
      </c>
      <c r="C121" s="2">
        <v>120</v>
      </c>
      <c r="D121" s="8">
        <v>5.2090000000000005</v>
      </c>
    </row>
    <row r="122" spans="1:4" ht="15.75">
      <c r="A122" s="5" t="s">
        <v>746</v>
      </c>
      <c r="B122" s="8" t="s">
        <v>1391</v>
      </c>
      <c r="C122" s="2">
        <v>121</v>
      </c>
      <c r="D122" s="8">
        <v>5.2</v>
      </c>
    </row>
    <row r="123" spans="1:4" ht="15.75">
      <c r="A123" s="3" t="s">
        <v>444</v>
      </c>
      <c r="B123" s="8" t="s">
        <v>1391</v>
      </c>
      <c r="C123" s="2">
        <v>122</v>
      </c>
      <c r="D123" s="8">
        <v>5.1980000000000004</v>
      </c>
    </row>
    <row r="124" spans="1:4" ht="15.75">
      <c r="A124" s="5" t="s">
        <v>445</v>
      </c>
      <c r="B124" s="8" t="s">
        <v>1391</v>
      </c>
      <c r="C124" s="2">
        <v>123</v>
      </c>
      <c r="D124" s="8">
        <v>5.1980000000000004</v>
      </c>
    </row>
    <row r="125" spans="1:4" ht="15.75">
      <c r="A125" s="3" t="s">
        <v>624</v>
      </c>
      <c r="B125" s="8" t="s">
        <v>1391</v>
      </c>
      <c r="C125" s="2">
        <v>124</v>
      </c>
      <c r="D125" s="8">
        <v>5.19</v>
      </c>
    </row>
    <row r="126" spans="1:4" ht="15.75">
      <c r="A126" s="5" t="s">
        <v>633</v>
      </c>
      <c r="B126" s="8" t="s">
        <v>1391</v>
      </c>
      <c r="C126" s="2">
        <v>125</v>
      </c>
      <c r="D126" s="8">
        <v>5.19</v>
      </c>
    </row>
    <row r="127" spans="1:4" ht="15.75">
      <c r="A127" s="3" t="s">
        <v>641</v>
      </c>
      <c r="B127" s="8" t="s">
        <v>1391</v>
      </c>
      <c r="C127" s="2">
        <v>126</v>
      </c>
      <c r="D127" s="8">
        <v>5.19</v>
      </c>
    </row>
    <row r="128" spans="1:4" ht="15.75">
      <c r="A128" s="5" t="s">
        <v>592</v>
      </c>
      <c r="B128" s="8" t="s">
        <v>1391</v>
      </c>
      <c r="C128" s="2">
        <v>127</v>
      </c>
      <c r="D128" s="8">
        <v>5.18</v>
      </c>
    </row>
    <row r="129" spans="1:4" ht="15.75">
      <c r="A129" s="3" t="s">
        <v>593</v>
      </c>
      <c r="B129" s="8" t="s">
        <v>1391</v>
      </c>
      <c r="C129" s="2">
        <v>128</v>
      </c>
      <c r="D129" s="8">
        <v>5.18</v>
      </c>
    </row>
    <row r="130" spans="1:4" ht="15.75">
      <c r="A130" s="5" t="s">
        <v>594</v>
      </c>
      <c r="B130" s="8" t="s">
        <v>1391</v>
      </c>
      <c r="C130" s="2">
        <v>129</v>
      </c>
      <c r="D130" s="8">
        <v>5.18</v>
      </c>
    </row>
    <row r="131" spans="1:4" ht="15.75">
      <c r="A131" s="3" t="s">
        <v>595</v>
      </c>
      <c r="B131" s="8" t="s">
        <v>1391</v>
      </c>
      <c r="C131" s="2">
        <v>130</v>
      </c>
      <c r="D131" s="8">
        <v>5.18</v>
      </c>
    </row>
    <row r="132" spans="1:4" ht="15.75">
      <c r="A132" s="5" t="s">
        <v>596</v>
      </c>
      <c r="B132" s="8" t="s">
        <v>1391</v>
      </c>
      <c r="C132" s="2">
        <v>131</v>
      </c>
      <c r="D132" s="8">
        <v>5.18</v>
      </c>
    </row>
    <row r="133" spans="1:4" ht="15.75">
      <c r="A133" s="3" t="s">
        <v>597</v>
      </c>
      <c r="B133" s="8" t="s">
        <v>1391</v>
      </c>
      <c r="C133" s="2">
        <v>132</v>
      </c>
      <c r="D133" s="8">
        <v>5.18</v>
      </c>
    </row>
    <row r="134" spans="1:4" ht="15.75">
      <c r="A134" s="5" t="s">
        <v>598</v>
      </c>
      <c r="B134" s="8" t="s">
        <v>1391</v>
      </c>
      <c r="C134" s="2">
        <v>133</v>
      </c>
      <c r="D134" s="8">
        <v>5.18</v>
      </c>
    </row>
    <row r="135" spans="1:4" ht="15.75">
      <c r="A135" s="3" t="s">
        <v>599</v>
      </c>
      <c r="B135" s="8" t="s">
        <v>1391</v>
      </c>
      <c r="C135" s="2">
        <v>134</v>
      </c>
      <c r="D135" s="8">
        <v>5.18</v>
      </c>
    </row>
    <row r="136" spans="1:4" ht="15.75">
      <c r="A136" s="5" t="s">
        <v>600</v>
      </c>
      <c r="B136" s="8" t="s">
        <v>1391</v>
      </c>
      <c r="C136" s="2">
        <v>135</v>
      </c>
      <c r="D136" s="8">
        <v>5.18</v>
      </c>
    </row>
    <row r="137" spans="1:4" ht="15.75">
      <c r="A137" s="3" t="s">
        <v>601</v>
      </c>
      <c r="B137" s="8" t="s">
        <v>1391</v>
      </c>
      <c r="C137" s="2">
        <v>136</v>
      </c>
      <c r="D137" s="8">
        <v>5.18</v>
      </c>
    </row>
    <row r="138" spans="1:4" ht="15.75">
      <c r="A138" s="5" t="s">
        <v>602</v>
      </c>
      <c r="B138" s="8" t="s">
        <v>1391</v>
      </c>
      <c r="C138" s="2">
        <v>137</v>
      </c>
      <c r="D138" s="8">
        <v>5.18</v>
      </c>
    </row>
    <row r="139" spans="1:4" ht="15.75">
      <c r="A139" s="3" t="s">
        <v>603</v>
      </c>
      <c r="B139" s="8" t="s">
        <v>1391</v>
      </c>
      <c r="C139" s="2">
        <v>138</v>
      </c>
      <c r="D139" s="8">
        <v>5.18</v>
      </c>
    </row>
    <row r="140" spans="1:4" ht="15.75">
      <c r="A140" s="5" t="s">
        <v>604</v>
      </c>
      <c r="B140" s="8" t="s">
        <v>1391</v>
      </c>
      <c r="C140" s="2">
        <v>139</v>
      </c>
      <c r="D140" s="8">
        <v>5.18</v>
      </c>
    </row>
    <row r="141" spans="1:4" ht="15.75">
      <c r="A141" s="3" t="s">
        <v>605</v>
      </c>
      <c r="B141" s="8" t="s">
        <v>1391</v>
      </c>
      <c r="C141" s="2">
        <v>140</v>
      </c>
      <c r="D141" s="8">
        <v>5.18</v>
      </c>
    </row>
    <row r="142" spans="1:4" ht="15.75">
      <c r="A142" s="5" t="s">
        <v>606</v>
      </c>
      <c r="B142" s="8" t="s">
        <v>1391</v>
      </c>
      <c r="C142" s="2">
        <v>141</v>
      </c>
      <c r="D142" s="8">
        <v>5.18</v>
      </c>
    </row>
    <row r="143" spans="1:4" ht="15.75">
      <c r="A143" s="3" t="s">
        <v>607</v>
      </c>
      <c r="B143" s="8" t="s">
        <v>1391</v>
      </c>
      <c r="C143" s="2">
        <v>142</v>
      </c>
      <c r="D143" s="8">
        <v>5.18</v>
      </c>
    </row>
    <row r="144" spans="1:4" ht="15.75">
      <c r="A144" s="5" t="s">
        <v>608</v>
      </c>
      <c r="B144" s="8" t="s">
        <v>1391</v>
      </c>
      <c r="C144" s="2">
        <v>143</v>
      </c>
      <c r="D144" s="8">
        <v>5.18</v>
      </c>
    </row>
    <row r="145" spans="1:4" ht="15.75">
      <c r="A145" s="3" t="s">
        <v>609</v>
      </c>
      <c r="B145" s="8" t="s">
        <v>1391</v>
      </c>
      <c r="C145" s="2">
        <v>144</v>
      </c>
      <c r="D145" s="8">
        <v>5.18</v>
      </c>
    </row>
    <row r="146" spans="1:4" ht="15.75">
      <c r="A146" s="5" t="s">
        <v>610</v>
      </c>
      <c r="B146" s="8" t="s">
        <v>1391</v>
      </c>
      <c r="C146" s="2">
        <v>145</v>
      </c>
      <c r="D146" s="8">
        <v>5.18</v>
      </c>
    </row>
    <row r="147" spans="1:4" ht="15.75">
      <c r="A147" s="3" t="s">
        <v>611</v>
      </c>
      <c r="B147" s="8" t="s">
        <v>1391</v>
      </c>
      <c r="C147" s="2">
        <v>146</v>
      </c>
      <c r="D147" s="8">
        <v>5.18</v>
      </c>
    </row>
    <row r="148" spans="1:4" ht="15.75">
      <c r="A148" s="5" t="s">
        <v>612</v>
      </c>
      <c r="B148" s="8" t="s">
        <v>1391</v>
      </c>
      <c r="C148" s="2">
        <v>147</v>
      </c>
      <c r="D148" s="8">
        <v>5.18</v>
      </c>
    </row>
    <row r="149" spans="1:4" ht="15.75">
      <c r="A149" s="3" t="s">
        <v>613</v>
      </c>
      <c r="B149" s="8" t="s">
        <v>1391</v>
      </c>
      <c r="C149" s="2">
        <v>148</v>
      </c>
      <c r="D149" s="8">
        <v>5.18</v>
      </c>
    </row>
    <row r="150" spans="1:4" ht="15.75">
      <c r="A150" s="5" t="s">
        <v>614</v>
      </c>
      <c r="B150" s="8" t="s">
        <v>1391</v>
      </c>
      <c r="C150" s="2">
        <v>149</v>
      </c>
      <c r="D150" s="8">
        <v>5.18</v>
      </c>
    </row>
    <row r="151" spans="1:4" ht="15.75">
      <c r="A151" s="3" t="s">
        <v>615</v>
      </c>
      <c r="B151" s="8" t="s">
        <v>1391</v>
      </c>
      <c r="C151" s="2">
        <v>150</v>
      </c>
      <c r="D151" s="8">
        <v>5.18</v>
      </c>
    </row>
    <row r="152" spans="1:4" ht="15.75">
      <c r="A152" s="5" t="s">
        <v>616</v>
      </c>
      <c r="B152" s="8" t="s">
        <v>1391</v>
      </c>
      <c r="C152" s="2">
        <v>151</v>
      </c>
      <c r="D152" s="8">
        <v>5.18</v>
      </c>
    </row>
    <row r="153" spans="1:4" ht="15.75">
      <c r="A153" s="3" t="s">
        <v>617</v>
      </c>
      <c r="B153" s="8" t="s">
        <v>1391</v>
      </c>
      <c r="C153" s="2">
        <v>152</v>
      </c>
      <c r="D153" s="8">
        <v>5.18</v>
      </c>
    </row>
    <row r="154" spans="1:4" ht="15.75">
      <c r="A154" s="5" t="s">
        <v>300</v>
      </c>
      <c r="B154" s="8" t="s">
        <v>1391</v>
      </c>
      <c r="C154" s="2">
        <v>153</v>
      </c>
      <c r="D154" s="8">
        <v>5.1609999999999996</v>
      </c>
    </row>
    <row r="155" spans="1:4" ht="15.75">
      <c r="A155" s="3" t="s">
        <v>299</v>
      </c>
      <c r="B155" s="8" t="s">
        <v>1391</v>
      </c>
      <c r="C155" s="2">
        <v>154</v>
      </c>
      <c r="D155" s="8">
        <v>5.1609999999999996</v>
      </c>
    </row>
    <row r="156" spans="1:4" ht="15.75">
      <c r="A156" s="5" t="s">
        <v>747</v>
      </c>
      <c r="B156" s="8" t="s">
        <v>1391</v>
      </c>
      <c r="C156" s="2">
        <v>155</v>
      </c>
      <c r="D156" s="8">
        <v>5.15</v>
      </c>
    </row>
    <row r="157" spans="1:4" ht="15.75">
      <c r="A157" s="3" t="s">
        <v>748</v>
      </c>
      <c r="B157" s="8" t="s">
        <v>1391</v>
      </c>
      <c r="C157" s="2">
        <v>156</v>
      </c>
      <c r="D157" s="8">
        <v>5.1390000000000002</v>
      </c>
    </row>
    <row r="158" spans="1:4" ht="15.75">
      <c r="A158" s="5" t="s">
        <v>280</v>
      </c>
      <c r="B158" s="8" t="s">
        <v>1391</v>
      </c>
      <c r="C158" s="2">
        <v>157</v>
      </c>
      <c r="D158" s="8">
        <v>5.1120000000000001</v>
      </c>
    </row>
    <row r="159" spans="1:4" ht="15.75">
      <c r="A159" s="3" t="s">
        <v>279</v>
      </c>
      <c r="B159" s="8" t="s">
        <v>1391</v>
      </c>
      <c r="C159" s="2">
        <v>158</v>
      </c>
      <c r="D159" s="8">
        <v>5.1120000000000001</v>
      </c>
    </row>
    <row r="160" spans="1:4" ht="15.75">
      <c r="A160" s="5" t="s">
        <v>278</v>
      </c>
      <c r="B160" s="8" t="s">
        <v>1391</v>
      </c>
      <c r="C160" s="2">
        <v>159</v>
      </c>
      <c r="D160" s="8">
        <v>5.1120000000000001</v>
      </c>
    </row>
    <row r="161" spans="1:4" ht="15.75">
      <c r="A161" s="3" t="s">
        <v>277</v>
      </c>
      <c r="B161" s="8" t="s">
        <v>1391</v>
      </c>
      <c r="C161" s="2">
        <v>160</v>
      </c>
      <c r="D161" s="8">
        <v>5.1120000000000001</v>
      </c>
    </row>
    <row r="162" spans="1:4" ht="15.75">
      <c r="A162" s="5" t="s">
        <v>749</v>
      </c>
      <c r="B162" s="8" t="s">
        <v>1391</v>
      </c>
      <c r="C162" s="2">
        <v>161</v>
      </c>
      <c r="D162" s="8">
        <v>5.1120000000000001</v>
      </c>
    </row>
    <row r="163" spans="1:4" ht="15.75">
      <c r="A163" s="3" t="s">
        <v>446</v>
      </c>
      <c r="B163" s="8" t="s">
        <v>1391</v>
      </c>
      <c r="C163" s="2">
        <v>162</v>
      </c>
      <c r="D163" s="8">
        <v>5.109</v>
      </c>
    </row>
    <row r="164" spans="1:4" ht="15.75">
      <c r="A164" s="5" t="s">
        <v>447</v>
      </c>
      <c r="B164" s="8" t="s">
        <v>1391</v>
      </c>
      <c r="C164" s="2">
        <v>163</v>
      </c>
      <c r="D164" s="8">
        <v>5.109</v>
      </c>
    </row>
    <row r="165" spans="1:4" ht="15.75">
      <c r="A165" s="3" t="s">
        <v>448</v>
      </c>
      <c r="B165" s="8" t="s">
        <v>1391</v>
      </c>
      <c r="C165" s="2">
        <v>164</v>
      </c>
      <c r="D165" s="8">
        <v>5.109</v>
      </c>
    </row>
    <row r="166" spans="1:4" ht="15.75">
      <c r="A166" s="5" t="s">
        <v>449</v>
      </c>
      <c r="B166" s="8" t="s">
        <v>1391</v>
      </c>
      <c r="C166" s="2">
        <v>165</v>
      </c>
      <c r="D166" s="8">
        <v>5.109</v>
      </c>
    </row>
    <row r="167" spans="1:4" ht="15.75">
      <c r="A167" s="3" t="s">
        <v>450</v>
      </c>
      <c r="B167" s="8" t="s">
        <v>1391</v>
      </c>
      <c r="C167" s="2">
        <v>166</v>
      </c>
      <c r="D167" s="8">
        <v>5.109</v>
      </c>
    </row>
    <row r="168" spans="1:4" ht="15.75">
      <c r="A168" s="5" t="s">
        <v>451</v>
      </c>
      <c r="B168" s="8" t="s">
        <v>1391</v>
      </c>
      <c r="C168" s="2">
        <v>167</v>
      </c>
      <c r="D168" s="8">
        <v>5.109</v>
      </c>
    </row>
    <row r="169" spans="1:4" ht="15.75">
      <c r="A169" s="3" t="s">
        <v>452</v>
      </c>
      <c r="B169" s="8" t="s">
        <v>1391</v>
      </c>
      <c r="C169" s="2">
        <v>168</v>
      </c>
      <c r="D169" s="8">
        <v>5.109</v>
      </c>
    </row>
    <row r="170" spans="1:4" ht="15.75">
      <c r="A170" s="5" t="s">
        <v>453</v>
      </c>
      <c r="B170" s="8" t="s">
        <v>1391</v>
      </c>
      <c r="C170" s="2">
        <v>169</v>
      </c>
      <c r="D170" s="8">
        <v>5.109</v>
      </c>
    </row>
    <row r="171" spans="1:4" ht="15.75">
      <c r="A171" s="3" t="s">
        <v>454</v>
      </c>
      <c r="B171" s="8" t="s">
        <v>1391</v>
      </c>
      <c r="C171" s="2">
        <v>170</v>
      </c>
      <c r="D171" s="8">
        <v>5.109</v>
      </c>
    </row>
    <row r="172" spans="1:4" ht="15.75">
      <c r="A172" s="5" t="s">
        <v>455</v>
      </c>
      <c r="B172" s="8" t="s">
        <v>1391</v>
      </c>
      <c r="C172" s="2">
        <v>171</v>
      </c>
      <c r="D172" s="8">
        <v>5.109</v>
      </c>
    </row>
    <row r="173" spans="1:4" ht="15.75">
      <c r="A173" s="3" t="s">
        <v>456</v>
      </c>
      <c r="B173" s="8" t="s">
        <v>1391</v>
      </c>
      <c r="C173" s="2">
        <v>172</v>
      </c>
      <c r="D173" s="8">
        <v>5.109</v>
      </c>
    </row>
    <row r="174" spans="1:4" ht="15.75">
      <c r="A174" s="5" t="s">
        <v>457</v>
      </c>
      <c r="B174" s="8" t="s">
        <v>1391</v>
      </c>
      <c r="C174" s="2">
        <v>173</v>
      </c>
      <c r="D174" s="8">
        <v>5.109</v>
      </c>
    </row>
    <row r="175" spans="1:4" ht="15.75">
      <c r="A175" s="3" t="s">
        <v>458</v>
      </c>
      <c r="B175" s="8" t="s">
        <v>1391</v>
      </c>
      <c r="C175" s="2">
        <v>174</v>
      </c>
      <c r="D175" s="8">
        <v>5.109</v>
      </c>
    </row>
    <row r="176" spans="1:4" ht="15.75">
      <c r="A176" s="5" t="s">
        <v>459</v>
      </c>
      <c r="B176" s="8" t="s">
        <v>1391</v>
      </c>
      <c r="C176" s="2">
        <v>175</v>
      </c>
      <c r="D176" s="8">
        <v>5.109</v>
      </c>
    </row>
    <row r="177" spans="1:4" ht="15.75">
      <c r="A177" s="3" t="s">
        <v>460</v>
      </c>
      <c r="B177" s="8" t="s">
        <v>1391</v>
      </c>
      <c r="C177" s="2">
        <v>176</v>
      </c>
      <c r="D177" s="8">
        <v>5.109</v>
      </c>
    </row>
    <row r="178" spans="1:4" ht="15.75">
      <c r="A178" s="5" t="s">
        <v>461</v>
      </c>
      <c r="B178" s="8" t="s">
        <v>1391</v>
      </c>
      <c r="C178" s="2">
        <v>177</v>
      </c>
      <c r="D178" s="8">
        <v>5.109</v>
      </c>
    </row>
    <row r="179" spans="1:4" ht="15.75">
      <c r="A179" s="3" t="s">
        <v>462</v>
      </c>
      <c r="B179" s="8" t="s">
        <v>1391</v>
      </c>
      <c r="C179" s="2">
        <v>178</v>
      </c>
      <c r="D179" s="8">
        <v>5.109</v>
      </c>
    </row>
    <row r="180" spans="1:4" ht="15.75">
      <c r="A180" s="5" t="s">
        <v>463</v>
      </c>
      <c r="B180" s="8" t="s">
        <v>1391</v>
      </c>
      <c r="C180" s="2">
        <v>179</v>
      </c>
      <c r="D180" s="8">
        <v>5.109</v>
      </c>
    </row>
    <row r="181" spans="1:4" ht="15.75">
      <c r="A181" s="3" t="s">
        <v>464</v>
      </c>
      <c r="B181" s="8" t="s">
        <v>1391</v>
      </c>
      <c r="C181" s="2">
        <v>180</v>
      </c>
      <c r="D181" s="8">
        <v>5.109</v>
      </c>
    </row>
    <row r="182" spans="1:4" ht="15.75">
      <c r="A182" s="5" t="s">
        <v>465</v>
      </c>
      <c r="B182" s="8" t="s">
        <v>1391</v>
      </c>
      <c r="C182" s="2">
        <v>181</v>
      </c>
      <c r="D182" s="8">
        <v>5.109</v>
      </c>
    </row>
    <row r="183" spans="1:4" ht="15.75">
      <c r="A183" s="3" t="s">
        <v>466</v>
      </c>
      <c r="B183" s="8" t="s">
        <v>1391</v>
      </c>
      <c r="C183" s="2">
        <v>182</v>
      </c>
      <c r="D183" s="8">
        <v>5.109</v>
      </c>
    </row>
    <row r="184" spans="1:4" ht="15.75">
      <c r="A184" s="5" t="s">
        <v>467</v>
      </c>
      <c r="B184" s="8" t="s">
        <v>1391</v>
      </c>
      <c r="C184" s="2">
        <v>183</v>
      </c>
      <c r="D184" s="8">
        <v>5.109</v>
      </c>
    </row>
    <row r="185" spans="1:4" ht="15.75">
      <c r="A185" s="3" t="s">
        <v>468</v>
      </c>
      <c r="B185" s="8" t="s">
        <v>1391</v>
      </c>
      <c r="C185" s="2">
        <v>184</v>
      </c>
      <c r="D185" s="8">
        <v>5.109</v>
      </c>
    </row>
    <row r="186" spans="1:4" ht="15.75">
      <c r="A186" s="5" t="s">
        <v>469</v>
      </c>
      <c r="B186" s="8" t="s">
        <v>1391</v>
      </c>
      <c r="C186" s="2">
        <v>185</v>
      </c>
      <c r="D186" s="8">
        <v>5.109</v>
      </c>
    </row>
    <row r="187" spans="1:4" ht="15.75">
      <c r="A187" s="3" t="s">
        <v>470</v>
      </c>
      <c r="B187" s="8" t="s">
        <v>1391</v>
      </c>
      <c r="C187" s="2">
        <v>186</v>
      </c>
      <c r="D187" s="8">
        <v>5.109</v>
      </c>
    </row>
    <row r="188" spans="1:4" ht="15.75">
      <c r="A188" s="5" t="s">
        <v>471</v>
      </c>
      <c r="B188" s="8" t="s">
        <v>1391</v>
      </c>
      <c r="C188" s="2">
        <v>187</v>
      </c>
      <c r="D188" s="8">
        <v>5.109</v>
      </c>
    </row>
    <row r="189" spans="1:4" ht="15.75">
      <c r="A189" s="3" t="s">
        <v>472</v>
      </c>
      <c r="B189" s="8" t="s">
        <v>1391</v>
      </c>
      <c r="C189" s="2">
        <v>188</v>
      </c>
      <c r="D189" s="8">
        <v>5.109</v>
      </c>
    </row>
    <row r="190" spans="1:4" ht="15.75">
      <c r="A190" s="5" t="s">
        <v>750</v>
      </c>
      <c r="B190" s="8" t="s">
        <v>1391</v>
      </c>
      <c r="C190" s="2">
        <v>189</v>
      </c>
      <c r="D190" s="8">
        <v>5.1059999999999999</v>
      </c>
    </row>
    <row r="191" spans="1:4" ht="15.75">
      <c r="A191" s="3" t="s">
        <v>751</v>
      </c>
      <c r="B191" s="8" t="s">
        <v>1391</v>
      </c>
      <c r="C191" s="2">
        <v>190</v>
      </c>
      <c r="D191" s="8">
        <v>5.0865</v>
      </c>
    </row>
    <row r="192" spans="1:4" ht="15.75">
      <c r="A192" s="5" t="s">
        <v>752</v>
      </c>
      <c r="B192" s="8" t="s">
        <v>1391</v>
      </c>
      <c r="C192" s="2">
        <v>191</v>
      </c>
      <c r="D192" s="8">
        <v>5.0865</v>
      </c>
    </row>
    <row r="193" spans="1:4" ht="15.75">
      <c r="A193" s="3" t="s">
        <v>753</v>
      </c>
      <c r="B193" s="8" t="s">
        <v>1391</v>
      </c>
      <c r="C193" s="2">
        <v>192</v>
      </c>
      <c r="D193" s="8">
        <v>5.0760000000000005</v>
      </c>
    </row>
    <row r="194" spans="1:4" ht="15.75">
      <c r="A194" s="5" t="s">
        <v>754</v>
      </c>
      <c r="B194" s="8" t="s">
        <v>1391</v>
      </c>
      <c r="C194" s="2">
        <v>193</v>
      </c>
      <c r="D194" s="8">
        <v>5.0760000000000005</v>
      </c>
    </row>
    <row r="195" spans="1:4" ht="15.75">
      <c r="A195" s="3" t="s">
        <v>309</v>
      </c>
      <c r="B195" s="8" t="s">
        <v>1391</v>
      </c>
      <c r="C195" s="2">
        <v>194</v>
      </c>
      <c r="D195" s="8">
        <v>5.0260000000000007</v>
      </c>
    </row>
    <row r="196" spans="1:4" ht="15.75">
      <c r="A196" s="5" t="s">
        <v>307</v>
      </c>
      <c r="B196" s="8" t="s">
        <v>1391</v>
      </c>
      <c r="C196" s="2">
        <v>195</v>
      </c>
      <c r="D196" s="8">
        <v>5.0260000000000007</v>
      </c>
    </row>
    <row r="197" spans="1:4" ht="15.75">
      <c r="A197" s="3" t="s">
        <v>308</v>
      </c>
      <c r="B197" s="8" t="s">
        <v>1391</v>
      </c>
      <c r="C197" s="2">
        <v>196</v>
      </c>
      <c r="D197" s="8">
        <v>5.0260000000000007</v>
      </c>
    </row>
    <row r="198" spans="1:4" ht="15.75">
      <c r="A198" s="5" t="s">
        <v>757</v>
      </c>
      <c r="B198" s="8" t="s">
        <v>1391</v>
      </c>
      <c r="C198" s="2">
        <v>197</v>
      </c>
      <c r="D198" s="8">
        <v>5.0039999999999996</v>
      </c>
    </row>
    <row r="199" spans="1:4" ht="15.75">
      <c r="A199" s="3" t="s">
        <v>759</v>
      </c>
      <c r="B199" s="8" t="s">
        <v>1391</v>
      </c>
      <c r="C199" s="2">
        <v>198</v>
      </c>
      <c r="D199" s="8">
        <v>5.0039999999999996</v>
      </c>
    </row>
    <row r="200" spans="1:4" ht="15.75">
      <c r="A200" s="5" t="s">
        <v>760</v>
      </c>
      <c r="B200" s="8" t="s">
        <v>1391</v>
      </c>
      <c r="C200" s="2">
        <v>199</v>
      </c>
      <c r="D200" s="8">
        <v>4.9719999999999995</v>
      </c>
    </row>
    <row r="201" spans="1:4" ht="15.75">
      <c r="A201" s="3" t="s">
        <v>762</v>
      </c>
      <c r="B201" s="8" t="s">
        <v>1391</v>
      </c>
      <c r="C201" s="2">
        <v>200</v>
      </c>
      <c r="D201" s="8">
        <v>4.9670000000000005</v>
      </c>
    </row>
    <row r="202" spans="1:4" ht="15.75">
      <c r="A202" s="5" t="s">
        <v>765</v>
      </c>
      <c r="B202" s="8" t="s">
        <v>1391</v>
      </c>
      <c r="C202" s="2">
        <v>201</v>
      </c>
      <c r="D202" s="8">
        <v>4.9590000000000005</v>
      </c>
    </row>
    <row r="203" spans="1:4" ht="15.75">
      <c r="A203" s="3" t="s">
        <v>1164</v>
      </c>
      <c r="B203" s="8" t="s">
        <v>1391</v>
      </c>
      <c r="C203" s="2">
        <v>202</v>
      </c>
      <c r="D203" s="8">
        <v>4.9330000000000007</v>
      </c>
    </row>
    <row r="204" spans="1:4" ht="15.75">
      <c r="A204" s="5" t="s">
        <v>755</v>
      </c>
      <c r="B204" s="8" t="s">
        <v>1391</v>
      </c>
      <c r="C204" s="2">
        <v>203</v>
      </c>
      <c r="D204" s="8">
        <v>4.9050000000000002</v>
      </c>
    </row>
    <row r="205" spans="1:4" ht="15.75">
      <c r="A205" s="3" t="s">
        <v>756</v>
      </c>
      <c r="B205" s="8" t="s">
        <v>1391</v>
      </c>
      <c r="C205" s="2">
        <v>204</v>
      </c>
      <c r="D205" s="8">
        <v>4.8910000000000009</v>
      </c>
    </row>
    <row r="206" spans="1:4" ht="15.75">
      <c r="A206" s="5" t="s">
        <v>1156</v>
      </c>
      <c r="B206" s="8" t="s">
        <v>1391</v>
      </c>
      <c r="C206" s="2">
        <v>205</v>
      </c>
      <c r="D206" s="8">
        <v>4.8580000000000005</v>
      </c>
    </row>
    <row r="207" spans="1:4" ht="15.75">
      <c r="A207" s="3" t="s">
        <v>758</v>
      </c>
      <c r="B207" s="8" t="s">
        <v>1393</v>
      </c>
      <c r="C207" s="2">
        <v>206</v>
      </c>
      <c r="D207" s="8">
        <v>4.8400000000000007</v>
      </c>
    </row>
    <row r="208" spans="1:4" ht="15.75">
      <c r="A208" s="5" t="s">
        <v>1097</v>
      </c>
      <c r="B208" s="8" t="s">
        <v>1393</v>
      </c>
      <c r="C208" s="2">
        <v>207</v>
      </c>
      <c r="D208" s="8">
        <v>4.8400000000000007</v>
      </c>
    </row>
    <row r="209" spans="1:4" ht="15.75">
      <c r="A209" s="3" t="s">
        <v>761</v>
      </c>
      <c r="B209" s="8" t="s">
        <v>1393</v>
      </c>
      <c r="C209" s="2">
        <v>208</v>
      </c>
      <c r="D209" s="8">
        <v>4.84</v>
      </c>
    </row>
    <row r="210" spans="1:4" ht="15.75">
      <c r="A210" s="5" t="s">
        <v>763</v>
      </c>
      <c r="B210" s="8" t="s">
        <v>1393</v>
      </c>
      <c r="C210" s="2">
        <v>209</v>
      </c>
      <c r="D210" s="8">
        <v>4.835</v>
      </c>
    </row>
    <row r="211" spans="1:4" ht="15.75">
      <c r="A211" s="3" t="s">
        <v>1159</v>
      </c>
      <c r="B211" s="8" t="s">
        <v>1393</v>
      </c>
      <c r="C211" s="2">
        <v>210</v>
      </c>
      <c r="D211" s="8">
        <v>4.8080000000000007</v>
      </c>
    </row>
    <row r="212" spans="1:4" ht="15.75">
      <c r="A212" s="5" t="s">
        <v>764</v>
      </c>
      <c r="B212" s="8" t="s">
        <v>1393</v>
      </c>
      <c r="C212" s="2">
        <v>211</v>
      </c>
      <c r="D212" s="8">
        <v>4.798</v>
      </c>
    </row>
    <row r="213" spans="1:4" ht="15.75">
      <c r="A213" s="3" t="s">
        <v>766</v>
      </c>
      <c r="B213" s="8" t="s">
        <v>1393</v>
      </c>
      <c r="C213" s="2">
        <v>212</v>
      </c>
      <c r="D213" s="8">
        <v>4.7900000000000009</v>
      </c>
    </row>
    <row r="214" spans="1:4" ht="15.75">
      <c r="A214" s="5" t="s">
        <v>767</v>
      </c>
      <c r="B214" s="8" t="s">
        <v>1393</v>
      </c>
      <c r="C214" s="2">
        <v>213</v>
      </c>
      <c r="D214" s="8">
        <v>4.7900000000000009</v>
      </c>
    </row>
    <row r="215" spans="1:4" ht="15.75">
      <c r="A215" s="3" t="s">
        <v>415</v>
      </c>
      <c r="B215" s="8" t="s">
        <v>1393</v>
      </c>
      <c r="C215" s="2">
        <v>214</v>
      </c>
      <c r="D215" s="8">
        <v>4.7850000000000001</v>
      </c>
    </row>
    <row r="216" spans="1:4" ht="15.75">
      <c r="A216" s="5" t="s">
        <v>429</v>
      </c>
      <c r="B216" s="8" t="s">
        <v>1393</v>
      </c>
      <c r="C216" s="2">
        <v>215</v>
      </c>
      <c r="D216" s="8">
        <v>4.7850000000000001</v>
      </c>
    </row>
    <row r="217" spans="1:4" ht="15.75">
      <c r="A217" s="3" t="s">
        <v>509</v>
      </c>
      <c r="B217" s="8" t="s">
        <v>1393</v>
      </c>
      <c r="C217" s="2">
        <v>216</v>
      </c>
      <c r="D217" s="8">
        <v>4.7850000000000001</v>
      </c>
    </row>
    <row r="218" spans="1:4" ht="15.75">
      <c r="A218" s="5" t="s">
        <v>573</v>
      </c>
      <c r="B218" s="8" t="s">
        <v>1393</v>
      </c>
      <c r="C218" s="2">
        <v>217</v>
      </c>
      <c r="D218" s="8">
        <v>4.7850000000000001</v>
      </c>
    </row>
    <row r="219" spans="1:4" ht="15.75">
      <c r="A219" s="3" t="s">
        <v>768</v>
      </c>
      <c r="B219" s="8" t="s">
        <v>1393</v>
      </c>
      <c r="C219" s="2">
        <v>218</v>
      </c>
      <c r="D219" s="8">
        <v>4.78</v>
      </c>
    </row>
    <row r="220" spans="1:4" ht="15.75">
      <c r="A220" s="5" t="s">
        <v>769</v>
      </c>
      <c r="B220" s="8" t="s">
        <v>1393</v>
      </c>
      <c r="C220" s="2">
        <v>219</v>
      </c>
      <c r="D220" s="8">
        <v>4.78</v>
      </c>
    </row>
    <row r="221" spans="1:4" ht="15.75">
      <c r="A221" s="3" t="s">
        <v>770</v>
      </c>
      <c r="B221" s="8" t="s">
        <v>1393</v>
      </c>
      <c r="C221" s="2">
        <v>220</v>
      </c>
      <c r="D221" s="8">
        <v>4.78</v>
      </c>
    </row>
    <row r="222" spans="1:4" ht="15.75">
      <c r="A222" s="5" t="s">
        <v>771</v>
      </c>
      <c r="B222" s="8" t="s">
        <v>1393</v>
      </c>
      <c r="C222" s="2">
        <v>221</v>
      </c>
      <c r="D222" s="8">
        <v>4.7640000000000002</v>
      </c>
    </row>
    <row r="223" spans="1:4" ht="15.75">
      <c r="A223" s="3" t="s">
        <v>772</v>
      </c>
      <c r="B223" s="8" t="s">
        <v>1393</v>
      </c>
      <c r="C223" s="2">
        <v>222</v>
      </c>
      <c r="D223" s="8">
        <v>4.7640000000000002</v>
      </c>
    </row>
    <row r="224" spans="1:4" ht="15.75">
      <c r="A224" s="5" t="s">
        <v>773</v>
      </c>
      <c r="B224" s="8" t="s">
        <v>1393</v>
      </c>
      <c r="C224" s="2">
        <v>223</v>
      </c>
      <c r="D224" s="8">
        <v>4.75</v>
      </c>
    </row>
    <row r="225" spans="1:4" ht="15.75">
      <c r="A225" s="3" t="s">
        <v>1063</v>
      </c>
      <c r="B225" s="8" t="s">
        <v>1393</v>
      </c>
      <c r="C225" s="2">
        <v>224</v>
      </c>
      <c r="D225" s="8">
        <v>4.75</v>
      </c>
    </row>
    <row r="226" spans="1:4" ht="15.75">
      <c r="A226" s="5" t="s">
        <v>774</v>
      </c>
      <c r="B226" s="8" t="s">
        <v>1393</v>
      </c>
      <c r="C226" s="2">
        <v>225</v>
      </c>
      <c r="D226" s="8">
        <v>4.74</v>
      </c>
    </row>
    <row r="227" spans="1:4" ht="15.75">
      <c r="A227" s="3" t="s">
        <v>775</v>
      </c>
      <c r="B227" s="8" t="s">
        <v>1393</v>
      </c>
      <c r="C227" s="2">
        <v>226</v>
      </c>
      <c r="D227" s="8">
        <v>4.74</v>
      </c>
    </row>
    <row r="228" spans="1:4" ht="15.75">
      <c r="A228" s="5" t="s">
        <v>776</v>
      </c>
      <c r="B228" s="8" t="s">
        <v>1393</v>
      </c>
      <c r="C228" s="2">
        <v>227</v>
      </c>
      <c r="D228" s="8">
        <v>4.74</v>
      </c>
    </row>
    <row r="229" spans="1:4" ht="15.75">
      <c r="A229" s="3" t="s">
        <v>777</v>
      </c>
      <c r="B229" s="8" t="s">
        <v>1393</v>
      </c>
      <c r="C229" s="2">
        <v>228</v>
      </c>
      <c r="D229" s="8">
        <v>4.74</v>
      </c>
    </row>
    <row r="230" spans="1:4" ht="15.75">
      <c r="A230" s="5" t="s">
        <v>778</v>
      </c>
      <c r="B230" s="8" t="s">
        <v>1393</v>
      </c>
      <c r="C230" s="2">
        <v>229</v>
      </c>
      <c r="D230" s="8">
        <v>4.74</v>
      </c>
    </row>
    <row r="231" spans="1:4" ht="15.75">
      <c r="A231" s="3" t="s">
        <v>779</v>
      </c>
      <c r="B231" s="8" t="s">
        <v>1393</v>
      </c>
      <c r="C231" s="2">
        <v>230</v>
      </c>
      <c r="D231" s="8">
        <v>4.74</v>
      </c>
    </row>
    <row r="232" spans="1:4" ht="15.75">
      <c r="A232" s="5" t="s">
        <v>780</v>
      </c>
      <c r="B232" s="8" t="s">
        <v>1393</v>
      </c>
      <c r="C232" s="2">
        <v>231</v>
      </c>
      <c r="D232" s="8">
        <v>4.74</v>
      </c>
    </row>
    <row r="233" spans="1:4" ht="15.75">
      <c r="A233" s="3" t="s">
        <v>781</v>
      </c>
      <c r="B233" s="8" t="s">
        <v>1393</v>
      </c>
      <c r="C233" s="2">
        <v>232</v>
      </c>
      <c r="D233" s="8">
        <v>4.74</v>
      </c>
    </row>
    <row r="234" spans="1:4" ht="15.75">
      <c r="A234" s="5" t="s">
        <v>782</v>
      </c>
      <c r="B234" s="8" t="s">
        <v>1393</v>
      </c>
      <c r="C234" s="2">
        <v>233</v>
      </c>
      <c r="D234" s="8">
        <v>4.74</v>
      </c>
    </row>
    <row r="235" spans="1:4" ht="15.75">
      <c r="A235" s="3" t="s">
        <v>783</v>
      </c>
      <c r="B235" s="8" t="s">
        <v>1393</v>
      </c>
      <c r="C235" s="2">
        <v>234</v>
      </c>
      <c r="D235" s="8">
        <v>4.6960000000000006</v>
      </c>
    </row>
    <row r="236" spans="1:4" ht="15.75">
      <c r="A236" s="5" t="s">
        <v>784</v>
      </c>
      <c r="B236" s="8" t="s">
        <v>1393</v>
      </c>
      <c r="C236" s="2">
        <v>235</v>
      </c>
      <c r="D236" s="8">
        <v>4.6960000000000006</v>
      </c>
    </row>
    <row r="237" spans="1:4" ht="15.75">
      <c r="A237" s="3" t="s">
        <v>785</v>
      </c>
      <c r="B237" s="8" t="s">
        <v>1393</v>
      </c>
      <c r="C237" s="2">
        <v>236</v>
      </c>
      <c r="D237" s="8">
        <v>4.6900000000000004</v>
      </c>
    </row>
    <row r="238" spans="1:4" ht="15.75">
      <c r="A238" s="5" t="s">
        <v>786</v>
      </c>
      <c r="B238" s="8" t="s">
        <v>1393</v>
      </c>
      <c r="C238" s="2">
        <v>237</v>
      </c>
      <c r="D238" s="8">
        <v>4.6900000000000004</v>
      </c>
    </row>
    <row r="239" spans="1:4" ht="15.75">
      <c r="A239" s="3" t="s">
        <v>502</v>
      </c>
      <c r="B239" s="8" t="s">
        <v>1393</v>
      </c>
      <c r="C239" s="2">
        <v>238</v>
      </c>
      <c r="D239" s="8">
        <v>4.6830000000000007</v>
      </c>
    </row>
    <row r="240" spans="1:4" ht="15.75">
      <c r="A240" s="5" t="s">
        <v>33</v>
      </c>
      <c r="B240" s="8" t="s">
        <v>1393</v>
      </c>
      <c r="C240" s="2">
        <v>239</v>
      </c>
      <c r="D240" s="8">
        <v>4.6829999999999998</v>
      </c>
    </row>
    <row r="241" spans="1:4" ht="15.75">
      <c r="A241" s="3" t="s">
        <v>32</v>
      </c>
      <c r="B241" s="8" t="s">
        <v>1393</v>
      </c>
      <c r="C241" s="2">
        <v>240</v>
      </c>
      <c r="D241" s="8">
        <v>4.6760000000000002</v>
      </c>
    </row>
    <row r="242" spans="1:4" ht="15.75">
      <c r="A242" s="5" t="s">
        <v>787</v>
      </c>
      <c r="B242" s="8" t="s">
        <v>1393</v>
      </c>
      <c r="C242" s="2">
        <v>241</v>
      </c>
      <c r="D242" s="8">
        <v>4.6750000000000007</v>
      </c>
    </row>
    <row r="243" spans="1:4" ht="15.75">
      <c r="A243" s="3" t="s">
        <v>788</v>
      </c>
      <c r="B243" s="8" t="s">
        <v>1393</v>
      </c>
      <c r="C243" s="2">
        <v>242</v>
      </c>
      <c r="D243" s="8">
        <v>4.6690000000000005</v>
      </c>
    </row>
    <row r="244" spans="1:4" ht="15.75">
      <c r="A244" s="5" t="s">
        <v>789</v>
      </c>
      <c r="B244" s="8" t="s">
        <v>1393</v>
      </c>
      <c r="C244" s="2">
        <v>243</v>
      </c>
      <c r="D244" s="8">
        <v>4.6690000000000005</v>
      </c>
    </row>
    <row r="245" spans="1:4" ht="15.75">
      <c r="A245" s="3" t="s">
        <v>306</v>
      </c>
      <c r="B245" s="8" t="s">
        <v>1393</v>
      </c>
      <c r="C245" s="2">
        <v>244</v>
      </c>
      <c r="D245" s="8">
        <v>4.6620000000000008</v>
      </c>
    </row>
    <row r="246" spans="1:4" ht="15.75">
      <c r="A246" s="5" t="s">
        <v>305</v>
      </c>
      <c r="B246" s="8" t="s">
        <v>1393</v>
      </c>
      <c r="C246" s="2">
        <v>245</v>
      </c>
      <c r="D246" s="8">
        <v>4.6620000000000008</v>
      </c>
    </row>
    <row r="247" spans="1:4" ht="15.75">
      <c r="A247" s="3" t="s">
        <v>790</v>
      </c>
      <c r="B247" s="8" t="s">
        <v>1393</v>
      </c>
      <c r="C247" s="2">
        <v>246</v>
      </c>
      <c r="D247" s="8">
        <v>4.6370000000000005</v>
      </c>
    </row>
    <row r="248" spans="1:4" ht="15.75">
      <c r="A248" s="5" t="s">
        <v>298</v>
      </c>
      <c r="B248" s="8" t="s">
        <v>1393</v>
      </c>
      <c r="C248" s="2">
        <v>247</v>
      </c>
      <c r="D248" s="8">
        <v>4.6049999999999995</v>
      </c>
    </row>
    <row r="249" spans="1:4" ht="15.75">
      <c r="A249" s="3" t="s">
        <v>297</v>
      </c>
      <c r="B249" s="8" t="s">
        <v>1393</v>
      </c>
      <c r="C249" s="2">
        <v>248</v>
      </c>
      <c r="D249" s="8">
        <v>4.6049999999999995</v>
      </c>
    </row>
    <row r="250" spans="1:4" ht="15.75">
      <c r="A250" s="5" t="s">
        <v>296</v>
      </c>
      <c r="B250" s="8" t="s">
        <v>1393</v>
      </c>
      <c r="C250" s="2">
        <v>249</v>
      </c>
      <c r="D250" s="8">
        <v>4.6049999999999995</v>
      </c>
    </row>
    <row r="251" spans="1:4" ht="15.75">
      <c r="A251" s="3" t="s">
        <v>295</v>
      </c>
      <c r="B251" s="8" t="s">
        <v>1393</v>
      </c>
      <c r="C251" s="2">
        <v>250</v>
      </c>
      <c r="D251" s="8">
        <v>4.6049999999999995</v>
      </c>
    </row>
    <row r="252" spans="1:4" ht="15.75">
      <c r="A252" s="5" t="s">
        <v>294</v>
      </c>
      <c r="B252" s="8" t="s">
        <v>1393</v>
      </c>
      <c r="C252" s="2">
        <v>251</v>
      </c>
      <c r="D252" s="8">
        <v>4.6049999999999995</v>
      </c>
    </row>
    <row r="253" spans="1:4" ht="15.75">
      <c r="A253" s="3" t="s">
        <v>293</v>
      </c>
      <c r="B253" s="8" t="s">
        <v>1393</v>
      </c>
      <c r="C253" s="2">
        <v>252</v>
      </c>
      <c r="D253" s="8">
        <v>4.6049999999999995</v>
      </c>
    </row>
    <row r="254" spans="1:4" ht="15.75">
      <c r="A254" s="5" t="s">
        <v>791</v>
      </c>
      <c r="B254" s="8" t="s">
        <v>1393</v>
      </c>
      <c r="C254" s="2">
        <v>253</v>
      </c>
      <c r="D254" s="8">
        <v>4.6010000000000009</v>
      </c>
    </row>
    <row r="255" spans="1:4" ht="15.75">
      <c r="A255" s="3" t="s">
        <v>792</v>
      </c>
      <c r="B255" s="8" t="s">
        <v>1393</v>
      </c>
      <c r="C255" s="2">
        <v>254</v>
      </c>
      <c r="D255" s="8">
        <v>4.6010000000000009</v>
      </c>
    </row>
    <row r="256" spans="1:4" ht="15.75">
      <c r="A256" s="5" t="s">
        <v>793</v>
      </c>
      <c r="B256" s="8" t="s">
        <v>1393</v>
      </c>
      <c r="C256" s="2">
        <v>255</v>
      </c>
      <c r="D256" s="8">
        <v>4.6010000000000009</v>
      </c>
    </row>
    <row r="257" spans="1:4" ht="15.75">
      <c r="A257" s="3" t="s">
        <v>427</v>
      </c>
      <c r="B257" s="8" t="s">
        <v>1393</v>
      </c>
      <c r="C257" s="2">
        <v>256</v>
      </c>
      <c r="D257" s="8">
        <v>4.5920000000000005</v>
      </c>
    </row>
    <row r="258" spans="1:4" ht="15.75">
      <c r="A258" s="5" t="s">
        <v>440</v>
      </c>
      <c r="B258" s="8" t="s">
        <v>1393</v>
      </c>
      <c r="C258" s="2">
        <v>257</v>
      </c>
      <c r="D258" s="8">
        <v>4.5920000000000005</v>
      </c>
    </row>
    <row r="259" spans="1:4" ht="15.75">
      <c r="A259" s="3" t="s">
        <v>441</v>
      </c>
      <c r="B259" s="8" t="s">
        <v>1393</v>
      </c>
      <c r="C259" s="2">
        <v>258</v>
      </c>
      <c r="D259" s="8">
        <v>4.5920000000000005</v>
      </c>
    </row>
    <row r="260" spans="1:4" ht="15.75">
      <c r="A260" s="5" t="s">
        <v>560</v>
      </c>
      <c r="B260" s="8" t="s">
        <v>1393</v>
      </c>
      <c r="C260" s="2">
        <v>259</v>
      </c>
      <c r="D260" s="8">
        <v>4.5920000000000005</v>
      </c>
    </row>
    <row r="261" spans="1:4" ht="15.75">
      <c r="A261" s="3" t="s">
        <v>561</v>
      </c>
      <c r="B261" s="8" t="s">
        <v>1393</v>
      </c>
      <c r="C261" s="2">
        <v>260</v>
      </c>
      <c r="D261" s="8">
        <v>4.5920000000000005</v>
      </c>
    </row>
    <row r="262" spans="1:4" ht="15.75">
      <c r="A262" s="5" t="s">
        <v>562</v>
      </c>
      <c r="B262" s="8" t="s">
        <v>1393</v>
      </c>
      <c r="C262" s="2">
        <v>261</v>
      </c>
      <c r="D262" s="8">
        <v>4.5920000000000005</v>
      </c>
    </row>
    <row r="263" spans="1:4" ht="15.75">
      <c r="A263" s="3" t="s">
        <v>563</v>
      </c>
      <c r="B263" s="8" t="s">
        <v>1393</v>
      </c>
      <c r="C263" s="2">
        <v>262</v>
      </c>
      <c r="D263" s="8">
        <v>4.5920000000000005</v>
      </c>
    </row>
    <row r="264" spans="1:4" ht="15.75">
      <c r="A264" s="5" t="s">
        <v>564</v>
      </c>
      <c r="B264" s="8" t="s">
        <v>1393</v>
      </c>
      <c r="C264" s="2">
        <v>263</v>
      </c>
      <c r="D264" s="8">
        <v>4.5920000000000005</v>
      </c>
    </row>
    <row r="265" spans="1:4" ht="15.75">
      <c r="A265" s="3" t="s">
        <v>565</v>
      </c>
      <c r="B265" s="8" t="s">
        <v>1393</v>
      </c>
      <c r="C265" s="2">
        <v>264</v>
      </c>
      <c r="D265" s="8">
        <v>4.5920000000000005</v>
      </c>
    </row>
    <row r="266" spans="1:4" ht="15.75">
      <c r="A266" s="5" t="s">
        <v>575</v>
      </c>
      <c r="B266" s="8" t="s">
        <v>1393</v>
      </c>
      <c r="C266" s="2">
        <v>265</v>
      </c>
      <c r="D266" s="8">
        <v>4.5920000000000005</v>
      </c>
    </row>
    <row r="267" spans="1:4" ht="15.75">
      <c r="A267" s="3" t="s">
        <v>577</v>
      </c>
      <c r="B267" s="8" t="s">
        <v>1393</v>
      </c>
      <c r="C267" s="2">
        <v>266</v>
      </c>
      <c r="D267" s="8">
        <v>4.5920000000000005</v>
      </c>
    </row>
    <row r="268" spans="1:4" ht="15.75">
      <c r="A268" s="5" t="s">
        <v>578</v>
      </c>
      <c r="B268" s="8" t="s">
        <v>1393</v>
      </c>
      <c r="C268" s="2">
        <v>267</v>
      </c>
      <c r="D268" s="8">
        <v>4.5920000000000005</v>
      </c>
    </row>
    <row r="269" spans="1:4" ht="15.75">
      <c r="A269" s="3" t="s">
        <v>622</v>
      </c>
      <c r="B269" s="8" t="s">
        <v>1393</v>
      </c>
      <c r="C269" s="2">
        <v>268</v>
      </c>
      <c r="D269" s="8">
        <v>4.5920000000000005</v>
      </c>
    </row>
    <row r="270" spans="1:4" ht="15.75">
      <c r="A270" s="5" t="s">
        <v>630</v>
      </c>
      <c r="B270" s="8" t="s">
        <v>1393</v>
      </c>
      <c r="C270" s="2">
        <v>269</v>
      </c>
      <c r="D270" s="8">
        <v>4.5920000000000005</v>
      </c>
    </row>
    <row r="271" spans="1:4" ht="15.75">
      <c r="A271" s="3" t="s">
        <v>638</v>
      </c>
      <c r="B271" s="8" t="s">
        <v>1393</v>
      </c>
      <c r="C271" s="2">
        <v>270</v>
      </c>
      <c r="D271" s="8">
        <v>4.5920000000000005</v>
      </c>
    </row>
    <row r="272" spans="1:4" ht="15.75">
      <c r="A272" s="5" t="s">
        <v>645</v>
      </c>
      <c r="B272" s="8" t="s">
        <v>1393</v>
      </c>
      <c r="C272" s="2">
        <v>271</v>
      </c>
      <c r="D272" s="8">
        <v>4.5920000000000005</v>
      </c>
    </row>
    <row r="273" spans="1:4" ht="15.75">
      <c r="A273" s="3" t="s">
        <v>413</v>
      </c>
      <c r="B273" s="8" t="s">
        <v>1393</v>
      </c>
      <c r="C273" s="2">
        <v>272</v>
      </c>
      <c r="D273" s="8">
        <v>4.585</v>
      </c>
    </row>
    <row r="274" spans="1:4" ht="15.75">
      <c r="A274" s="5" t="s">
        <v>426</v>
      </c>
      <c r="B274" s="8" t="s">
        <v>1393</v>
      </c>
      <c r="C274" s="2">
        <v>273</v>
      </c>
      <c r="D274" s="8">
        <v>4.585</v>
      </c>
    </row>
    <row r="275" spans="1:4" ht="15.75">
      <c r="A275" s="3" t="s">
        <v>430</v>
      </c>
      <c r="B275" s="8" t="s">
        <v>1393</v>
      </c>
      <c r="C275" s="2">
        <v>274</v>
      </c>
      <c r="D275" s="8">
        <v>4.585</v>
      </c>
    </row>
    <row r="276" spans="1:4" ht="15.75">
      <c r="A276" s="5" t="s">
        <v>580</v>
      </c>
      <c r="B276" s="8" t="s">
        <v>1393</v>
      </c>
      <c r="C276" s="2">
        <v>275</v>
      </c>
      <c r="D276" s="8">
        <v>4.585</v>
      </c>
    </row>
    <row r="277" spans="1:4" ht="15.75">
      <c r="A277" s="3" t="s">
        <v>646</v>
      </c>
      <c r="B277" s="8" t="s">
        <v>1393</v>
      </c>
      <c r="C277" s="2">
        <v>276</v>
      </c>
      <c r="D277" s="8">
        <v>4.585</v>
      </c>
    </row>
    <row r="278" spans="1:4" ht="15.75">
      <c r="A278" s="5" t="s">
        <v>647</v>
      </c>
      <c r="B278" s="8" t="s">
        <v>1393</v>
      </c>
      <c r="C278" s="2">
        <v>277</v>
      </c>
      <c r="D278" s="8">
        <v>4.585</v>
      </c>
    </row>
    <row r="279" spans="1:4" ht="15.75">
      <c r="A279" s="3" t="s">
        <v>648</v>
      </c>
      <c r="B279" s="8" t="s">
        <v>1393</v>
      </c>
      <c r="C279" s="2">
        <v>278</v>
      </c>
      <c r="D279" s="8">
        <v>4.585</v>
      </c>
    </row>
    <row r="280" spans="1:4" ht="15.75">
      <c r="A280" s="5" t="s">
        <v>649</v>
      </c>
      <c r="B280" s="8" t="s">
        <v>1393</v>
      </c>
      <c r="C280" s="2">
        <v>279</v>
      </c>
      <c r="D280" s="8">
        <v>4.585</v>
      </c>
    </row>
    <row r="281" spans="1:4" ht="15.75">
      <c r="A281" s="3" t="s">
        <v>1166</v>
      </c>
      <c r="B281" s="8" t="s">
        <v>1393</v>
      </c>
      <c r="C281" s="2">
        <v>280</v>
      </c>
      <c r="D281" s="8">
        <v>4.585</v>
      </c>
    </row>
    <row r="282" spans="1:4" ht="15.75">
      <c r="A282" s="5" t="s">
        <v>650</v>
      </c>
      <c r="B282" s="8" t="s">
        <v>1393</v>
      </c>
      <c r="C282" s="2">
        <v>281</v>
      </c>
      <c r="D282" s="8">
        <v>4.585</v>
      </c>
    </row>
    <row r="283" spans="1:4" ht="15.75">
      <c r="A283" s="3" t="s">
        <v>651</v>
      </c>
      <c r="B283" s="8" t="s">
        <v>1393</v>
      </c>
      <c r="C283" s="2">
        <v>282</v>
      </c>
      <c r="D283" s="8">
        <v>4.585</v>
      </c>
    </row>
    <row r="284" spans="1:4" ht="15.75">
      <c r="A284" s="5" t="s">
        <v>652</v>
      </c>
      <c r="B284" s="8" t="s">
        <v>1393</v>
      </c>
      <c r="C284" s="2">
        <v>283</v>
      </c>
      <c r="D284" s="8">
        <v>4.585</v>
      </c>
    </row>
    <row r="285" spans="1:4" ht="15.75">
      <c r="A285" s="3" t="s">
        <v>653</v>
      </c>
      <c r="B285" s="8" t="s">
        <v>1393</v>
      </c>
      <c r="C285" s="2">
        <v>284</v>
      </c>
      <c r="D285" s="8">
        <v>4.585</v>
      </c>
    </row>
    <row r="286" spans="1:4" ht="15.75">
      <c r="A286" s="5" t="s">
        <v>794</v>
      </c>
      <c r="B286" s="8" t="s">
        <v>1393</v>
      </c>
      <c r="C286" s="2">
        <v>285</v>
      </c>
      <c r="D286" s="8">
        <v>4.57</v>
      </c>
    </row>
    <row r="287" spans="1:4" ht="15.75">
      <c r="A287" s="3" t="s">
        <v>795</v>
      </c>
      <c r="B287" s="8" t="s">
        <v>1393</v>
      </c>
      <c r="C287" s="2">
        <v>286</v>
      </c>
      <c r="D287" s="8">
        <v>4.57</v>
      </c>
    </row>
    <row r="288" spans="1:4" ht="15.75">
      <c r="A288" s="5" t="s">
        <v>796</v>
      </c>
      <c r="B288" s="8" t="s">
        <v>1393</v>
      </c>
      <c r="C288" s="2">
        <v>287</v>
      </c>
      <c r="D288" s="8">
        <v>4.57</v>
      </c>
    </row>
    <row r="289" spans="1:4" ht="15.75">
      <c r="A289" s="3" t="s">
        <v>797</v>
      </c>
      <c r="B289" s="8" t="s">
        <v>1393</v>
      </c>
      <c r="C289" s="2">
        <v>288</v>
      </c>
      <c r="D289" s="8">
        <v>4.57</v>
      </c>
    </row>
    <row r="290" spans="1:4" ht="15.75">
      <c r="A290" s="5" t="s">
        <v>798</v>
      </c>
      <c r="B290" s="8" t="s">
        <v>1393</v>
      </c>
      <c r="C290" s="2">
        <v>289</v>
      </c>
      <c r="D290" s="8">
        <v>4.57</v>
      </c>
    </row>
    <row r="291" spans="1:4" ht="15.75">
      <c r="A291" s="3" t="s">
        <v>799</v>
      </c>
      <c r="B291" s="8" t="s">
        <v>1393</v>
      </c>
      <c r="C291" s="2">
        <v>290</v>
      </c>
      <c r="D291" s="8">
        <v>4.57</v>
      </c>
    </row>
    <row r="292" spans="1:4" ht="15.75">
      <c r="A292" s="5" t="s">
        <v>442</v>
      </c>
      <c r="B292" s="8" t="s">
        <v>1393</v>
      </c>
      <c r="C292" s="2">
        <v>291</v>
      </c>
      <c r="D292" s="8">
        <v>4.5549999999999997</v>
      </c>
    </row>
    <row r="293" spans="1:4" ht="15.75">
      <c r="A293" s="3" t="s">
        <v>510</v>
      </c>
      <c r="B293" s="8" t="s">
        <v>1393</v>
      </c>
      <c r="C293" s="2">
        <v>292</v>
      </c>
      <c r="D293" s="8">
        <v>4.5549999999999997</v>
      </c>
    </row>
    <row r="294" spans="1:4" ht="15.75">
      <c r="A294" s="5" t="s">
        <v>511</v>
      </c>
      <c r="B294" s="8" t="s">
        <v>1393</v>
      </c>
      <c r="C294" s="2">
        <v>293</v>
      </c>
      <c r="D294" s="8">
        <v>4.5549999999999997</v>
      </c>
    </row>
    <row r="295" spans="1:4" ht="15.75">
      <c r="A295" s="3" t="s">
        <v>512</v>
      </c>
      <c r="B295" s="8" t="s">
        <v>1393</v>
      </c>
      <c r="C295" s="2">
        <v>294</v>
      </c>
      <c r="D295" s="8">
        <v>4.5549999999999997</v>
      </c>
    </row>
    <row r="296" spans="1:4" ht="15.75">
      <c r="A296" s="5" t="s">
        <v>513</v>
      </c>
      <c r="B296" s="8" t="s">
        <v>1393</v>
      </c>
      <c r="C296" s="2">
        <v>295</v>
      </c>
      <c r="D296" s="8">
        <v>4.5549999999999997</v>
      </c>
    </row>
    <row r="297" spans="1:4" ht="15.75">
      <c r="A297" s="3" t="s">
        <v>514</v>
      </c>
      <c r="B297" s="8" t="s">
        <v>1393</v>
      </c>
      <c r="C297" s="2">
        <v>296</v>
      </c>
      <c r="D297" s="8">
        <v>4.5549999999999997</v>
      </c>
    </row>
    <row r="298" spans="1:4" ht="15.75">
      <c r="A298" s="5" t="s">
        <v>574</v>
      </c>
      <c r="B298" s="8" t="s">
        <v>1393</v>
      </c>
      <c r="C298" s="2">
        <v>297</v>
      </c>
      <c r="D298" s="8">
        <v>4.5549999999999997</v>
      </c>
    </row>
    <row r="299" spans="1:4" ht="15.75">
      <c r="A299" s="3" t="s">
        <v>800</v>
      </c>
      <c r="B299" s="8" t="s">
        <v>1393</v>
      </c>
      <c r="C299" s="2">
        <v>298</v>
      </c>
      <c r="D299" s="8">
        <v>4.5289999999999999</v>
      </c>
    </row>
    <row r="300" spans="1:4" ht="15.75">
      <c r="A300" s="5" t="s">
        <v>801</v>
      </c>
      <c r="B300" s="8" t="s">
        <v>1393</v>
      </c>
      <c r="C300" s="2">
        <v>299</v>
      </c>
      <c r="D300" s="8">
        <v>4.5289999999999999</v>
      </c>
    </row>
    <row r="301" spans="1:4" ht="15.75">
      <c r="A301" s="3" t="s">
        <v>28</v>
      </c>
      <c r="B301" s="8" t="s">
        <v>1393</v>
      </c>
      <c r="C301" s="2">
        <v>300</v>
      </c>
      <c r="D301" s="8">
        <v>4.5259999999999998</v>
      </c>
    </row>
    <row r="302" spans="1:4" ht="15.75">
      <c r="A302" s="5" t="s">
        <v>25</v>
      </c>
      <c r="B302" s="8" t="s">
        <v>1393</v>
      </c>
      <c r="C302" s="2">
        <v>301</v>
      </c>
      <c r="D302" s="8">
        <v>4.5259999999999998</v>
      </c>
    </row>
    <row r="303" spans="1:4" ht="15.75">
      <c r="A303" s="3" t="s">
        <v>24</v>
      </c>
      <c r="B303" s="8" t="s">
        <v>1393</v>
      </c>
      <c r="C303" s="2">
        <v>302</v>
      </c>
      <c r="D303" s="8">
        <v>4.5259999999999998</v>
      </c>
    </row>
    <row r="304" spans="1:4" ht="15.75">
      <c r="A304" s="5" t="s">
        <v>23</v>
      </c>
      <c r="B304" s="8" t="s">
        <v>1393</v>
      </c>
      <c r="C304" s="2">
        <v>303</v>
      </c>
      <c r="D304" s="8">
        <v>4.5259999999999998</v>
      </c>
    </row>
    <row r="305" spans="1:4" ht="15.75">
      <c r="A305" s="3" t="s">
        <v>22</v>
      </c>
      <c r="B305" s="8" t="s">
        <v>1393</v>
      </c>
      <c r="C305" s="2">
        <v>304</v>
      </c>
      <c r="D305" s="8">
        <v>4.5259999999999998</v>
      </c>
    </row>
    <row r="306" spans="1:4" ht="15.75">
      <c r="A306" s="5" t="s">
        <v>31</v>
      </c>
      <c r="B306" s="8" t="s">
        <v>1393</v>
      </c>
      <c r="C306" s="2">
        <v>305</v>
      </c>
      <c r="D306" s="8">
        <v>4.5259999999999998</v>
      </c>
    </row>
    <row r="307" spans="1:4" ht="15.75">
      <c r="A307" s="3" t="s">
        <v>29</v>
      </c>
      <c r="B307" s="8" t="s">
        <v>1393</v>
      </c>
      <c r="C307" s="2">
        <v>306</v>
      </c>
      <c r="D307" s="8">
        <v>4.5259999999999998</v>
      </c>
    </row>
    <row r="308" spans="1:4" ht="15.75">
      <c r="A308" s="5" t="s">
        <v>30</v>
      </c>
      <c r="B308" s="8" t="s">
        <v>1393</v>
      </c>
      <c r="C308" s="2">
        <v>307</v>
      </c>
      <c r="D308" s="8">
        <v>4.5259999999999998</v>
      </c>
    </row>
    <row r="309" spans="1:4" ht="15.75">
      <c r="A309" s="3" t="s">
        <v>21</v>
      </c>
      <c r="B309" s="8" t="s">
        <v>1393</v>
      </c>
      <c r="C309" s="2">
        <v>308</v>
      </c>
      <c r="D309" s="8">
        <v>4.5259999999999998</v>
      </c>
    </row>
    <row r="310" spans="1:4" ht="15.75">
      <c r="A310" s="5" t="s">
        <v>107</v>
      </c>
      <c r="B310" s="8" t="s">
        <v>1393</v>
      </c>
      <c r="C310" s="2">
        <v>309</v>
      </c>
      <c r="D310" s="8">
        <v>4.5259999999999998</v>
      </c>
    </row>
    <row r="311" spans="1:4" ht="15.75">
      <c r="A311" s="3" t="s">
        <v>802</v>
      </c>
      <c r="B311" s="8" t="s">
        <v>1393</v>
      </c>
      <c r="C311" s="2">
        <v>310</v>
      </c>
      <c r="D311" s="8">
        <v>4.5030000000000001</v>
      </c>
    </row>
    <row r="312" spans="1:4" ht="15.75">
      <c r="A312" s="5" t="s">
        <v>803</v>
      </c>
      <c r="B312" s="8" t="s">
        <v>1393</v>
      </c>
      <c r="C312" s="2">
        <v>311</v>
      </c>
      <c r="D312" s="8">
        <v>4.5030000000000001</v>
      </c>
    </row>
    <row r="313" spans="1:4" ht="15.75">
      <c r="A313" s="3" t="s">
        <v>804</v>
      </c>
      <c r="B313" s="8" t="s">
        <v>1393</v>
      </c>
      <c r="C313" s="2">
        <v>312</v>
      </c>
      <c r="D313" s="8">
        <v>4.4950000000000001</v>
      </c>
    </row>
    <row r="314" spans="1:4" ht="15.75">
      <c r="A314" s="5" t="s">
        <v>805</v>
      </c>
      <c r="B314" s="8" t="s">
        <v>1393</v>
      </c>
      <c r="C314" s="2">
        <v>313</v>
      </c>
      <c r="D314" s="8">
        <v>4.4950000000000001</v>
      </c>
    </row>
    <row r="315" spans="1:4" ht="15.75">
      <c r="A315" s="3" t="s">
        <v>806</v>
      </c>
      <c r="B315" s="8" t="s">
        <v>1393</v>
      </c>
      <c r="C315" s="2">
        <v>314</v>
      </c>
      <c r="D315" s="8">
        <v>4.4950000000000001</v>
      </c>
    </row>
    <row r="316" spans="1:4" ht="15.75">
      <c r="A316" s="5" t="s">
        <v>807</v>
      </c>
      <c r="B316" s="8" t="s">
        <v>1393</v>
      </c>
      <c r="C316" s="2">
        <v>315</v>
      </c>
      <c r="D316" s="8">
        <v>4.4950000000000001</v>
      </c>
    </row>
    <row r="317" spans="1:4" ht="15.75">
      <c r="A317" s="3" t="s">
        <v>808</v>
      </c>
      <c r="B317" s="8" t="s">
        <v>1393</v>
      </c>
      <c r="C317" s="2">
        <v>316</v>
      </c>
      <c r="D317" s="8">
        <v>4.4950000000000001</v>
      </c>
    </row>
    <row r="318" spans="1:4" ht="15.75">
      <c r="A318" s="5" t="s">
        <v>809</v>
      </c>
      <c r="B318" s="8" t="s">
        <v>1393</v>
      </c>
      <c r="C318" s="2">
        <v>317</v>
      </c>
      <c r="D318" s="8">
        <v>4.4950000000000001</v>
      </c>
    </row>
    <row r="319" spans="1:4" ht="15.75">
      <c r="A319" s="3" t="s">
        <v>810</v>
      </c>
      <c r="B319" s="8" t="s">
        <v>1393</v>
      </c>
      <c r="C319" s="2">
        <v>318</v>
      </c>
      <c r="D319" s="8">
        <v>4.4660000000000011</v>
      </c>
    </row>
    <row r="320" spans="1:4" ht="15.75">
      <c r="A320" s="5" t="s">
        <v>811</v>
      </c>
      <c r="B320" s="8" t="s">
        <v>1393</v>
      </c>
      <c r="C320" s="2">
        <v>319</v>
      </c>
      <c r="D320" s="8">
        <v>4.4660000000000011</v>
      </c>
    </row>
    <row r="321" spans="1:4" ht="15.75">
      <c r="A321" s="3" t="s">
        <v>812</v>
      </c>
      <c r="B321" s="8" t="s">
        <v>1393</v>
      </c>
      <c r="C321" s="2">
        <v>320</v>
      </c>
      <c r="D321" s="8">
        <v>4.4649999999999999</v>
      </c>
    </row>
    <row r="322" spans="1:4" ht="15.75">
      <c r="A322" s="5" t="s">
        <v>813</v>
      </c>
      <c r="B322" s="8" t="s">
        <v>1393</v>
      </c>
      <c r="C322" s="2">
        <v>321</v>
      </c>
      <c r="D322" s="8">
        <v>4.4649999999999999</v>
      </c>
    </row>
    <row r="323" spans="1:4" ht="15.75">
      <c r="A323" s="3" t="s">
        <v>814</v>
      </c>
      <c r="B323" s="8" t="s">
        <v>1393</v>
      </c>
      <c r="C323" s="2">
        <v>322</v>
      </c>
      <c r="D323" s="8">
        <v>4.4649999999999999</v>
      </c>
    </row>
    <row r="324" spans="1:4" ht="15.75">
      <c r="A324" s="5" t="s">
        <v>269</v>
      </c>
      <c r="B324" s="8" t="s">
        <v>1393</v>
      </c>
      <c r="C324" s="2">
        <v>323</v>
      </c>
      <c r="D324" s="8">
        <v>4.4379999999999997</v>
      </c>
    </row>
    <row r="325" spans="1:4" ht="15.75">
      <c r="A325" s="3" t="s">
        <v>1158</v>
      </c>
      <c r="B325" s="8" t="s">
        <v>1393</v>
      </c>
      <c r="C325" s="2">
        <v>324</v>
      </c>
      <c r="D325" s="8">
        <v>4.4330000000000007</v>
      </c>
    </row>
    <row r="326" spans="1:4" ht="15.75">
      <c r="A326" s="5" t="s">
        <v>590</v>
      </c>
      <c r="B326" s="8" t="s">
        <v>1393</v>
      </c>
      <c r="C326" s="2">
        <v>325</v>
      </c>
      <c r="D326" s="8">
        <v>4.4330000000000007</v>
      </c>
    </row>
    <row r="327" spans="1:4" ht="15.75">
      <c r="A327" s="3" t="s">
        <v>815</v>
      </c>
      <c r="B327" s="8" t="s">
        <v>1393</v>
      </c>
      <c r="C327" s="2">
        <v>326</v>
      </c>
      <c r="D327" s="8">
        <v>4.4000000000000004</v>
      </c>
    </row>
    <row r="328" spans="1:4" ht="15.75">
      <c r="A328" s="5" t="s">
        <v>816</v>
      </c>
      <c r="B328" s="8" t="s">
        <v>1393</v>
      </c>
      <c r="C328" s="2">
        <v>327</v>
      </c>
      <c r="D328" s="8">
        <v>4.3570000000000002</v>
      </c>
    </row>
    <row r="329" spans="1:4" ht="15.75">
      <c r="A329" s="3" t="s">
        <v>817</v>
      </c>
      <c r="B329" s="8" t="s">
        <v>1393</v>
      </c>
      <c r="C329" s="2">
        <v>328</v>
      </c>
      <c r="D329" s="8">
        <v>4.3570000000000002</v>
      </c>
    </row>
    <row r="330" spans="1:4" ht="15.75">
      <c r="A330" s="5" t="s">
        <v>818</v>
      </c>
      <c r="B330" s="8" t="s">
        <v>1393</v>
      </c>
      <c r="C330" s="2">
        <v>329</v>
      </c>
      <c r="D330" s="8">
        <v>4.3570000000000002</v>
      </c>
    </row>
    <row r="331" spans="1:4" ht="15.75">
      <c r="A331" s="3" t="s">
        <v>819</v>
      </c>
      <c r="B331" s="8" t="s">
        <v>1393</v>
      </c>
      <c r="C331" s="2">
        <v>330</v>
      </c>
      <c r="D331" s="8">
        <v>4.3570000000000002</v>
      </c>
    </row>
    <row r="332" spans="1:4" ht="15.75">
      <c r="A332" s="5" t="s">
        <v>115</v>
      </c>
      <c r="B332" s="8" t="s">
        <v>1393</v>
      </c>
      <c r="C332" s="2">
        <v>331</v>
      </c>
      <c r="D332" s="8">
        <v>4.3520000000000003</v>
      </c>
    </row>
    <row r="333" spans="1:4" ht="15.75">
      <c r="A333" s="3" t="s">
        <v>116</v>
      </c>
      <c r="B333" s="8" t="s">
        <v>1393</v>
      </c>
      <c r="C333" s="2">
        <v>332</v>
      </c>
      <c r="D333" s="8">
        <v>4.3520000000000003</v>
      </c>
    </row>
    <row r="334" spans="1:4" ht="15.75">
      <c r="A334" s="5" t="s">
        <v>130</v>
      </c>
      <c r="B334" s="8" t="s">
        <v>1393</v>
      </c>
      <c r="C334" s="2">
        <v>333</v>
      </c>
      <c r="D334" s="8">
        <v>4.3520000000000003</v>
      </c>
    </row>
    <row r="335" spans="1:4" ht="15.75">
      <c r="A335" s="3" t="s">
        <v>131</v>
      </c>
      <c r="B335" s="8" t="s">
        <v>1393</v>
      </c>
      <c r="C335" s="2">
        <v>334</v>
      </c>
      <c r="D335" s="8">
        <v>4.3520000000000003</v>
      </c>
    </row>
    <row r="336" spans="1:4" ht="15.75">
      <c r="A336" s="5" t="s">
        <v>820</v>
      </c>
      <c r="B336" s="8" t="s">
        <v>1393</v>
      </c>
      <c r="C336" s="2">
        <v>335</v>
      </c>
      <c r="D336" s="8">
        <v>4.3520000000000003</v>
      </c>
    </row>
    <row r="337" spans="1:4" ht="15.75">
      <c r="A337" s="3" t="s">
        <v>417</v>
      </c>
      <c r="B337" s="8" t="s">
        <v>1393</v>
      </c>
      <c r="C337" s="2">
        <v>336</v>
      </c>
      <c r="D337" s="8">
        <v>4.3490000000000002</v>
      </c>
    </row>
    <row r="338" spans="1:4" ht="15.75">
      <c r="A338" s="5" t="s">
        <v>419</v>
      </c>
      <c r="B338" s="8" t="s">
        <v>1393</v>
      </c>
      <c r="C338" s="2">
        <v>337</v>
      </c>
      <c r="D338" s="8">
        <v>4.3490000000000002</v>
      </c>
    </row>
    <row r="339" spans="1:4" ht="15.75">
      <c r="A339" s="3" t="s">
        <v>420</v>
      </c>
      <c r="B339" s="8" t="s">
        <v>1393</v>
      </c>
      <c r="C339" s="2">
        <v>338</v>
      </c>
      <c r="D339" s="8">
        <v>4.3490000000000002</v>
      </c>
    </row>
    <row r="340" spans="1:4" ht="15.75">
      <c r="A340" s="5" t="s">
        <v>421</v>
      </c>
      <c r="B340" s="8" t="s">
        <v>1393</v>
      </c>
      <c r="C340" s="2">
        <v>339</v>
      </c>
      <c r="D340" s="8">
        <v>4.3490000000000002</v>
      </c>
    </row>
    <row r="341" spans="1:4" ht="15.75">
      <c r="A341" s="3" t="s">
        <v>422</v>
      </c>
      <c r="B341" s="8" t="s">
        <v>1393</v>
      </c>
      <c r="C341" s="2">
        <v>340</v>
      </c>
      <c r="D341" s="8">
        <v>4.3490000000000002</v>
      </c>
    </row>
    <row r="342" spans="1:4" ht="15.75">
      <c r="A342" s="5" t="s">
        <v>423</v>
      </c>
      <c r="B342" s="8" t="s">
        <v>1393</v>
      </c>
      <c r="C342" s="2">
        <v>341</v>
      </c>
      <c r="D342" s="8">
        <v>4.3490000000000002</v>
      </c>
    </row>
    <row r="343" spans="1:4" ht="15.75">
      <c r="A343" s="3" t="s">
        <v>424</v>
      </c>
      <c r="B343" s="8" t="s">
        <v>1393</v>
      </c>
      <c r="C343" s="2">
        <v>342</v>
      </c>
      <c r="D343" s="8">
        <v>4.3490000000000002</v>
      </c>
    </row>
    <row r="344" spans="1:4" ht="15.75">
      <c r="A344" s="5" t="s">
        <v>431</v>
      </c>
      <c r="B344" s="8" t="s">
        <v>1393</v>
      </c>
      <c r="C344" s="2">
        <v>343</v>
      </c>
      <c r="D344" s="8">
        <v>4.3490000000000002</v>
      </c>
    </row>
    <row r="345" spans="1:4" ht="15.75">
      <c r="A345" s="3" t="s">
        <v>432</v>
      </c>
      <c r="B345" s="8" t="s">
        <v>1393</v>
      </c>
      <c r="C345" s="2">
        <v>344</v>
      </c>
      <c r="D345" s="8">
        <v>4.3490000000000002</v>
      </c>
    </row>
    <row r="346" spans="1:4" ht="15.75">
      <c r="A346" s="5" t="s">
        <v>433</v>
      </c>
      <c r="B346" s="8" t="s">
        <v>1393</v>
      </c>
      <c r="C346" s="2">
        <v>345</v>
      </c>
      <c r="D346" s="8">
        <v>4.3490000000000002</v>
      </c>
    </row>
    <row r="347" spans="1:4" ht="15.75">
      <c r="A347" s="3" t="s">
        <v>434</v>
      </c>
      <c r="B347" s="8" t="s">
        <v>1393</v>
      </c>
      <c r="C347" s="2">
        <v>346</v>
      </c>
      <c r="D347" s="8">
        <v>4.3490000000000002</v>
      </c>
    </row>
    <row r="348" spans="1:4" ht="15.75">
      <c r="A348" s="5" t="s">
        <v>569</v>
      </c>
      <c r="B348" s="8" t="s">
        <v>1393</v>
      </c>
      <c r="C348" s="2">
        <v>347</v>
      </c>
      <c r="D348" s="8">
        <v>4.3490000000000002</v>
      </c>
    </row>
    <row r="349" spans="1:4" ht="15.75">
      <c r="A349" s="3" t="s">
        <v>570</v>
      </c>
      <c r="B349" s="8" t="s">
        <v>1393</v>
      </c>
      <c r="C349" s="2">
        <v>348</v>
      </c>
      <c r="D349" s="8">
        <v>4.3490000000000002</v>
      </c>
    </row>
    <row r="350" spans="1:4" ht="15.75">
      <c r="A350" s="5" t="s">
        <v>571</v>
      </c>
      <c r="B350" s="8" t="s">
        <v>1393</v>
      </c>
      <c r="C350" s="2">
        <v>349</v>
      </c>
      <c r="D350" s="8">
        <v>4.3490000000000002</v>
      </c>
    </row>
    <row r="351" spans="1:4" ht="15.75">
      <c r="A351" s="3" t="s">
        <v>572</v>
      </c>
      <c r="B351" s="8" t="s">
        <v>1393</v>
      </c>
      <c r="C351" s="2">
        <v>350</v>
      </c>
      <c r="D351" s="8">
        <v>4.3490000000000002</v>
      </c>
    </row>
    <row r="352" spans="1:4" ht="15.75">
      <c r="A352" s="5" t="s">
        <v>623</v>
      </c>
      <c r="B352" s="8" t="s">
        <v>1393</v>
      </c>
      <c r="C352" s="2">
        <v>351</v>
      </c>
      <c r="D352" s="8">
        <v>4.3490000000000002</v>
      </c>
    </row>
    <row r="353" spans="1:4" ht="15.75">
      <c r="A353" s="3" t="s">
        <v>631</v>
      </c>
      <c r="B353" s="8" t="s">
        <v>1393</v>
      </c>
      <c r="C353" s="2">
        <v>352</v>
      </c>
      <c r="D353" s="8">
        <v>4.3490000000000002</v>
      </c>
    </row>
    <row r="354" spans="1:4" ht="15.75">
      <c r="A354" s="5" t="s">
        <v>632</v>
      </c>
      <c r="B354" s="8" t="s">
        <v>1393</v>
      </c>
      <c r="C354" s="2">
        <v>353</v>
      </c>
      <c r="D354" s="8">
        <v>4.3490000000000002</v>
      </c>
    </row>
    <row r="355" spans="1:4" ht="15.75">
      <c r="A355" s="3" t="s">
        <v>639</v>
      </c>
      <c r="B355" s="8" t="s">
        <v>1393</v>
      </c>
      <c r="C355" s="2">
        <v>354</v>
      </c>
      <c r="D355" s="8">
        <v>4.3490000000000002</v>
      </c>
    </row>
    <row r="356" spans="1:4" ht="15.75">
      <c r="A356" s="5" t="s">
        <v>640</v>
      </c>
      <c r="B356" s="8" t="s">
        <v>1393</v>
      </c>
      <c r="C356" s="2">
        <v>355</v>
      </c>
      <c r="D356" s="8">
        <v>4.3490000000000002</v>
      </c>
    </row>
    <row r="357" spans="1:4" ht="15.75">
      <c r="A357" s="3" t="s">
        <v>821</v>
      </c>
      <c r="B357" s="8" t="s">
        <v>1393</v>
      </c>
      <c r="C357" s="2">
        <v>356</v>
      </c>
      <c r="D357" s="8">
        <v>4.319</v>
      </c>
    </row>
    <row r="358" spans="1:4" ht="15.75">
      <c r="A358" s="5" t="s">
        <v>822</v>
      </c>
      <c r="B358" s="8" t="s">
        <v>1393</v>
      </c>
      <c r="C358" s="2">
        <v>357</v>
      </c>
      <c r="D358" s="8">
        <v>4.2815000000000003</v>
      </c>
    </row>
    <row r="359" spans="1:4" ht="15.75">
      <c r="A359" s="3" t="s">
        <v>823</v>
      </c>
      <c r="B359" s="8" t="s">
        <v>1393</v>
      </c>
      <c r="C359" s="2">
        <v>358</v>
      </c>
      <c r="D359" s="8">
        <v>4.2815000000000003</v>
      </c>
    </row>
    <row r="360" spans="1:4" ht="15.75">
      <c r="A360" s="5" t="s">
        <v>824</v>
      </c>
      <c r="B360" s="8" t="s">
        <v>1393</v>
      </c>
      <c r="C360" s="2">
        <v>359</v>
      </c>
      <c r="D360" s="8">
        <v>4.2815000000000003</v>
      </c>
    </row>
    <row r="361" spans="1:4" ht="15.75">
      <c r="A361" s="3" t="s">
        <v>825</v>
      </c>
      <c r="B361" s="8" t="s">
        <v>1393</v>
      </c>
      <c r="C361" s="2">
        <v>360</v>
      </c>
      <c r="D361" s="8">
        <v>4.2815000000000003</v>
      </c>
    </row>
    <row r="362" spans="1:4" ht="15.75">
      <c r="A362" s="5" t="s">
        <v>826</v>
      </c>
      <c r="B362" s="8" t="s">
        <v>1393</v>
      </c>
      <c r="C362" s="2">
        <v>361</v>
      </c>
      <c r="D362" s="8">
        <v>4.2815000000000003</v>
      </c>
    </row>
    <row r="363" spans="1:4" ht="15.75">
      <c r="A363" s="3" t="s">
        <v>827</v>
      </c>
      <c r="B363" s="8" t="s">
        <v>1393</v>
      </c>
      <c r="C363" s="2">
        <v>362</v>
      </c>
      <c r="D363" s="8">
        <v>4.2815000000000003</v>
      </c>
    </row>
    <row r="364" spans="1:4" ht="15.75">
      <c r="A364" s="5" t="s">
        <v>828</v>
      </c>
      <c r="B364" s="8" t="s">
        <v>1393</v>
      </c>
      <c r="C364" s="2">
        <v>363</v>
      </c>
      <c r="D364" s="8">
        <v>4.2690000000000001</v>
      </c>
    </row>
    <row r="365" spans="1:4" ht="15.75">
      <c r="A365" s="3" t="s">
        <v>829</v>
      </c>
      <c r="B365" s="8" t="s">
        <v>1393</v>
      </c>
      <c r="C365" s="2">
        <v>364</v>
      </c>
      <c r="D365" s="8">
        <v>4.2690000000000001</v>
      </c>
    </row>
    <row r="366" spans="1:4" ht="15.75">
      <c r="A366" s="5" t="s">
        <v>830</v>
      </c>
      <c r="B366" s="8" t="s">
        <v>1393</v>
      </c>
      <c r="C366" s="2">
        <v>365</v>
      </c>
      <c r="D366" s="8">
        <v>4.2690000000000001</v>
      </c>
    </row>
    <row r="367" spans="1:4" ht="15.75">
      <c r="A367" s="3" t="s">
        <v>831</v>
      </c>
      <c r="B367" s="8" t="s">
        <v>1393</v>
      </c>
      <c r="C367" s="2">
        <v>366</v>
      </c>
      <c r="D367" s="8">
        <v>4.266</v>
      </c>
    </row>
    <row r="368" spans="1:4" ht="15.75">
      <c r="A368" s="5" t="s">
        <v>27</v>
      </c>
      <c r="B368" s="8" t="s">
        <v>1393</v>
      </c>
      <c r="C368" s="2">
        <v>367</v>
      </c>
      <c r="D368" s="8">
        <v>4.2300000000000004</v>
      </c>
    </row>
    <row r="369" spans="1:4" ht="15.75">
      <c r="A369" s="3" t="s">
        <v>505</v>
      </c>
      <c r="B369" s="8" t="s">
        <v>1393</v>
      </c>
      <c r="C369" s="2">
        <v>368</v>
      </c>
      <c r="D369" s="8">
        <v>4.2270000000000003</v>
      </c>
    </row>
    <row r="370" spans="1:4" ht="15.75">
      <c r="A370" s="5" t="s">
        <v>508</v>
      </c>
      <c r="B370" s="8" t="s">
        <v>1393</v>
      </c>
      <c r="C370" s="2">
        <v>369</v>
      </c>
      <c r="D370" s="8">
        <v>4.2270000000000003</v>
      </c>
    </row>
    <row r="371" spans="1:4" ht="15.75">
      <c r="A371" s="3" t="s">
        <v>832</v>
      </c>
      <c r="B371" s="8" t="s">
        <v>1393</v>
      </c>
      <c r="C371" s="2">
        <v>370</v>
      </c>
      <c r="D371" s="8">
        <v>4.2210000000000001</v>
      </c>
    </row>
    <row r="372" spans="1:4" ht="15.75">
      <c r="A372" s="5" t="s">
        <v>289</v>
      </c>
      <c r="B372" s="8" t="s">
        <v>1393</v>
      </c>
      <c r="C372" s="2">
        <v>371</v>
      </c>
      <c r="D372" s="8">
        <v>4.2200000000000006</v>
      </c>
    </row>
    <row r="373" spans="1:4" ht="15.75">
      <c r="A373" s="3" t="s">
        <v>16</v>
      </c>
      <c r="B373" s="8" t="s">
        <v>1393</v>
      </c>
      <c r="C373" s="2">
        <v>372</v>
      </c>
      <c r="D373" s="8">
        <v>4.2050000000000001</v>
      </c>
    </row>
    <row r="374" spans="1:4" ht="15.75">
      <c r="A374" s="5" t="s">
        <v>15</v>
      </c>
      <c r="B374" s="8" t="s">
        <v>1393</v>
      </c>
      <c r="C374" s="2">
        <v>373</v>
      </c>
      <c r="D374" s="8">
        <v>4.2050000000000001</v>
      </c>
    </row>
    <row r="375" spans="1:4" ht="15.75">
      <c r="A375" s="3" t="s">
        <v>17</v>
      </c>
      <c r="B375" s="8" t="s">
        <v>1393</v>
      </c>
      <c r="C375" s="2">
        <v>374</v>
      </c>
      <c r="D375" s="8">
        <v>4.2050000000000001</v>
      </c>
    </row>
    <row r="376" spans="1:4" ht="15.75">
      <c r="A376" s="5" t="s">
        <v>19</v>
      </c>
      <c r="B376" s="8" t="s">
        <v>1393</v>
      </c>
      <c r="C376" s="2">
        <v>375</v>
      </c>
      <c r="D376" s="8">
        <v>4.2050000000000001</v>
      </c>
    </row>
    <row r="377" spans="1:4" ht="15.75">
      <c r="A377" s="3" t="s">
        <v>18</v>
      </c>
      <c r="B377" s="8" t="s">
        <v>1393</v>
      </c>
      <c r="C377" s="2">
        <v>376</v>
      </c>
      <c r="D377" s="8">
        <v>4.2050000000000001</v>
      </c>
    </row>
    <row r="378" spans="1:4" ht="15.75">
      <c r="A378" s="5" t="s">
        <v>20</v>
      </c>
      <c r="B378" s="8" t="s">
        <v>1393</v>
      </c>
      <c r="C378" s="2">
        <v>377</v>
      </c>
      <c r="D378" s="8">
        <v>4.2050000000000001</v>
      </c>
    </row>
    <row r="379" spans="1:4" ht="15.75">
      <c r="A379" s="3" t="s">
        <v>303</v>
      </c>
      <c r="B379" s="8" t="s">
        <v>1393</v>
      </c>
      <c r="C379" s="2">
        <v>378</v>
      </c>
      <c r="D379" s="8">
        <v>4.194</v>
      </c>
    </row>
    <row r="380" spans="1:4" ht="15.75">
      <c r="A380" s="5" t="s">
        <v>302</v>
      </c>
      <c r="B380" s="8" t="s">
        <v>1393</v>
      </c>
      <c r="C380" s="2">
        <v>379</v>
      </c>
      <c r="D380" s="8">
        <v>4.194</v>
      </c>
    </row>
    <row r="381" spans="1:4" ht="15.75">
      <c r="A381" s="3" t="s">
        <v>270</v>
      </c>
      <c r="B381" s="8" t="s">
        <v>1393</v>
      </c>
      <c r="C381" s="2">
        <v>380</v>
      </c>
      <c r="D381" s="8">
        <v>4.1879999999999997</v>
      </c>
    </row>
    <row r="382" spans="1:4" ht="15.75">
      <c r="A382" s="5" t="s">
        <v>833</v>
      </c>
      <c r="B382" s="8" t="s">
        <v>1393</v>
      </c>
      <c r="C382" s="2">
        <v>381</v>
      </c>
      <c r="D382" s="8">
        <v>4.1579999999999995</v>
      </c>
    </row>
    <row r="383" spans="1:4" ht="15.75">
      <c r="A383" s="3" t="s">
        <v>834</v>
      </c>
      <c r="B383" s="8" t="s">
        <v>1393</v>
      </c>
      <c r="C383" s="2">
        <v>382</v>
      </c>
      <c r="D383" s="8">
        <v>4.1579999999999995</v>
      </c>
    </row>
    <row r="384" spans="1:4" ht="15.75">
      <c r="A384" s="5" t="s">
        <v>835</v>
      </c>
      <c r="B384" s="8" t="s">
        <v>1393</v>
      </c>
      <c r="C384" s="2">
        <v>383</v>
      </c>
      <c r="D384" s="8">
        <v>4.141</v>
      </c>
    </row>
    <row r="385" spans="1:4" ht="15.75">
      <c r="A385" s="3" t="s">
        <v>26</v>
      </c>
      <c r="B385" s="8" t="s">
        <v>1393</v>
      </c>
      <c r="C385" s="2">
        <v>384</v>
      </c>
      <c r="D385" s="8">
        <v>4.1300000000000008</v>
      </c>
    </row>
    <row r="386" spans="1:4" ht="15.75">
      <c r="A386" s="5" t="s">
        <v>836</v>
      </c>
      <c r="B386" s="8" t="s">
        <v>1393</v>
      </c>
      <c r="C386" s="2">
        <v>385</v>
      </c>
      <c r="D386" s="8">
        <v>4.1189999999999998</v>
      </c>
    </row>
    <row r="387" spans="1:4" ht="15.75">
      <c r="A387" s="3" t="s">
        <v>837</v>
      </c>
      <c r="B387" s="8" t="s">
        <v>1393</v>
      </c>
      <c r="C387" s="2">
        <v>386</v>
      </c>
      <c r="D387" s="8">
        <v>4.1189999999999998</v>
      </c>
    </row>
    <row r="388" spans="1:4" ht="15.75">
      <c r="A388" s="5" t="s">
        <v>838</v>
      </c>
      <c r="B388" s="8" t="s">
        <v>1393</v>
      </c>
      <c r="C388" s="2">
        <v>387</v>
      </c>
      <c r="D388" s="8">
        <v>4.1130000000000004</v>
      </c>
    </row>
    <row r="389" spans="1:4" ht="15.75">
      <c r="A389" s="3" t="s">
        <v>839</v>
      </c>
      <c r="B389" s="8" t="s">
        <v>1393</v>
      </c>
      <c r="C389" s="2">
        <v>388</v>
      </c>
      <c r="D389" s="8">
        <v>4.1130000000000004</v>
      </c>
    </row>
    <row r="390" spans="1:4" ht="15.75">
      <c r="A390" s="5" t="s">
        <v>840</v>
      </c>
      <c r="B390" s="8" t="s">
        <v>1393</v>
      </c>
      <c r="C390" s="2">
        <v>389</v>
      </c>
      <c r="D390" s="8">
        <v>4.1130000000000004</v>
      </c>
    </row>
    <row r="391" spans="1:4" ht="15.75">
      <c r="A391" s="3" t="s">
        <v>841</v>
      </c>
      <c r="B391" s="8" t="s">
        <v>1393</v>
      </c>
      <c r="C391" s="2">
        <v>390</v>
      </c>
      <c r="D391" s="8">
        <v>4.1130000000000004</v>
      </c>
    </row>
    <row r="392" spans="1:4" ht="15.75">
      <c r="A392" s="5" t="s">
        <v>842</v>
      </c>
      <c r="B392" s="8" t="s">
        <v>1393</v>
      </c>
      <c r="C392" s="2">
        <v>391</v>
      </c>
      <c r="D392" s="8">
        <v>4.1130000000000004</v>
      </c>
    </row>
    <row r="393" spans="1:4" ht="15.75">
      <c r="A393" s="3" t="s">
        <v>843</v>
      </c>
      <c r="B393" s="8" t="s">
        <v>1393</v>
      </c>
      <c r="C393" s="2">
        <v>392</v>
      </c>
      <c r="D393" s="8">
        <v>4.1130000000000004</v>
      </c>
    </row>
    <row r="394" spans="1:4" ht="15.75">
      <c r="A394" s="5" t="s">
        <v>77</v>
      </c>
      <c r="B394" s="8" t="s">
        <v>1393</v>
      </c>
      <c r="C394" s="2">
        <v>393</v>
      </c>
      <c r="D394" s="8">
        <v>4.1029999999999998</v>
      </c>
    </row>
    <row r="395" spans="1:4" ht="15.75">
      <c r="A395" s="3" t="s">
        <v>76</v>
      </c>
      <c r="B395" s="8" t="s">
        <v>1393</v>
      </c>
      <c r="C395" s="2">
        <v>394</v>
      </c>
      <c r="D395" s="8">
        <v>4.1029999999999998</v>
      </c>
    </row>
    <row r="396" spans="1:4" ht="15.75">
      <c r="A396" s="5" t="s">
        <v>75</v>
      </c>
      <c r="B396" s="8" t="s">
        <v>1393</v>
      </c>
      <c r="C396" s="2">
        <v>395</v>
      </c>
      <c r="D396" s="8">
        <v>4.1029999999999998</v>
      </c>
    </row>
    <row r="397" spans="1:4" ht="15.75">
      <c r="A397" s="3" t="s">
        <v>291</v>
      </c>
      <c r="B397" s="8" t="s">
        <v>1393</v>
      </c>
      <c r="C397" s="2">
        <v>396</v>
      </c>
      <c r="D397" s="8">
        <v>4.1029999999999998</v>
      </c>
    </row>
    <row r="398" spans="1:4" ht="15.75">
      <c r="A398" s="5" t="s">
        <v>83</v>
      </c>
      <c r="B398" s="8" t="s">
        <v>1393</v>
      </c>
      <c r="C398" s="2">
        <v>397</v>
      </c>
      <c r="D398" s="8">
        <v>4.1029999999999998</v>
      </c>
    </row>
    <row r="399" spans="1:4" ht="15.75">
      <c r="A399" s="3" t="s">
        <v>84</v>
      </c>
      <c r="B399" s="8" t="s">
        <v>1393</v>
      </c>
      <c r="C399" s="2">
        <v>398</v>
      </c>
      <c r="D399" s="8">
        <v>4.1029999999999998</v>
      </c>
    </row>
    <row r="400" spans="1:4" ht="15.75">
      <c r="A400" s="5" t="s">
        <v>844</v>
      </c>
      <c r="B400" s="8" t="s">
        <v>1393</v>
      </c>
      <c r="C400" s="2">
        <v>399</v>
      </c>
      <c r="D400" s="8">
        <v>4.0890000000000004</v>
      </c>
    </row>
    <row r="401" spans="1:4" ht="15.75">
      <c r="A401" s="3" t="s">
        <v>845</v>
      </c>
      <c r="B401" s="8" t="s">
        <v>1393</v>
      </c>
      <c r="C401" s="2">
        <v>400</v>
      </c>
      <c r="D401" s="8">
        <v>4.0890000000000004</v>
      </c>
    </row>
    <row r="402" spans="1:4" ht="15.75">
      <c r="A402" s="5" t="s">
        <v>846</v>
      </c>
      <c r="B402" s="8" t="s">
        <v>1393</v>
      </c>
      <c r="C402" s="2">
        <v>401</v>
      </c>
      <c r="D402" s="8">
        <v>4.0890000000000004</v>
      </c>
    </row>
    <row r="403" spans="1:4" ht="15.75">
      <c r="A403" s="3" t="s">
        <v>847</v>
      </c>
      <c r="B403" s="8" t="s">
        <v>1393</v>
      </c>
      <c r="C403" s="2">
        <v>402</v>
      </c>
      <c r="D403" s="8">
        <v>4.0659999999999998</v>
      </c>
    </row>
    <row r="404" spans="1:4" ht="15.75">
      <c r="A404" s="5" t="s">
        <v>848</v>
      </c>
      <c r="B404" s="8" t="s">
        <v>1393</v>
      </c>
      <c r="C404" s="2">
        <v>403</v>
      </c>
      <c r="D404" s="8">
        <v>4.0659999999999998</v>
      </c>
    </row>
    <row r="405" spans="1:4" ht="15.75">
      <c r="A405" s="3" t="s">
        <v>849</v>
      </c>
      <c r="B405" s="8" t="s">
        <v>1393</v>
      </c>
      <c r="C405" s="2">
        <v>404</v>
      </c>
      <c r="D405" s="8">
        <v>4.0659999999999998</v>
      </c>
    </row>
    <row r="406" spans="1:4" ht="15.75">
      <c r="A406" s="5" t="s">
        <v>850</v>
      </c>
      <c r="B406" s="8" t="s">
        <v>1393</v>
      </c>
      <c r="C406" s="2">
        <v>405</v>
      </c>
      <c r="D406" s="8">
        <v>4.0659999999999998</v>
      </c>
    </row>
    <row r="407" spans="1:4" ht="15.75">
      <c r="A407" s="3" t="s">
        <v>851</v>
      </c>
      <c r="B407" s="8" t="s">
        <v>1393</v>
      </c>
      <c r="C407" s="2">
        <v>406</v>
      </c>
      <c r="D407" s="8">
        <v>4.0659999999999998</v>
      </c>
    </row>
    <row r="408" spans="1:4" ht="15.75">
      <c r="A408" s="5" t="s">
        <v>852</v>
      </c>
      <c r="B408" s="8" t="s">
        <v>1393</v>
      </c>
      <c r="C408" s="2">
        <v>407</v>
      </c>
      <c r="D408" s="8">
        <v>4.0659999999999998</v>
      </c>
    </row>
    <row r="409" spans="1:4" ht="15.75">
      <c r="A409" s="3" t="s">
        <v>642</v>
      </c>
      <c r="B409" s="8" t="s">
        <v>1393</v>
      </c>
      <c r="C409" s="2">
        <v>408</v>
      </c>
      <c r="D409" s="8">
        <v>4.0449999999999999</v>
      </c>
    </row>
    <row r="410" spans="1:4" ht="15.75">
      <c r="A410" s="5" t="s">
        <v>853</v>
      </c>
      <c r="B410" s="8" t="s">
        <v>1393</v>
      </c>
      <c r="C410" s="2">
        <v>409</v>
      </c>
      <c r="D410" s="8">
        <v>4.0250000000000004</v>
      </c>
    </row>
    <row r="411" spans="1:4" ht="15.75">
      <c r="A411" s="3" t="s">
        <v>854</v>
      </c>
      <c r="B411" s="8" t="s">
        <v>1393</v>
      </c>
      <c r="C411" s="2">
        <v>410</v>
      </c>
      <c r="D411" s="8">
        <v>4.0250000000000004</v>
      </c>
    </row>
    <row r="412" spans="1:4" ht="15.75">
      <c r="A412" s="5" t="s">
        <v>855</v>
      </c>
      <c r="B412" s="8" t="s">
        <v>1393</v>
      </c>
      <c r="C412" s="2">
        <v>411</v>
      </c>
      <c r="D412" s="8">
        <v>4.0250000000000004</v>
      </c>
    </row>
    <row r="413" spans="1:4" ht="15.75">
      <c r="A413" s="3" t="s">
        <v>248</v>
      </c>
      <c r="B413" s="8" t="s">
        <v>1393</v>
      </c>
      <c r="C413" s="2">
        <v>412</v>
      </c>
      <c r="D413" s="8">
        <v>3.9489999999999998</v>
      </c>
    </row>
    <row r="414" spans="1:4" ht="15.75">
      <c r="A414" s="5" t="s">
        <v>249</v>
      </c>
      <c r="B414" s="8" t="s">
        <v>1393</v>
      </c>
      <c r="C414" s="2">
        <v>413</v>
      </c>
      <c r="D414" s="8">
        <v>3.9489999999999998</v>
      </c>
    </row>
    <row r="415" spans="1:4" ht="15.75">
      <c r="A415" s="3" t="s">
        <v>425</v>
      </c>
      <c r="B415" s="8" t="s">
        <v>1393</v>
      </c>
      <c r="C415" s="2">
        <v>414</v>
      </c>
      <c r="D415" s="8">
        <v>3.923</v>
      </c>
    </row>
    <row r="416" spans="1:4" ht="15.75">
      <c r="A416" s="5" t="s">
        <v>435</v>
      </c>
      <c r="B416" s="8" t="s">
        <v>1393</v>
      </c>
      <c r="C416" s="2">
        <v>415</v>
      </c>
      <c r="D416" s="8">
        <v>3.923</v>
      </c>
    </row>
    <row r="417" spans="1:4" ht="15.75">
      <c r="A417" s="3" t="s">
        <v>503</v>
      </c>
      <c r="B417" s="8" t="s">
        <v>1393</v>
      </c>
      <c r="C417" s="2">
        <v>416</v>
      </c>
      <c r="D417" s="8">
        <v>3.923</v>
      </c>
    </row>
    <row r="418" spans="1:4" ht="15.75">
      <c r="A418" s="5" t="s">
        <v>504</v>
      </c>
      <c r="B418" s="8" t="s">
        <v>1393</v>
      </c>
      <c r="C418" s="2">
        <v>417</v>
      </c>
      <c r="D418" s="8">
        <v>3.923</v>
      </c>
    </row>
    <row r="419" spans="1:4" ht="15.75">
      <c r="A419" s="3" t="s">
        <v>579</v>
      </c>
      <c r="B419" s="8" t="s">
        <v>1393</v>
      </c>
      <c r="C419" s="2">
        <v>418</v>
      </c>
      <c r="D419" s="8">
        <v>3.923</v>
      </c>
    </row>
    <row r="420" spans="1:4" ht="15.75">
      <c r="A420" s="5" t="s">
        <v>582</v>
      </c>
      <c r="B420" s="8" t="s">
        <v>1393</v>
      </c>
      <c r="C420" s="2">
        <v>419</v>
      </c>
      <c r="D420" s="8">
        <v>3.923</v>
      </c>
    </row>
    <row r="421" spans="1:4" ht="15.75">
      <c r="A421" s="3" t="s">
        <v>583</v>
      </c>
      <c r="B421" s="8" t="s">
        <v>1393</v>
      </c>
      <c r="C421" s="2">
        <v>420</v>
      </c>
      <c r="D421" s="8">
        <v>3.923</v>
      </c>
    </row>
    <row r="422" spans="1:4" ht="15.75">
      <c r="A422" s="5" t="s">
        <v>618</v>
      </c>
      <c r="B422" s="8" t="s">
        <v>1393</v>
      </c>
      <c r="C422" s="2">
        <v>421</v>
      </c>
      <c r="D422" s="8">
        <v>3.923</v>
      </c>
    </row>
    <row r="423" spans="1:4" ht="15.75">
      <c r="A423" s="3" t="s">
        <v>619</v>
      </c>
      <c r="B423" s="8" t="s">
        <v>1393</v>
      </c>
      <c r="C423" s="2">
        <v>422</v>
      </c>
      <c r="D423" s="8">
        <v>3.923</v>
      </c>
    </row>
    <row r="424" spans="1:4" ht="15.75">
      <c r="A424" s="5" t="s">
        <v>620</v>
      </c>
      <c r="B424" s="8" t="s">
        <v>1393</v>
      </c>
      <c r="C424" s="2">
        <v>423</v>
      </c>
      <c r="D424" s="8">
        <v>3.923</v>
      </c>
    </row>
    <row r="425" spans="1:4" ht="15.75">
      <c r="A425" s="3" t="s">
        <v>621</v>
      </c>
      <c r="B425" s="8" t="s">
        <v>1393</v>
      </c>
      <c r="C425" s="2">
        <v>424</v>
      </c>
      <c r="D425" s="8">
        <v>3.923</v>
      </c>
    </row>
    <row r="426" spans="1:4" ht="15.75">
      <c r="A426" s="5" t="s">
        <v>625</v>
      </c>
      <c r="B426" s="8" t="s">
        <v>1393</v>
      </c>
      <c r="C426" s="2">
        <v>425</v>
      </c>
      <c r="D426" s="8">
        <v>3.923</v>
      </c>
    </row>
    <row r="427" spans="1:4" ht="15.75">
      <c r="A427" s="3" t="s">
        <v>626</v>
      </c>
      <c r="B427" s="8" t="s">
        <v>1393</v>
      </c>
      <c r="C427" s="2">
        <v>426</v>
      </c>
      <c r="D427" s="8">
        <v>3.923</v>
      </c>
    </row>
    <row r="428" spans="1:4" ht="15.75">
      <c r="A428" s="5" t="s">
        <v>627</v>
      </c>
      <c r="B428" s="8" t="s">
        <v>1393</v>
      </c>
      <c r="C428" s="2">
        <v>427</v>
      </c>
      <c r="D428" s="8">
        <v>3.923</v>
      </c>
    </row>
    <row r="429" spans="1:4" ht="15.75">
      <c r="A429" s="3" t="s">
        <v>628</v>
      </c>
      <c r="B429" s="8" t="s">
        <v>1393</v>
      </c>
      <c r="C429" s="2">
        <v>428</v>
      </c>
      <c r="D429" s="8">
        <v>3.923</v>
      </c>
    </row>
    <row r="430" spans="1:4" ht="15.75">
      <c r="A430" s="5" t="s">
        <v>629</v>
      </c>
      <c r="B430" s="8" t="s">
        <v>1393</v>
      </c>
      <c r="C430" s="2">
        <v>429</v>
      </c>
      <c r="D430" s="8">
        <v>3.923</v>
      </c>
    </row>
    <row r="431" spans="1:4" ht="15.75">
      <c r="A431" s="3" t="s">
        <v>634</v>
      </c>
      <c r="B431" s="8" t="s">
        <v>1393</v>
      </c>
      <c r="C431" s="2">
        <v>430</v>
      </c>
      <c r="D431" s="8">
        <v>3.923</v>
      </c>
    </row>
    <row r="432" spans="1:4" ht="15.75">
      <c r="A432" s="5" t="s">
        <v>635</v>
      </c>
      <c r="B432" s="8" t="s">
        <v>1393</v>
      </c>
      <c r="C432" s="2">
        <v>431</v>
      </c>
      <c r="D432" s="8">
        <v>3.923</v>
      </c>
    </row>
    <row r="433" spans="1:4" ht="15.75">
      <c r="A433" s="3" t="s">
        <v>636</v>
      </c>
      <c r="B433" s="8" t="s">
        <v>1393</v>
      </c>
      <c r="C433" s="2">
        <v>432</v>
      </c>
      <c r="D433" s="8">
        <v>3.923</v>
      </c>
    </row>
    <row r="434" spans="1:4" ht="15.75">
      <c r="A434" s="5" t="s">
        <v>637</v>
      </c>
      <c r="B434" s="8" t="s">
        <v>1393</v>
      </c>
      <c r="C434" s="2">
        <v>433</v>
      </c>
      <c r="D434" s="8">
        <v>3.923</v>
      </c>
    </row>
    <row r="435" spans="1:4" ht="15.75">
      <c r="A435" s="3" t="s">
        <v>643</v>
      </c>
      <c r="B435" s="8" t="s">
        <v>1393</v>
      </c>
      <c r="C435" s="2">
        <v>434</v>
      </c>
      <c r="D435" s="8">
        <v>3.923</v>
      </c>
    </row>
    <row r="436" spans="1:4" ht="15.75">
      <c r="A436" s="5" t="s">
        <v>644</v>
      </c>
      <c r="B436" s="8" t="s">
        <v>1393</v>
      </c>
      <c r="C436" s="2">
        <v>435</v>
      </c>
      <c r="D436" s="8">
        <v>3.923</v>
      </c>
    </row>
    <row r="437" spans="1:4" ht="15.75">
      <c r="A437" s="3" t="s">
        <v>292</v>
      </c>
      <c r="B437" s="8" t="s">
        <v>1393</v>
      </c>
      <c r="C437" s="2">
        <v>436</v>
      </c>
      <c r="D437" s="8">
        <v>3.883</v>
      </c>
    </row>
    <row r="438" spans="1:4" ht="15.75">
      <c r="A438" s="5" t="s">
        <v>856</v>
      </c>
      <c r="B438" s="8" t="s">
        <v>1393</v>
      </c>
      <c r="C438" s="2">
        <v>437</v>
      </c>
      <c r="D438" s="8">
        <v>3.8460000000000001</v>
      </c>
    </row>
    <row r="439" spans="1:4" ht="15.75">
      <c r="A439" s="3" t="s">
        <v>857</v>
      </c>
      <c r="B439" s="8" t="s">
        <v>1393</v>
      </c>
      <c r="C439" s="2">
        <v>438</v>
      </c>
      <c r="D439" s="8">
        <v>3.8460000000000001</v>
      </c>
    </row>
    <row r="440" spans="1:4" ht="15.75">
      <c r="A440" s="5" t="s">
        <v>858</v>
      </c>
      <c r="B440" s="8" t="s">
        <v>1393</v>
      </c>
      <c r="C440" s="2">
        <v>439</v>
      </c>
      <c r="D440" s="8">
        <v>3.8460000000000001</v>
      </c>
    </row>
    <row r="441" spans="1:4" ht="15.75">
      <c r="A441" s="3" t="s">
        <v>859</v>
      </c>
      <c r="B441" s="8" t="s">
        <v>1393</v>
      </c>
      <c r="C441" s="2">
        <v>440</v>
      </c>
      <c r="D441" s="8">
        <v>3.8460000000000001</v>
      </c>
    </row>
    <row r="442" spans="1:4" ht="15.75">
      <c r="A442" s="5" t="s">
        <v>860</v>
      </c>
      <c r="B442" s="8" t="s">
        <v>1393</v>
      </c>
      <c r="C442" s="2">
        <v>441</v>
      </c>
      <c r="D442" s="8">
        <v>3.843</v>
      </c>
    </row>
    <row r="443" spans="1:4" ht="15.75">
      <c r="A443" s="3" t="s">
        <v>861</v>
      </c>
      <c r="B443" s="8" t="s">
        <v>1393</v>
      </c>
      <c r="C443" s="2">
        <v>442</v>
      </c>
      <c r="D443" s="8">
        <v>3.843</v>
      </c>
    </row>
    <row r="444" spans="1:4" ht="15.75">
      <c r="A444" s="5" t="s">
        <v>862</v>
      </c>
      <c r="B444" s="8" t="s">
        <v>1393</v>
      </c>
      <c r="C444" s="2">
        <v>443</v>
      </c>
      <c r="D444" s="8">
        <v>3.843</v>
      </c>
    </row>
    <row r="445" spans="1:4" ht="15.75">
      <c r="A445" s="3" t="s">
        <v>863</v>
      </c>
      <c r="B445" s="8" t="s">
        <v>1393</v>
      </c>
      <c r="C445" s="2">
        <v>444</v>
      </c>
      <c r="D445" s="8">
        <v>3.843</v>
      </c>
    </row>
    <row r="446" spans="1:4" ht="15.75">
      <c r="A446" s="5" t="s">
        <v>57</v>
      </c>
      <c r="B446" s="8" t="s">
        <v>1393</v>
      </c>
      <c r="C446" s="2">
        <v>445</v>
      </c>
      <c r="D446" s="8">
        <v>3.8150000000000004</v>
      </c>
    </row>
    <row r="447" spans="1:4" ht="15.75">
      <c r="A447" s="3" t="s">
        <v>864</v>
      </c>
      <c r="B447" s="8" t="s">
        <v>1393</v>
      </c>
      <c r="C447" s="2">
        <v>446</v>
      </c>
      <c r="D447" s="8">
        <v>3.7610000000000001</v>
      </c>
    </row>
    <row r="448" spans="1:4" ht="15.75">
      <c r="A448" s="5" t="s">
        <v>865</v>
      </c>
      <c r="B448" s="8" t="s">
        <v>1393</v>
      </c>
      <c r="C448" s="2">
        <v>447</v>
      </c>
      <c r="D448" s="8">
        <v>3.7610000000000001</v>
      </c>
    </row>
    <row r="449" spans="1:4" ht="15.75">
      <c r="A449" s="3" t="s">
        <v>866</v>
      </c>
      <c r="B449" s="8" t="s">
        <v>1393</v>
      </c>
      <c r="C449" s="2">
        <v>448</v>
      </c>
      <c r="D449" s="8">
        <v>3.7610000000000001</v>
      </c>
    </row>
    <row r="450" spans="1:4" ht="15.75">
      <c r="A450" s="5" t="s">
        <v>867</v>
      </c>
      <c r="B450" s="8" t="s">
        <v>1393</v>
      </c>
      <c r="C450" s="2">
        <v>449</v>
      </c>
      <c r="D450" s="8">
        <v>3.7610000000000001</v>
      </c>
    </row>
    <row r="451" spans="1:4" ht="15.75">
      <c r="A451" s="3" t="s">
        <v>868</v>
      </c>
      <c r="B451" s="8" t="s">
        <v>1393</v>
      </c>
      <c r="C451" s="2">
        <v>450</v>
      </c>
      <c r="D451" s="8">
        <v>3.7290000000000001</v>
      </c>
    </row>
    <row r="452" spans="1:4" ht="15.75">
      <c r="A452" s="5" t="s">
        <v>869</v>
      </c>
      <c r="B452" s="8" t="s">
        <v>1393</v>
      </c>
      <c r="C452" s="2">
        <v>451</v>
      </c>
      <c r="D452" s="8">
        <v>3.7290000000000001</v>
      </c>
    </row>
    <row r="453" spans="1:4" ht="15.75">
      <c r="A453" s="3" t="s">
        <v>870</v>
      </c>
      <c r="B453" s="8" t="s">
        <v>1393</v>
      </c>
      <c r="C453" s="2">
        <v>452</v>
      </c>
      <c r="D453" s="8">
        <v>3.7290000000000001</v>
      </c>
    </row>
    <row r="454" spans="1:4" ht="15.75">
      <c r="A454" s="5" t="s">
        <v>871</v>
      </c>
      <c r="B454" s="8" t="s">
        <v>1393</v>
      </c>
      <c r="C454" s="2">
        <v>453</v>
      </c>
      <c r="D454" s="8">
        <v>3.7290000000000001</v>
      </c>
    </row>
    <row r="455" spans="1:4" ht="15.75">
      <c r="A455" s="5" t="s">
        <v>872</v>
      </c>
      <c r="B455" s="8" t="s">
        <v>1393</v>
      </c>
      <c r="C455" s="2">
        <v>454</v>
      </c>
      <c r="D455" s="8">
        <v>3.6790000000000003</v>
      </c>
    </row>
    <row r="456" spans="1:4" ht="15.75">
      <c r="A456" s="3" t="s">
        <v>873</v>
      </c>
      <c r="B456" s="8" t="s">
        <v>1393</v>
      </c>
      <c r="C456" s="2">
        <v>455</v>
      </c>
      <c r="D456" s="8">
        <v>3.6790000000000003</v>
      </c>
    </row>
    <row r="457" spans="1:4" ht="15.75">
      <c r="A457" s="5" t="s">
        <v>284</v>
      </c>
      <c r="B457" s="8" t="s">
        <v>1393</v>
      </c>
      <c r="C457" s="2">
        <v>456</v>
      </c>
      <c r="D457" s="8">
        <v>3.6650000000000005</v>
      </c>
    </row>
    <row r="458" spans="1:4" ht="15.75">
      <c r="A458" s="3" t="s">
        <v>283</v>
      </c>
      <c r="B458" s="8" t="s">
        <v>1393</v>
      </c>
      <c r="C458" s="2">
        <v>457</v>
      </c>
      <c r="D458" s="8">
        <v>3.6650000000000005</v>
      </c>
    </row>
    <row r="459" spans="1:4" ht="15.75">
      <c r="A459" s="5" t="s">
        <v>282</v>
      </c>
      <c r="B459" s="8" t="s">
        <v>1393</v>
      </c>
      <c r="C459" s="2">
        <v>458</v>
      </c>
      <c r="D459" s="8">
        <v>3.6650000000000005</v>
      </c>
    </row>
    <row r="460" spans="1:4" ht="15.75">
      <c r="A460" s="3" t="s">
        <v>281</v>
      </c>
      <c r="B460" s="8" t="s">
        <v>1393</v>
      </c>
      <c r="C460" s="2">
        <v>459</v>
      </c>
      <c r="D460" s="8">
        <v>3.6650000000000005</v>
      </c>
    </row>
    <row r="461" spans="1:4" ht="15.75">
      <c r="A461" s="5" t="s">
        <v>276</v>
      </c>
      <c r="B461" s="8" t="s">
        <v>1393</v>
      </c>
      <c r="C461" s="2">
        <v>460</v>
      </c>
      <c r="D461" s="8">
        <v>3.6650000000000005</v>
      </c>
    </row>
    <row r="462" spans="1:4" ht="15.75">
      <c r="A462" s="3" t="s">
        <v>275</v>
      </c>
      <c r="B462" s="8" t="s">
        <v>1393</v>
      </c>
      <c r="C462" s="2">
        <v>461</v>
      </c>
      <c r="D462" s="8">
        <v>3.6650000000000005</v>
      </c>
    </row>
    <row r="463" spans="1:4" ht="15.75">
      <c r="A463" s="5" t="s">
        <v>274</v>
      </c>
      <c r="B463" s="8" t="s">
        <v>1393</v>
      </c>
      <c r="C463" s="2">
        <v>462</v>
      </c>
      <c r="D463" s="8">
        <v>3.6650000000000005</v>
      </c>
    </row>
    <row r="464" spans="1:4" ht="15.75">
      <c r="A464" s="3" t="s">
        <v>273</v>
      </c>
      <c r="B464" s="8" t="s">
        <v>1393</v>
      </c>
      <c r="C464" s="2">
        <v>463</v>
      </c>
      <c r="D464" s="8">
        <v>3.6650000000000005</v>
      </c>
    </row>
    <row r="465" spans="1:4" ht="15.75">
      <c r="A465" s="5" t="s">
        <v>874</v>
      </c>
      <c r="B465" s="8" t="s">
        <v>1393</v>
      </c>
      <c r="C465" s="2">
        <v>464</v>
      </c>
      <c r="D465" s="8">
        <v>3.6639999999999997</v>
      </c>
    </row>
    <row r="466" spans="1:4" ht="15.75">
      <c r="A466" s="3" t="s">
        <v>875</v>
      </c>
      <c r="B466" s="8" t="s">
        <v>1393</v>
      </c>
      <c r="C466" s="2">
        <v>465</v>
      </c>
      <c r="D466" s="8">
        <v>3.6639999999999997</v>
      </c>
    </row>
    <row r="467" spans="1:4" ht="15.75">
      <c r="A467" s="5" t="s">
        <v>268</v>
      </c>
      <c r="B467" s="8" t="s">
        <v>1393</v>
      </c>
      <c r="C467" s="2">
        <v>466</v>
      </c>
      <c r="D467" s="8">
        <v>3.6589999999999998</v>
      </c>
    </row>
    <row r="468" spans="1:4" ht="15.75">
      <c r="A468" s="3" t="s">
        <v>1157</v>
      </c>
      <c r="B468" s="8" t="s">
        <v>1393</v>
      </c>
      <c r="C468" s="2">
        <v>467</v>
      </c>
      <c r="D468" s="8">
        <v>3.6440000000000001</v>
      </c>
    </row>
    <row r="469" spans="1:4" ht="15.75">
      <c r="A469" s="5" t="s">
        <v>257</v>
      </c>
      <c r="B469" s="8" t="s">
        <v>1393</v>
      </c>
      <c r="C469" s="2">
        <v>468</v>
      </c>
      <c r="D469" s="8">
        <v>3.6150000000000002</v>
      </c>
    </row>
    <row r="470" spans="1:4" ht="15.75">
      <c r="A470" s="3" t="s">
        <v>876</v>
      </c>
      <c r="B470" s="8" t="s">
        <v>1393</v>
      </c>
      <c r="C470" s="2">
        <v>469</v>
      </c>
      <c r="D470" s="8">
        <v>3.6150000000000002</v>
      </c>
    </row>
    <row r="471" spans="1:4" ht="15.75">
      <c r="A471" s="5" t="s">
        <v>113</v>
      </c>
      <c r="B471" s="8" t="s">
        <v>1393</v>
      </c>
      <c r="C471" s="2">
        <v>470</v>
      </c>
      <c r="D471" s="8">
        <v>3.6010000000000004</v>
      </c>
    </row>
    <row r="472" spans="1:4" ht="15.75">
      <c r="A472" s="3" t="s">
        <v>114</v>
      </c>
      <c r="B472" s="8" t="s">
        <v>1393</v>
      </c>
      <c r="C472" s="2">
        <v>471</v>
      </c>
      <c r="D472" s="8">
        <v>3.6010000000000004</v>
      </c>
    </row>
    <row r="473" spans="1:4" ht="15.75">
      <c r="A473" s="5" t="s">
        <v>244</v>
      </c>
      <c r="B473" s="8" t="s">
        <v>1393</v>
      </c>
      <c r="C473" s="2">
        <v>472</v>
      </c>
      <c r="D473" s="8">
        <v>3.6010000000000004</v>
      </c>
    </row>
    <row r="474" spans="1:4" ht="15.75">
      <c r="A474" s="3" t="s">
        <v>245</v>
      </c>
      <c r="B474" s="8" t="s">
        <v>1393</v>
      </c>
      <c r="C474" s="2">
        <v>473</v>
      </c>
      <c r="D474" s="8">
        <v>3.6010000000000004</v>
      </c>
    </row>
    <row r="475" spans="1:4" ht="15.75">
      <c r="A475" s="5" t="s">
        <v>301</v>
      </c>
      <c r="B475" s="8" t="s">
        <v>1393</v>
      </c>
      <c r="C475" s="2">
        <v>474</v>
      </c>
      <c r="D475" s="8">
        <v>3.6010000000000004</v>
      </c>
    </row>
    <row r="476" spans="1:4" ht="15.75">
      <c r="A476" s="3" t="s">
        <v>877</v>
      </c>
      <c r="B476" s="8" t="s">
        <v>1393</v>
      </c>
      <c r="C476" s="2">
        <v>475</v>
      </c>
      <c r="D476" s="8">
        <v>3.6000000000000005</v>
      </c>
    </row>
    <row r="477" spans="1:4" ht="15.75">
      <c r="A477" s="5" t="s">
        <v>878</v>
      </c>
      <c r="B477" s="8" t="s">
        <v>1393</v>
      </c>
      <c r="C477" s="2">
        <v>476</v>
      </c>
      <c r="D477" s="8">
        <v>3.6000000000000005</v>
      </c>
    </row>
    <row r="478" spans="1:4" ht="15.75">
      <c r="A478" s="3" t="s">
        <v>879</v>
      </c>
      <c r="B478" s="8" t="s">
        <v>1393</v>
      </c>
      <c r="C478" s="2">
        <v>477</v>
      </c>
      <c r="D478" s="8">
        <v>3.6000000000000005</v>
      </c>
    </row>
    <row r="479" spans="1:4" ht="15.75">
      <c r="A479" s="5" t="s">
        <v>880</v>
      </c>
      <c r="B479" s="8" t="s">
        <v>1393</v>
      </c>
      <c r="C479" s="2">
        <v>478</v>
      </c>
      <c r="D479" s="8">
        <v>3.6000000000000005</v>
      </c>
    </row>
    <row r="480" spans="1:4" ht="15.75">
      <c r="A480" s="3" t="s">
        <v>881</v>
      </c>
      <c r="B480" s="8" t="s">
        <v>1393</v>
      </c>
      <c r="C480" s="2">
        <v>479</v>
      </c>
      <c r="D480" s="8">
        <v>3.6000000000000005</v>
      </c>
    </row>
    <row r="481" spans="1:4" ht="15.75">
      <c r="A481" s="5" t="s">
        <v>882</v>
      </c>
      <c r="B481" s="8" t="s">
        <v>1393</v>
      </c>
      <c r="C481" s="2">
        <v>480</v>
      </c>
      <c r="D481" s="8">
        <v>3.6000000000000005</v>
      </c>
    </row>
    <row r="482" spans="1:4" ht="15.75">
      <c r="A482" s="3" t="s">
        <v>1095</v>
      </c>
      <c r="B482" s="8" t="s">
        <v>1393</v>
      </c>
      <c r="C482" s="2">
        <v>481</v>
      </c>
      <c r="D482" s="8">
        <v>3.6000000000000005</v>
      </c>
    </row>
    <row r="483" spans="1:4" ht="15.75">
      <c r="A483" s="5" t="s">
        <v>1096</v>
      </c>
      <c r="B483" s="8" t="s">
        <v>1393</v>
      </c>
      <c r="C483" s="2">
        <v>482</v>
      </c>
      <c r="D483" s="8">
        <v>3.6000000000000005</v>
      </c>
    </row>
    <row r="484" spans="1:4" ht="15.75">
      <c r="A484" s="3" t="s">
        <v>883</v>
      </c>
      <c r="B484" s="8" t="s">
        <v>1393</v>
      </c>
      <c r="C484" s="2">
        <v>483</v>
      </c>
      <c r="D484" s="8">
        <v>3.5990000000000006</v>
      </c>
    </row>
    <row r="485" spans="1:4" ht="15.75">
      <c r="A485" s="5" t="s">
        <v>884</v>
      </c>
      <c r="B485" s="8" t="s">
        <v>1393</v>
      </c>
      <c r="C485" s="2">
        <v>484</v>
      </c>
      <c r="D485" s="8">
        <v>3.5990000000000006</v>
      </c>
    </row>
    <row r="486" spans="1:4" ht="15.75">
      <c r="A486" s="3" t="s">
        <v>885</v>
      </c>
      <c r="B486" s="8" t="s">
        <v>1393</v>
      </c>
      <c r="C486" s="2">
        <v>485</v>
      </c>
      <c r="D486" s="8">
        <v>3.5990000000000006</v>
      </c>
    </row>
    <row r="487" spans="1:4" ht="15.75">
      <c r="A487" s="5" t="s">
        <v>886</v>
      </c>
      <c r="B487" s="8" t="s">
        <v>1393</v>
      </c>
      <c r="C487" s="2">
        <v>486</v>
      </c>
      <c r="D487" s="8">
        <v>3.5790000000000006</v>
      </c>
    </row>
    <row r="488" spans="1:4" ht="15.75">
      <c r="A488" s="3" t="s">
        <v>887</v>
      </c>
      <c r="B488" s="8" t="s">
        <v>1393</v>
      </c>
      <c r="C488" s="2">
        <v>487</v>
      </c>
      <c r="D488" s="8">
        <v>3.5790000000000006</v>
      </c>
    </row>
    <row r="489" spans="1:4" ht="15.75">
      <c r="A489" s="5" t="s">
        <v>888</v>
      </c>
      <c r="B489" s="8" t="s">
        <v>1393</v>
      </c>
      <c r="C489" s="2">
        <v>488</v>
      </c>
      <c r="D489" s="8">
        <v>3.5650000000000004</v>
      </c>
    </row>
    <row r="490" spans="1:4" ht="15.75">
      <c r="A490" s="3" t="s">
        <v>1114</v>
      </c>
      <c r="B490" s="8" t="s">
        <v>1393</v>
      </c>
      <c r="C490" s="2">
        <v>489</v>
      </c>
      <c r="D490" s="8">
        <v>3.5650000000000004</v>
      </c>
    </row>
    <row r="491" spans="1:4" ht="15.75">
      <c r="A491" s="5" t="s">
        <v>436</v>
      </c>
      <c r="B491" s="8" t="s">
        <v>1393</v>
      </c>
      <c r="C491" s="2">
        <v>490</v>
      </c>
      <c r="D491" s="8">
        <v>3.5540000000000003</v>
      </c>
    </row>
    <row r="492" spans="1:4" ht="15.75">
      <c r="A492" s="3" t="s">
        <v>438</v>
      </c>
      <c r="B492" s="8" t="s">
        <v>1393</v>
      </c>
      <c r="C492" s="2">
        <v>491</v>
      </c>
      <c r="D492" s="8">
        <v>3.5540000000000003</v>
      </c>
    </row>
    <row r="493" spans="1:4" ht="15.75">
      <c r="A493" s="5" t="s">
        <v>485</v>
      </c>
      <c r="B493" s="8" t="s">
        <v>1393</v>
      </c>
      <c r="C493" s="2">
        <v>492</v>
      </c>
      <c r="D493" s="8">
        <v>3.5540000000000003</v>
      </c>
    </row>
    <row r="494" spans="1:4" ht="15.75">
      <c r="A494" s="3" t="s">
        <v>486</v>
      </c>
      <c r="B494" s="8" t="s">
        <v>1393</v>
      </c>
      <c r="C494" s="2">
        <v>493</v>
      </c>
      <c r="D494" s="8">
        <v>3.5540000000000003</v>
      </c>
    </row>
    <row r="495" spans="1:4" ht="15.75">
      <c r="A495" s="5" t="s">
        <v>487</v>
      </c>
      <c r="B495" s="8" t="s">
        <v>1393</v>
      </c>
      <c r="C495" s="2">
        <v>494</v>
      </c>
      <c r="D495" s="8">
        <v>3.5540000000000003</v>
      </c>
    </row>
    <row r="496" spans="1:4" ht="15.75">
      <c r="A496" s="3" t="s">
        <v>488</v>
      </c>
      <c r="B496" s="8" t="s">
        <v>1393</v>
      </c>
      <c r="C496" s="2">
        <v>495</v>
      </c>
      <c r="D496" s="8">
        <v>3.5540000000000003</v>
      </c>
    </row>
    <row r="497" spans="1:4" ht="15.75">
      <c r="A497" s="5" t="s">
        <v>515</v>
      </c>
      <c r="B497" s="8" t="s">
        <v>1393</v>
      </c>
      <c r="C497" s="2">
        <v>496</v>
      </c>
      <c r="D497" s="8">
        <v>3.5540000000000003</v>
      </c>
    </row>
    <row r="498" spans="1:4" ht="15.75">
      <c r="A498" s="3" t="s">
        <v>516</v>
      </c>
      <c r="B498" s="8" t="s">
        <v>1393</v>
      </c>
      <c r="C498" s="2">
        <v>497</v>
      </c>
      <c r="D498" s="8">
        <v>3.5540000000000003</v>
      </c>
    </row>
    <row r="499" spans="1:4" ht="15.75">
      <c r="A499" s="5" t="s">
        <v>517</v>
      </c>
      <c r="B499" s="8" t="s">
        <v>1393</v>
      </c>
      <c r="C499" s="2">
        <v>498</v>
      </c>
      <c r="D499" s="8">
        <v>3.5540000000000003</v>
      </c>
    </row>
    <row r="500" spans="1:4" ht="15.75">
      <c r="A500" s="3" t="s">
        <v>518</v>
      </c>
      <c r="B500" s="8" t="s">
        <v>1393</v>
      </c>
      <c r="C500" s="2">
        <v>499</v>
      </c>
      <c r="D500" s="8">
        <v>3.5540000000000003</v>
      </c>
    </row>
    <row r="501" spans="1:4" ht="15.75">
      <c r="A501" s="5" t="s">
        <v>519</v>
      </c>
      <c r="B501" s="8" t="s">
        <v>1393</v>
      </c>
      <c r="C501" s="2">
        <v>500</v>
      </c>
      <c r="D501" s="8">
        <v>3.5540000000000003</v>
      </c>
    </row>
    <row r="502" spans="1:4" ht="15.75">
      <c r="A502" s="3" t="s">
        <v>520</v>
      </c>
      <c r="B502" s="8" t="s">
        <v>1393</v>
      </c>
      <c r="C502" s="2">
        <v>501</v>
      </c>
      <c r="D502" s="8">
        <v>3.5540000000000003</v>
      </c>
    </row>
    <row r="503" spans="1:4" ht="15.75">
      <c r="A503" s="5" t="s">
        <v>521</v>
      </c>
      <c r="B503" s="8" t="s">
        <v>1393</v>
      </c>
      <c r="C503" s="2">
        <v>502</v>
      </c>
      <c r="D503" s="8">
        <v>3.5540000000000003</v>
      </c>
    </row>
    <row r="504" spans="1:4" ht="15.75">
      <c r="A504" s="3" t="s">
        <v>522</v>
      </c>
      <c r="B504" s="8" t="s">
        <v>1393</v>
      </c>
      <c r="C504" s="2">
        <v>503</v>
      </c>
      <c r="D504" s="8">
        <v>3.5540000000000003</v>
      </c>
    </row>
    <row r="505" spans="1:4" ht="15.75">
      <c r="A505" s="5" t="s">
        <v>523</v>
      </c>
      <c r="B505" s="8" t="s">
        <v>1393</v>
      </c>
      <c r="C505" s="2">
        <v>504</v>
      </c>
      <c r="D505" s="8">
        <v>3.5540000000000003</v>
      </c>
    </row>
    <row r="506" spans="1:4" ht="15.75">
      <c r="A506" s="3" t="s">
        <v>524</v>
      </c>
      <c r="B506" s="8" t="s">
        <v>1393</v>
      </c>
      <c r="C506" s="2">
        <v>505</v>
      </c>
      <c r="D506" s="8">
        <v>3.5540000000000003</v>
      </c>
    </row>
    <row r="507" spans="1:4" ht="15.75">
      <c r="A507" s="5" t="s">
        <v>525</v>
      </c>
      <c r="B507" s="8" t="s">
        <v>1393</v>
      </c>
      <c r="C507" s="2">
        <v>506</v>
      </c>
      <c r="D507" s="8">
        <v>3.5540000000000003</v>
      </c>
    </row>
    <row r="508" spans="1:4" ht="15.75">
      <c r="A508" s="3" t="s">
        <v>526</v>
      </c>
      <c r="B508" s="8" t="s">
        <v>1393</v>
      </c>
      <c r="C508" s="2">
        <v>507</v>
      </c>
      <c r="D508" s="8">
        <v>3.5540000000000003</v>
      </c>
    </row>
    <row r="509" spans="1:4" ht="15.75">
      <c r="A509" s="5" t="s">
        <v>527</v>
      </c>
      <c r="B509" s="8" t="s">
        <v>1393</v>
      </c>
      <c r="C509" s="2">
        <v>508</v>
      </c>
      <c r="D509" s="8">
        <v>3.5540000000000003</v>
      </c>
    </row>
    <row r="510" spans="1:4" ht="15.75">
      <c r="A510" s="3" t="s">
        <v>528</v>
      </c>
      <c r="B510" s="8" t="s">
        <v>1393</v>
      </c>
      <c r="C510" s="2">
        <v>509</v>
      </c>
      <c r="D510" s="8">
        <v>3.5540000000000003</v>
      </c>
    </row>
    <row r="511" spans="1:4" ht="15.75">
      <c r="A511" s="5" t="s">
        <v>529</v>
      </c>
      <c r="B511" s="8" t="s">
        <v>1393</v>
      </c>
      <c r="C511" s="2">
        <v>510</v>
      </c>
      <c r="D511" s="8">
        <v>3.5540000000000003</v>
      </c>
    </row>
    <row r="512" spans="1:4" ht="15.75">
      <c r="A512" s="3" t="s">
        <v>530</v>
      </c>
      <c r="B512" s="8" t="s">
        <v>1393</v>
      </c>
      <c r="C512" s="2">
        <v>511</v>
      </c>
      <c r="D512" s="8">
        <v>3.5540000000000003</v>
      </c>
    </row>
    <row r="513" spans="1:4" ht="15.75">
      <c r="A513" s="5" t="s">
        <v>531</v>
      </c>
      <c r="B513" s="8" t="s">
        <v>1393</v>
      </c>
      <c r="C513" s="2">
        <v>512</v>
      </c>
      <c r="D513" s="8">
        <v>3.5540000000000003</v>
      </c>
    </row>
    <row r="514" spans="1:4" ht="15.75">
      <c r="A514" s="3" t="s">
        <v>532</v>
      </c>
      <c r="B514" s="8" t="s">
        <v>1393</v>
      </c>
      <c r="C514" s="2">
        <v>513</v>
      </c>
      <c r="D514" s="8">
        <v>3.5540000000000003</v>
      </c>
    </row>
    <row r="515" spans="1:4" ht="15.75">
      <c r="A515" s="5" t="s">
        <v>533</v>
      </c>
      <c r="B515" s="8" t="s">
        <v>1393</v>
      </c>
      <c r="C515" s="2">
        <v>514</v>
      </c>
      <c r="D515" s="8">
        <v>3.5540000000000003</v>
      </c>
    </row>
    <row r="516" spans="1:4" ht="15.75">
      <c r="A516" s="3" t="s">
        <v>534</v>
      </c>
      <c r="B516" s="8" t="s">
        <v>1393</v>
      </c>
      <c r="C516" s="2">
        <v>515</v>
      </c>
      <c r="D516" s="8">
        <v>3.5540000000000003</v>
      </c>
    </row>
    <row r="517" spans="1:4" ht="15.75">
      <c r="A517" s="5" t="s">
        <v>535</v>
      </c>
      <c r="B517" s="8" t="s">
        <v>1393</v>
      </c>
      <c r="C517" s="2">
        <v>516</v>
      </c>
      <c r="D517" s="8">
        <v>3.5540000000000003</v>
      </c>
    </row>
    <row r="518" spans="1:4" ht="15.75">
      <c r="A518" s="3" t="s">
        <v>536</v>
      </c>
      <c r="B518" s="8" t="s">
        <v>1393</v>
      </c>
      <c r="C518" s="2">
        <v>517</v>
      </c>
      <c r="D518" s="8">
        <v>3.5540000000000003</v>
      </c>
    </row>
    <row r="519" spans="1:4" ht="15.75">
      <c r="A519" s="5" t="s">
        <v>537</v>
      </c>
      <c r="B519" s="8" t="s">
        <v>1393</v>
      </c>
      <c r="C519" s="2">
        <v>518</v>
      </c>
      <c r="D519" s="8">
        <v>3.5540000000000003</v>
      </c>
    </row>
    <row r="520" spans="1:4" ht="15.75">
      <c r="A520" s="3" t="s">
        <v>538</v>
      </c>
      <c r="B520" s="8" t="s">
        <v>1393</v>
      </c>
      <c r="C520" s="2">
        <v>519</v>
      </c>
      <c r="D520" s="8">
        <v>3.5540000000000003</v>
      </c>
    </row>
    <row r="521" spans="1:4" ht="15.75">
      <c r="A521" s="5" t="s">
        <v>539</v>
      </c>
      <c r="B521" s="8" t="s">
        <v>1393</v>
      </c>
      <c r="C521" s="2">
        <v>520</v>
      </c>
      <c r="D521" s="8">
        <v>3.5540000000000003</v>
      </c>
    </row>
    <row r="522" spans="1:4" ht="15.75">
      <c r="A522" s="3" t="s">
        <v>540</v>
      </c>
      <c r="B522" s="8" t="s">
        <v>1393</v>
      </c>
      <c r="C522" s="2">
        <v>521</v>
      </c>
      <c r="D522" s="8">
        <v>3.5540000000000003</v>
      </c>
    </row>
    <row r="523" spans="1:4" ht="15.75">
      <c r="A523" s="5" t="s">
        <v>541</v>
      </c>
      <c r="B523" s="8" t="s">
        <v>1393</v>
      </c>
      <c r="C523" s="2">
        <v>522</v>
      </c>
      <c r="D523" s="8">
        <v>3.5540000000000003</v>
      </c>
    </row>
    <row r="524" spans="1:4" ht="15.75">
      <c r="A524" s="3" t="s">
        <v>542</v>
      </c>
      <c r="B524" s="8" t="s">
        <v>1393</v>
      </c>
      <c r="C524" s="2">
        <v>523</v>
      </c>
      <c r="D524" s="8">
        <v>3.5540000000000003</v>
      </c>
    </row>
    <row r="525" spans="1:4" ht="15.75">
      <c r="A525" s="5" t="s">
        <v>543</v>
      </c>
      <c r="B525" s="8" t="s">
        <v>1393</v>
      </c>
      <c r="C525" s="2">
        <v>524</v>
      </c>
      <c r="D525" s="8">
        <v>3.5540000000000003</v>
      </c>
    </row>
    <row r="526" spans="1:4" ht="15.75">
      <c r="A526" s="3" t="s">
        <v>544</v>
      </c>
      <c r="B526" s="8" t="s">
        <v>1393</v>
      </c>
      <c r="C526" s="2">
        <v>525</v>
      </c>
      <c r="D526" s="8">
        <v>3.5540000000000003</v>
      </c>
    </row>
    <row r="527" spans="1:4" ht="15.75">
      <c r="A527" s="5" t="s">
        <v>545</v>
      </c>
      <c r="B527" s="8" t="s">
        <v>1393</v>
      </c>
      <c r="C527" s="2">
        <v>526</v>
      </c>
      <c r="D527" s="8">
        <v>3.5540000000000003</v>
      </c>
    </row>
    <row r="528" spans="1:4" ht="15.75">
      <c r="A528" s="3" t="s">
        <v>546</v>
      </c>
      <c r="B528" s="8" t="s">
        <v>1393</v>
      </c>
      <c r="C528" s="2">
        <v>527</v>
      </c>
      <c r="D528" s="8">
        <v>3.5540000000000003</v>
      </c>
    </row>
    <row r="529" spans="1:4" ht="15.75">
      <c r="A529" s="5" t="s">
        <v>547</v>
      </c>
      <c r="B529" s="8" t="s">
        <v>1393</v>
      </c>
      <c r="C529" s="2">
        <v>528</v>
      </c>
      <c r="D529" s="8">
        <v>3.5540000000000003</v>
      </c>
    </row>
    <row r="530" spans="1:4" ht="15.75">
      <c r="A530" s="3" t="s">
        <v>548</v>
      </c>
      <c r="B530" s="8" t="s">
        <v>1393</v>
      </c>
      <c r="C530" s="2">
        <v>529</v>
      </c>
      <c r="D530" s="8">
        <v>3.5540000000000003</v>
      </c>
    </row>
    <row r="531" spans="1:4" ht="15.75">
      <c r="A531" s="5" t="s">
        <v>549</v>
      </c>
      <c r="B531" s="8" t="s">
        <v>1393</v>
      </c>
      <c r="C531" s="2">
        <v>530</v>
      </c>
      <c r="D531" s="8">
        <v>3.5540000000000003</v>
      </c>
    </row>
    <row r="532" spans="1:4" ht="15.75">
      <c r="A532" s="3" t="s">
        <v>550</v>
      </c>
      <c r="B532" s="8" t="s">
        <v>1393</v>
      </c>
      <c r="C532" s="2">
        <v>531</v>
      </c>
      <c r="D532" s="8">
        <v>3.5540000000000003</v>
      </c>
    </row>
    <row r="533" spans="1:4" ht="15.75">
      <c r="A533" s="5" t="s">
        <v>551</v>
      </c>
      <c r="B533" s="8" t="s">
        <v>1393</v>
      </c>
      <c r="C533" s="2">
        <v>532</v>
      </c>
      <c r="D533" s="8">
        <v>3.5540000000000003</v>
      </c>
    </row>
    <row r="534" spans="1:4" ht="15.75">
      <c r="A534" s="3" t="s">
        <v>552</v>
      </c>
      <c r="B534" s="8" t="s">
        <v>1393</v>
      </c>
      <c r="C534" s="2">
        <v>533</v>
      </c>
      <c r="D534" s="8">
        <v>3.5540000000000003</v>
      </c>
    </row>
    <row r="535" spans="1:4" ht="15.75">
      <c r="A535" s="5" t="s">
        <v>553</v>
      </c>
      <c r="B535" s="8" t="s">
        <v>1393</v>
      </c>
      <c r="C535" s="2">
        <v>534</v>
      </c>
      <c r="D535" s="8">
        <v>3.5540000000000003</v>
      </c>
    </row>
    <row r="536" spans="1:4" ht="15.75">
      <c r="A536" s="3" t="s">
        <v>554</v>
      </c>
      <c r="B536" s="8" t="s">
        <v>1393</v>
      </c>
      <c r="C536" s="2">
        <v>535</v>
      </c>
      <c r="D536" s="8">
        <v>3.5540000000000003</v>
      </c>
    </row>
    <row r="537" spans="1:4" ht="15.75">
      <c r="A537" s="5" t="s">
        <v>555</v>
      </c>
      <c r="B537" s="8" t="s">
        <v>1393</v>
      </c>
      <c r="C537" s="2">
        <v>536</v>
      </c>
      <c r="D537" s="8">
        <v>3.5540000000000003</v>
      </c>
    </row>
    <row r="538" spans="1:4" ht="15.75">
      <c r="A538" s="3" t="s">
        <v>556</v>
      </c>
      <c r="B538" s="8" t="s">
        <v>1393</v>
      </c>
      <c r="C538" s="2">
        <v>537</v>
      </c>
      <c r="D538" s="8">
        <v>3.5540000000000003</v>
      </c>
    </row>
    <row r="539" spans="1:4" ht="15.75">
      <c r="A539" s="5" t="s">
        <v>557</v>
      </c>
      <c r="B539" s="8" t="s">
        <v>1393</v>
      </c>
      <c r="C539" s="2">
        <v>538</v>
      </c>
      <c r="D539" s="8">
        <v>3.5540000000000003</v>
      </c>
    </row>
    <row r="540" spans="1:4" ht="15.75">
      <c r="A540" s="3" t="s">
        <v>1383</v>
      </c>
      <c r="B540" s="8" t="s">
        <v>1393</v>
      </c>
      <c r="C540" s="2">
        <v>539</v>
      </c>
      <c r="D540" s="8">
        <v>3.5400000000000005</v>
      </c>
    </row>
    <row r="541" spans="1:4" ht="15.75">
      <c r="A541" s="5" t="s">
        <v>889</v>
      </c>
      <c r="B541" s="8" t="s">
        <v>1395</v>
      </c>
      <c r="C541" s="2">
        <v>540</v>
      </c>
      <c r="D541" s="8">
        <v>3.5240000000000009</v>
      </c>
    </row>
    <row r="542" spans="1:4" ht="15.75">
      <c r="A542" s="3" t="s">
        <v>890</v>
      </c>
      <c r="B542" s="8" t="s">
        <v>1395</v>
      </c>
      <c r="C542" s="2">
        <v>541</v>
      </c>
      <c r="D542" s="8">
        <v>3.5240000000000009</v>
      </c>
    </row>
    <row r="543" spans="1:4" ht="15.75">
      <c r="A543" s="5" t="s">
        <v>250</v>
      </c>
      <c r="B543" s="8" t="s">
        <v>1395</v>
      </c>
      <c r="C543" s="2">
        <v>542</v>
      </c>
      <c r="D543" s="8">
        <v>3.5190000000000001</v>
      </c>
    </row>
    <row r="544" spans="1:4" ht="15.75">
      <c r="A544" s="3" t="s">
        <v>251</v>
      </c>
      <c r="B544" s="8" t="s">
        <v>1395</v>
      </c>
      <c r="C544" s="2">
        <v>543</v>
      </c>
      <c r="D544" s="8">
        <v>3.5190000000000001</v>
      </c>
    </row>
    <row r="545" spans="1:4" ht="15.75">
      <c r="A545" s="5" t="s">
        <v>405</v>
      </c>
      <c r="B545" s="8" t="s">
        <v>1395</v>
      </c>
      <c r="C545" s="2">
        <v>544</v>
      </c>
      <c r="D545" s="8">
        <v>3.51</v>
      </c>
    </row>
    <row r="546" spans="1:4" ht="15.75">
      <c r="A546" s="3" t="s">
        <v>407</v>
      </c>
      <c r="B546" s="8" t="s">
        <v>1395</v>
      </c>
      <c r="C546" s="2">
        <v>545</v>
      </c>
      <c r="D546" s="8">
        <v>3.51</v>
      </c>
    </row>
    <row r="547" spans="1:4" ht="15.75">
      <c r="A547" s="5" t="s">
        <v>408</v>
      </c>
      <c r="B547" s="8" t="s">
        <v>1395</v>
      </c>
      <c r="C547" s="2">
        <v>546</v>
      </c>
      <c r="D547" s="8">
        <v>3.51</v>
      </c>
    </row>
    <row r="548" spans="1:4" ht="15.75">
      <c r="A548" s="3" t="s">
        <v>439</v>
      </c>
      <c r="B548" s="8" t="s">
        <v>1395</v>
      </c>
      <c r="C548" s="2">
        <v>547</v>
      </c>
      <c r="D548" s="8">
        <v>3.51</v>
      </c>
    </row>
    <row r="549" spans="1:4" ht="15.75">
      <c r="A549" s="5" t="s">
        <v>480</v>
      </c>
      <c r="B549" s="8" t="s">
        <v>1395</v>
      </c>
      <c r="C549" s="2">
        <v>548</v>
      </c>
      <c r="D549" s="8">
        <v>3.51</v>
      </c>
    </row>
    <row r="550" spans="1:4" ht="15.75">
      <c r="A550" s="3" t="s">
        <v>481</v>
      </c>
      <c r="B550" s="8" t="s">
        <v>1395</v>
      </c>
      <c r="C550" s="2">
        <v>549</v>
      </c>
      <c r="D550" s="8">
        <v>3.51</v>
      </c>
    </row>
    <row r="551" spans="1:4" ht="15.75">
      <c r="A551" s="5" t="s">
        <v>482</v>
      </c>
      <c r="B551" s="8" t="s">
        <v>1395</v>
      </c>
      <c r="C551" s="2">
        <v>550</v>
      </c>
      <c r="D551" s="8">
        <v>3.51</v>
      </c>
    </row>
    <row r="552" spans="1:4" ht="15.75">
      <c r="A552" s="3" t="s">
        <v>483</v>
      </c>
      <c r="B552" s="8" t="s">
        <v>1395</v>
      </c>
      <c r="C552" s="2">
        <v>551</v>
      </c>
      <c r="D552" s="8">
        <v>3.51</v>
      </c>
    </row>
    <row r="553" spans="1:4" ht="15.75">
      <c r="A553" s="5" t="s">
        <v>484</v>
      </c>
      <c r="B553" s="8" t="s">
        <v>1395</v>
      </c>
      <c r="C553" s="2">
        <v>552</v>
      </c>
      <c r="D553" s="8">
        <v>3.51</v>
      </c>
    </row>
    <row r="554" spans="1:4" ht="15.75">
      <c r="A554" s="3" t="s">
        <v>566</v>
      </c>
      <c r="B554" s="8" t="s">
        <v>1395</v>
      </c>
      <c r="C554" s="2">
        <v>553</v>
      </c>
      <c r="D554" s="8">
        <v>3.51</v>
      </c>
    </row>
    <row r="555" spans="1:4" ht="15.75">
      <c r="A555" s="5" t="s">
        <v>568</v>
      </c>
      <c r="B555" s="8" t="s">
        <v>1395</v>
      </c>
      <c r="C555" s="2">
        <v>554</v>
      </c>
      <c r="D555" s="8">
        <v>3.51</v>
      </c>
    </row>
    <row r="556" spans="1:4" ht="15.75">
      <c r="A556" s="3" t="s">
        <v>654</v>
      </c>
      <c r="B556" s="8" t="s">
        <v>1395</v>
      </c>
      <c r="C556" s="2">
        <v>555</v>
      </c>
      <c r="D556" s="8">
        <v>3.51</v>
      </c>
    </row>
    <row r="557" spans="1:4" ht="15.75">
      <c r="A557" s="5" t="s">
        <v>656</v>
      </c>
      <c r="B557" s="8" t="s">
        <v>1395</v>
      </c>
      <c r="C557" s="2">
        <v>556</v>
      </c>
      <c r="D557" s="8">
        <v>3.51</v>
      </c>
    </row>
    <row r="558" spans="1:4" ht="15.75">
      <c r="A558" s="3" t="s">
        <v>891</v>
      </c>
      <c r="B558" s="8" t="s">
        <v>1395</v>
      </c>
      <c r="C558" s="2">
        <v>557</v>
      </c>
      <c r="D558" s="8">
        <v>3.4890000000000003</v>
      </c>
    </row>
    <row r="559" spans="1:4" ht="15.75">
      <c r="A559" s="5" t="s">
        <v>892</v>
      </c>
      <c r="B559" s="8" t="s">
        <v>1395</v>
      </c>
      <c r="C559" s="2">
        <v>558</v>
      </c>
      <c r="D559" s="8">
        <v>3.4890000000000003</v>
      </c>
    </row>
    <row r="560" spans="1:4" ht="15.75">
      <c r="A560" s="3" t="s">
        <v>893</v>
      </c>
      <c r="B560" s="8" t="s">
        <v>1395</v>
      </c>
      <c r="C560" s="2">
        <v>559</v>
      </c>
      <c r="D560" s="8">
        <v>3.4809999999999999</v>
      </c>
    </row>
    <row r="561" spans="1:4" ht="15.75">
      <c r="A561" s="5" t="s">
        <v>894</v>
      </c>
      <c r="B561" s="8" t="s">
        <v>1395</v>
      </c>
      <c r="C561" s="2">
        <v>560</v>
      </c>
      <c r="D561" s="8">
        <v>3.4809999999999999</v>
      </c>
    </row>
    <row r="562" spans="1:4" ht="15.75">
      <c r="A562" s="3" t="s">
        <v>895</v>
      </c>
      <c r="B562" s="8" t="s">
        <v>1395</v>
      </c>
      <c r="C562" s="2">
        <v>561</v>
      </c>
      <c r="D562" s="8">
        <v>3.4650000000000007</v>
      </c>
    </row>
    <row r="563" spans="1:4" ht="15.75">
      <c r="A563" s="5" t="s">
        <v>1061</v>
      </c>
      <c r="B563" s="8" t="s">
        <v>1395</v>
      </c>
      <c r="C563" s="2">
        <v>562</v>
      </c>
      <c r="D563" s="8">
        <v>3.4650000000000007</v>
      </c>
    </row>
    <row r="564" spans="1:4" ht="15.75">
      <c r="A564" s="3" t="s">
        <v>1062</v>
      </c>
      <c r="B564" s="8" t="s">
        <v>1395</v>
      </c>
      <c r="C564" s="2">
        <v>563</v>
      </c>
      <c r="D564" s="8">
        <v>3.4650000000000007</v>
      </c>
    </row>
    <row r="565" spans="1:4" ht="15.75">
      <c r="A565" s="5" t="s">
        <v>1163</v>
      </c>
      <c r="B565" s="8" t="s">
        <v>1395</v>
      </c>
      <c r="C565" s="2">
        <v>564</v>
      </c>
      <c r="D565" s="8">
        <v>3.4650000000000003</v>
      </c>
    </row>
    <row r="566" spans="1:4" ht="15.75">
      <c r="A566" s="3" t="s">
        <v>896</v>
      </c>
      <c r="B566" s="8" t="s">
        <v>1395</v>
      </c>
      <c r="C566" s="2">
        <v>565</v>
      </c>
      <c r="D566" s="8">
        <v>3.4649999999999999</v>
      </c>
    </row>
    <row r="567" spans="1:4" ht="15.75">
      <c r="A567" s="5" t="s">
        <v>897</v>
      </c>
      <c r="B567" s="8" t="s">
        <v>1395</v>
      </c>
      <c r="C567" s="2">
        <v>566</v>
      </c>
      <c r="D567" s="8">
        <v>3.4590000000000001</v>
      </c>
    </row>
    <row r="568" spans="1:4" ht="15.75">
      <c r="A568" s="3" t="s">
        <v>898</v>
      </c>
      <c r="B568" s="8" t="s">
        <v>1395</v>
      </c>
      <c r="C568" s="2">
        <v>567</v>
      </c>
      <c r="D568" s="8">
        <v>3.4590000000000001</v>
      </c>
    </row>
    <row r="569" spans="1:4" ht="15.75">
      <c r="A569" s="5" t="s">
        <v>1160</v>
      </c>
      <c r="B569" s="8" t="s">
        <v>1395</v>
      </c>
      <c r="C569" s="2">
        <v>568</v>
      </c>
      <c r="D569" s="8">
        <v>3.4400000000000004</v>
      </c>
    </row>
    <row r="570" spans="1:4" ht="15.75">
      <c r="A570" s="3" t="s">
        <v>353</v>
      </c>
      <c r="B570" s="8" t="s">
        <v>1395</v>
      </c>
      <c r="C570" s="2">
        <v>569</v>
      </c>
      <c r="D570" s="8">
        <v>3.4400000000000004</v>
      </c>
    </row>
    <row r="571" spans="1:4" ht="15.75">
      <c r="A571" s="5" t="s">
        <v>1162</v>
      </c>
      <c r="B571" s="8" t="s">
        <v>1395</v>
      </c>
      <c r="C571" s="2">
        <v>570</v>
      </c>
      <c r="D571" s="8">
        <v>3.4400000000000004</v>
      </c>
    </row>
    <row r="572" spans="1:4" ht="15.75">
      <c r="A572" s="3" t="s">
        <v>1165</v>
      </c>
      <c r="B572" s="8" t="s">
        <v>1395</v>
      </c>
      <c r="C572" s="2">
        <v>571</v>
      </c>
      <c r="D572" s="8">
        <v>3.4400000000000004</v>
      </c>
    </row>
    <row r="573" spans="1:4" ht="15.75">
      <c r="A573" s="5" t="s">
        <v>899</v>
      </c>
      <c r="B573" s="8" t="s">
        <v>1395</v>
      </c>
      <c r="C573" s="2">
        <v>572</v>
      </c>
      <c r="D573" s="8">
        <v>3.4250000000000007</v>
      </c>
    </row>
    <row r="574" spans="1:4" ht="15.75">
      <c r="A574" s="3" t="s">
        <v>900</v>
      </c>
      <c r="B574" s="8" t="s">
        <v>1395</v>
      </c>
      <c r="C574" s="2">
        <v>573</v>
      </c>
      <c r="D574" s="8">
        <v>3.4250000000000007</v>
      </c>
    </row>
    <row r="575" spans="1:4" ht="15.75">
      <c r="A575" s="5" t="s">
        <v>901</v>
      </c>
      <c r="B575" s="8" t="s">
        <v>1395</v>
      </c>
      <c r="C575" s="2">
        <v>574</v>
      </c>
      <c r="D575" s="8">
        <v>3.4250000000000007</v>
      </c>
    </row>
    <row r="576" spans="1:4" ht="15.75">
      <c r="A576" s="3" t="s">
        <v>902</v>
      </c>
      <c r="B576" s="8" t="s">
        <v>1395</v>
      </c>
      <c r="C576" s="2">
        <v>575</v>
      </c>
      <c r="D576" s="8">
        <v>3.4250000000000007</v>
      </c>
    </row>
    <row r="577" spans="1:4" ht="15.75">
      <c r="A577" s="5" t="s">
        <v>903</v>
      </c>
      <c r="B577" s="8" t="s">
        <v>1395</v>
      </c>
      <c r="C577" s="2">
        <v>576</v>
      </c>
      <c r="D577" s="8">
        <v>3.4250000000000007</v>
      </c>
    </row>
    <row r="578" spans="1:4" ht="15.75">
      <c r="A578" s="3" t="s">
        <v>904</v>
      </c>
      <c r="B578" s="8" t="s">
        <v>1395</v>
      </c>
      <c r="C578" s="2">
        <v>577</v>
      </c>
      <c r="D578" s="8">
        <v>3.4250000000000007</v>
      </c>
    </row>
    <row r="579" spans="1:4" ht="15.75">
      <c r="A579" s="5" t="s">
        <v>905</v>
      </c>
      <c r="B579" s="8" t="s">
        <v>1395</v>
      </c>
      <c r="C579" s="2">
        <v>578</v>
      </c>
      <c r="D579" s="8">
        <v>3.4250000000000007</v>
      </c>
    </row>
    <row r="580" spans="1:4" ht="15.75">
      <c r="A580" s="3" t="s">
        <v>73</v>
      </c>
      <c r="B580" s="8" t="s">
        <v>1395</v>
      </c>
      <c r="C580" s="2">
        <v>579</v>
      </c>
      <c r="D580" s="8">
        <v>3.4250000000000007</v>
      </c>
    </row>
    <row r="581" spans="1:4" ht="15.75">
      <c r="A581" s="5" t="s">
        <v>55</v>
      </c>
      <c r="B581" s="8" t="s">
        <v>1395</v>
      </c>
      <c r="C581" s="2">
        <v>580</v>
      </c>
      <c r="D581" s="8">
        <v>3.4250000000000007</v>
      </c>
    </row>
    <row r="582" spans="1:4" ht="15.75">
      <c r="A582" s="3" t="s">
        <v>74</v>
      </c>
      <c r="B582" s="8" t="s">
        <v>1395</v>
      </c>
      <c r="C582" s="2">
        <v>581</v>
      </c>
      <c r="D582" s="8">
        <v>3.4250000000000007</v>
      </c>
    </row>
    <row r="583" spans="1:4" ht="15.75">
      <c r="A583" s="5" t="s">
        <v>56</v>
      </c>
      <c r="B583" s="8" t="s">
        <v>1395</v>
      </c>
      <c r="C583" s="2">
        <v>582</v>
      </c>
      <c r="D583" s="8">
        <v>3.4250000000000007</v>
      </c>
    </row>
    <row r="584" spans="1:4" ht="15.75">
      <c r="A584" s="3" t="s">
        <v>1148</v>
      </c>
      <c r="B584" s="8" t="s">
        <v>1395</v>
      </c>
      <c r="C584" s="2">
        <v>583</v>
      </c>
      <c r="D584" s="8">
        <v>3.4250000000000007</v>
      </c>
    </row>
    <row r="585" spans="1:4" ht="15.75">
      <c r="A585" s="5" t="s">
        <v>1161</v>
      </c>
      <c r="B585" s="8" t="s">
        <v>1395</v>
      </c>
      <c r="C585" s="2">
        <v>584</v>
      </c>
      <c r="D585" s="8">
        <v>3.3650000000000002</v>
      </c>
    </row>
    <row r="586" spans="1:4" ht="15.75">
      <c r="A586" s="3" t="s">
        <v>371</v>
      </c>
      <c r="B586" s="8" t="s">
        <v>1395</v>
      </c>
      <c r="C586" s="2">
        <v>585</v>
      </c>
      <c r="D586" s="8">
        <v>3.3650000000000002</v>
      </c>
    </row>
    <row r="587" spans="1:4" ht="15.75">
      <c r="A587" s="5" t="s">
        <v>255</v>
      </c>
      <c r="B587" s="8" t="s">
        <v>1395</v>
      </c>
      <c r="C587" s="2">
        <v>586</v>
      </c>
      <c r="D587" s="8">
        <v>3.3440000000000003</v>
      </c>
    </row>
    <row r="588" spans="1:4" ht="15.75">
      <c r="A588" s="3" t="s">
        <v>254</v>
      </c>
      <c r="B588" s="8" t="s">
        <v>1395</v>
      </c>
      <c r="C588" s="2">
        <v>587</v>
      </c>
      <c r="D588" s="8">
        <v>3.3440000000000003</v>
      </c>
    </row>
    <row r="589" spans="1:4" ht="15.75">
      <c r="A589" s="5" t="s">
        <v>253</v>
      </c>
      <c r="B589" s="8" t="s">
        <v>1395</v>
      </c>
      <c r="C589" s="2">
        <v>588</v>
      </c>
      <c r="D589" s="8">
        <v>3.3440000000000003</v>
      </c>
    </row>
    <row r="590" spans="1:4" ht="15.75">
      <c r="A590" s="3" t="s">
        <v>252</v>
      </c>
      <c r="B590" s="8" t="s">
        <v>1395</v>
      </c>
      <c r="C590" s="2">
        <v>589</v>
      </c>
      <c r="D590" s="8">
        <v>3.3440000000000003</v>
      </c>
    </row>
    <row r="591" spans="1:4" ht="15.75">
      <c r="A591" s="5" t="s">
        <v>558</v>
      </c>
      <c r="B591" s="8" t="s">
        <v>1395</v>
      </c>
      <c r="C591" s="2">
        <v>590</v>
      </c>
      <c r="D591" s="8">
        <v>3.3400000000000003</v>
      </c>
    </row>
    <row r="592" spans="1:4" ht="15.75">
      <c r="A592" s="3" t="s">
        <v>304</v>
      </c>
      <c r="B592" s="8" t="s">
        <v>1395</v>
      </c>
      <c r="C592" s="2">
        <v>591</v>
      </c>
      <c r="D592" s="8">
        <v>3.3340000000000001</v>
      </c>
    </row>
    <row r="593" spans="1:4" ht="15.75">
      <c r="A593" s="5" t="s">
        <v>906</v>
      </c>
      <c r="B593" s="8" t="s">
        <v>1395</v>
      </c>
      <c r="C593" s="2">
        <v>592</v>
      </c>
      <c r="D593" s="8">
        <v>3.3029999999999999</v>
      </c>
    </row>
    <row r="594" spans="1:4" ht="15.75">
      <c r="A594" s="3" t="s">
        <v>907</v>
      </c>
      <c r="B594" s="8" t="s">
        <v>1395</v>
      </c>
      <c r="C594" s="2">
        <v>593</v>
      </c>
      <c r="D594" s="8">
        <v>3.3029999999999999</v>
      </c>
    </row>
    <row r="595" spans="1:4" ht="15.75">
      <c r="A595" s="5" t="s">
        <v>908</v>
      </c>
      <c r="B595" s="8" t="s">
        <v>1395</v>
      </c>
      <c r="C595" s="2">
        <v>594</v>
      </c>
      <c r="D595" s="8">
        <v>3.3029999999999999</v>
      </c>
    </row>
    <row r="596" spans="1:4" ht="15.75">
      <c r="A596" s="3" t="s">
        <v>909</v>
      </c>
      <c r="B596" s="8" t="s">
        <v>1395</v>
      </c>
      <c r="C596" s="2">
        <v>595</v>
      </c>
      <c r="D596" s="8">
        <v>3.3029999999999999</v>
      </c>
    </row>
    <row r="597" spans="1:4" ht="15.75">
      <c r="A597" s="5" t="s">
        <v>910</v>
      </c>
      <c r="B597" s="8" t="s">
        <v>1395</v>
      </c>
      <c r="C597" s="2">
        <v>596</v>
      </c>
      <c r="D597" s="8">
        <v>3.3029999999999999</v>
      </c>
    </row>
    <row r="598" spans="1:4" ht="15.75">
      <c r="A598" s="3" t="s">
        <v>310</v>
      </c>
      <c r="B598" s="8" t="s">
        <v>1395</v>
      </c>
      <c r="C598" s="2">
        <v>597</v>
      </c>
      <c r="D598" s="8">
        <v>3.3029999999999999</v>
      </c>
    </row>
    <row r="599" spans="1:4" ht="15.75">
      <c r="A599" s="5" t="s">
        <v>311</v>
      </c>
      <c r="B599" s="8" t="s">
        <v>1395</v>
      </c>
      <c r="C599" s="2">
        <v>598</v>
      </c>
      <c r="D599" s="8">
        <v>3.3029999999999999</v>
      </c>
    </row>
    <row r="600" spans="1:4" ht="15.75">
      <c r="A600" s="3" t="s">
        <v>1122</v>
      </c>
      <c r="B600" s="8" t="s">
        <v>1395</v>
      </c>
      <c r="C600" s="2">
        <v>599</v>
      </c>
      <c r="D600" s="8">
        <v>3.3029999999999999</v>
      </c>
    </row>
    <row r="601" spans="1:4" ht="15.75">
      <c r="A601" s="5" t="s">
        <v>1123</v>
      </c>
      <c r="B601" s="8" t="s">
        <v>1395</v>
      </c>
      <c r="C601" s="2">
        <v>600</v>
      </c>
      <c r="D601" s="8">
        <v>3.3029999999999999</v>
      </c>
    </row>
    <row r="602" spans="1:4" ht="15.75">
      <c r="A602" s="3" t="s">
        <v>1124</v>
      </c>
      <c r="B602" s="8" t="s">
        <v>1395</v>
      </c>
      <c r="C602" s="2">
        <v>601</v>
      </c>
      <c r="D602" s="8">
        <v>3.3029999999999999</v>
      </c>
    </row>
    <row r="603" spans="1:4" ht="15.75">
      <c r="A603" s="5" t="s">
        <v>1128</v>
      </c>
      <c r="B603" s="8" t="s">
        <v>1395</v>
      </c>
      <c r="C603" s="2">
        <v>602</v>
      </c>
      <c r="D603" s="8">
        <v>3.3029999999999999</v>
      </c>
    </row>
    <row r="604" spans="1:4" ht="15.75">
      <c r="A604" s="3" t="s">
        <v>1129</v>
      </c>
      <c r="B604" s="8" t="s">
        <v>1395</v>
      </c>
      <c r="C604" s="2">
        <v>603</v>
      </c>
      <c r="D604" s="8">
        <v>3.3029999999999999</v>
      </c>
    </row>
    <row r="605" spans="1:4" ht="15.75">
      <c r="A605" s="5" t="s">
        <v>1130</v>
      </c>
      <c r="B605" s="8" t="s">
        <v>1395</v>
      </c>
      <c r="C605" s="2">
        <v>604</v>
      </c>
      <c r="D605" s="8">
        <v>3.3029999999999999</v>
      </c>
    </row>
    <row r="606" spans="1:4" ht="15.75">
      <c r="A606" s="3" t="s">
        <v>911</v>
      </c>
      <c r="B606" s="8" t="s">
        <v>1395</v>
      </c>
      <c r="C606" s="2">
        <v>605</v>
      </c>
      <c r="D606" s="8">
        <v>3.286</v>
      </c>
    </row>
    <row r="607" spans="1:4" ht="15.75">
      <c r="A607" s="5" t="s">
        <v>912</v>
      </c>
      <c r="B607" s="8" t="s">
        <v>1395</v>
      </c>
      <c r="C607" s="2">
        <v>606</v>
      </c>
      <c r="D607" s="8">
        <v>3.2690000000000001</v>
      </c>
    </row>
    <row r="608" spans="1:4" ht="15.75">
      <c r="A608" s="3" t="s">
        <v>913</v>
      </c>
      <c r="B608" s="8" t="s">
        <v>1395</v>
      </c>
      <c r="C608" s="2">
        <v>607</v>
      </c>
      <c r="D608" s="8">
        <v>3.2690000000000001</v>
      </c>
    </row>
    <row r="609" spans="1:4" ht="15.75">
      <c r="A609" s="5" t="s">
        <v>914</v>
      </c>
      <c r="B609" s="8" t="s">
        <v>1395</v>
      </c>
      <c r="C609" s="2">
        <v>608</v>
      </c>
      <c r="D609" s="8">
        <v>3.2690000000000001</v>
      </c>
    </row>
    <row r="610" spans="1:4" ht="15.75">
      <c r="A610" s="3" t="s">
        <v>915</v>
      </c>
      <c r="B610" s="8" t="s">
        <v>1395</v>
      </c>
      <c r="C610" s="2">
        <v>609</v>
      </c>
      <c r="D610" s="8">
        <v>3.2690000000000001</v>
      </c>
    </row>
    <row r="611" spans="1:4" ht="15.75">
      <c r="A611" s="5" t="s">
        <v>400</v>
      </c>
      <c r="B611" s="8" t="s">
        <v>1395</v>
      </c>
      <c r="C611" s="2">
        <v>610</v>
      </c>
      <c r="D611" s="8">
        <v>3.2650000000000006</v>
      </c>
    </row>
    <row r="612" spans="1:4" ht="15.75">
      <c r="A612" s="3" t="s">
        <v>398</v>
      </c>
      <c r="B612" s="8" t="s">
        <v>1395</v>
      </c>
      <c r="C612" s="2">
        <v>611</v>
      </c>
      <c r="D612" s="8">
        <v>3.2650000000000006</v>
      </c>
    </row>
    <row r="613" spans="1:4" ht="15.75">
      <c r="A613" s="5" t="s">
        <v>399</v>
      </c>
      <c r="B613" s="8" t="s">
        <v>1395</v>
      </c>
      <c r="C613" s="2">
        <v>612</v>
      </c>
      <c r="D613" s="8">
        <v>3.2650000000000006</v>
      </c>
    </row>
    <row r="614" spans="1:4" ht="15.75">
      <c r="A614" s="3" t="s">
        <v>383</v>
      </c>
      <c r="B614" s="8" t="s">
        <v>1395</v>
      </c>
      <c r="C614" s="2">
        <v>613</v>
      </c>
      <c r="D614" s="8">
        <v>3.2650000000000006</v>
      </c>
    </row>
    <row r="615" spans="1:4" ht="15.75">
      <c r="A615" s="5" t="s">
        <v>334</v>
      </c>
      <c r="B615" s="8" t="s">
        <v>1395</v>
      </c>
      <c r="C615" s="2">
        <v>614</v>
      </c>
      <c r="D615" s="8">
        <v>3.24</v>
      </c>
    </row>
    <row r="616" spans="1:4" ht="15.75">
      <c r="A616" s="3" t="s">
        <v>357</v>
      </c>
      <c r="B616" s="8" t="s">
        <v>1395</v>
      </c>
      <c r="C616" s="2">
        <v>615</v>
      </c>
      <c r="D616" s="8">
        <v>3.24</v>
      </c>
    </row>
    <row r="617" spans="1:4" ht="15.75">
      <c r="A617" s="5" t="s">
        <v>350</v>
      </c>
      <c r="B617" s="8" t="s">
        <v>1395</v>
      </c>
      <c r="C617" s="2">
        <v>616</v>
      </c>
      <c r="D617" s="8">
        <v>3.24</v>
      </c>
    </row>
    <row r="618" spans="1:4" ht="15.75">
      <c r="A618" s="3" t="s">
        <v>585</v>
      </c>
      <c r="B618" s="8" t="s">
        <v>1395</v>
      </c>
      <c r="C618" s="2">
        <v>617</v>
      </c>
      <c r="D618" s="8">
        <v>3.2279999999999998</v>
      </c>
    </row>
    <row r="619" spans="1:4" ht="15.75">
      <c r="A619" s="5" t="s">
        <v>587</v>
      </c>
      <c r="B619" s="8" t="s">
        <v>1395</v>
      </c>
      <c r="C619" s="2">
        <v>618</v>
      </c>
      <c r="D619" s="8">
        <v>3.2279999999999998</v>
      </c>
    </row>
    <row r="620" spans="1:4" ht="15.75">
      <c r="A620" s="3" t="s">
        <v>588</v>
      </c>
      <c r="B620" s="8" t="s">
        <v>1395</v>
      </c>
      <c r="C620" s="2">
        <v>619</v>
      </c>
      <c r="D620" s="8">
        <v>3.2279999999999998</v>
      </c>
    </row>
    <row r="621" spans="1:4" ht="15.75">
      <c r="A621" s="5" t="s">
        <v>589</v>
      </c>
      <c r="B621" s="8" t="s">
        <v>1395</v>
      </c>
      <c r="C621" s="2">
        <v>620</v>
      </c>
      <c r="D621" s="8">
        <v>3.2279999999999998</v>
      </c>
    </row>
    <row r="622" spans="1:4" ht="15.75">
      <c r="A622" s="3" t="s">
        <v>1404</v>
      </c>
      <c r="B622" s="8" t="s">
        <v>1395</v>
      </c>
      <c r="C622" s="2">
        <v>621</v>
      </c>
      <c r="D622" s="8">
        <v>3.2279999999999998</v>
      </c>
    </row>
    <row r="623" spans="1:4" ht="15.75">
      <c r="A623" s="5" t="s">
        <v>72</v>
      </c>
      <c r="B623" s="8" t="s">
        <v>1395</v>
      </c>
      <c r="C623" s="2">
        <v>622</v>
      </c>
      <c r="D623" s="8">
        <v>3.2039999999999997</v>
      </c>
    </row>
    <row r="624" spans="1:4" ht="15.75">
      <c r="A624" s="3" t="s">
        <v>71</v>
      </c>
      <c r="B624" s="8" t="s">
        <v>1395</v>
      </c>
      <c r="C624" s="2">
        <v>623</v>
      </c>
      <c r="D624" s="8">
        <v>3.2039999999999997</v>
      </c>
    </row>
    <row r="625" spans="1:4" ht="15.75">
      <c r="A625" s="5" t="s">
        <v>70</v>
      </c>
      <c r="B625" s="8" t="s">
        <v>1395</v>
      </c>
      <c r="C625" s="2">
        <v>624</v>
      </c>
      <c r="D625" s="8">
        <v>3.2039999999999997</v>
      </c>
    </row>
    <row r="626" spans="1:4" ht="15.75">
      <c r="A626" s="3" t="s">
        <v>69</v>
      </c>
      <c r="B626" s="8" t="s">
        <v>1395</v>
      </c>
      <c r="C626" s="2">
        <v>625</v>
      </c>
      <c r="D626" s="8">
        <v>3.2039999999999997</v>
      </c>
    </row>
    <row r="627" spans="1:4" ht="15.75">
      <c r="A627" s="5" t="s">
        <v>288</v>
      </c>
      <c r="B627" s="8" t="s">
        <v>1395</v>
      </c>
      <c r="C627" s="2">
        <v>626</v>
      </c>
      <c r="D627" s="8">
        <v>3.2039999999999997</v>
      </c>
    </row>
    <row r="628" spans="1:4" ht="15.75">
      <c r="A628" s="3" t="s">
        <v>287</v>
      </c>
      <c r="B628" s="8" t="s">
        <v>1395</v>
      </c>
      <c r="C628" s="2">
        <v>627</v>
      </c>
      <c r="D628" s="8">
        <v>3.2039999999999997</v>
      </c>
    </row>
    <row r="629" spans="1:4" ht="15.75">
      <c r="A629" s="5" t="s">
        <v>286</v>
      </c>
      <c r="B629" s="8" t="s">
        <v>1395</v>
      </c>
      <c r="C629" s="2">
        <v>628</v>
      </c>
      <c r="D629" s="8">
        <v>3.2039999999999997</v>
      </c>
    </row>
    <row r="630" spans="1:4" ht="15.75">
      <c r="A630" s="3" t="s">
        <v>285</v>
      </c>
      <c r="B630" s="8" t="s">
        <v>1395</v>
      </c>
      <c r="C630" s="2">
        <v>629</v>
      </c>
      <c r="D630" s="8">
        <v>3.2039999999999997</v>
      </c>
    </row>
    <row r="631" spans="1:4" ht="15.75">
      <c r="A631" s="5" t="s">
        <v>117</v>
      </c>
      <c r="B631" s="8" t="s">
        <v>1395</v>
      </c>
      <c r="C631" s="2">
        <v>630</v>
      </c>
      <c r="D631" s="8">
        <v>3.2039999999999997</v>
      </c>
    </row>
    <row r="632" spans="1:4" ht="15.75">
      <c r="A632" s="3" t="s">
        <v>118</v>
      </c>
      <c r="B632" s="8" t="s">
        <v>1395</v>
      </c>
      <c r="C632" s="2">
        <v>631</v>
      </c>
      <c r="D632" s="8">
        <v>3.2039999999999997</v>
      </c>
    </row>
    <row r="633" spans="1:4" ht="15.75">
      <c r="A633" s="5" t="s">
        <v>119</v>
      </c>
      <c r="B633" s="8" t="s">
        <v>1395</v>
      </c>
      <c r="C633" s="2">
        <v>632</v>
      </c>
      <c r="D633" s="8">
        <v>3.2039999999999997</v>
      </c>
    </row>
    <row r="634" spans="1:4" ht="15.75">
      <c r="A634" s="3" t="s">
        <v>120</v>
      </c>
      <c r="B634" s="8" t="s">
        <v>1395</v>
      </c>
      <c r="C634" s="2">
        <v>633</v>
      </c>
      <c r="D634" s="8">
        <v>3.2039999999999997</v>
      </c>
    </row>
    <row r="635" spans="1:4" ht="15.75">
      <c r="A635" s="5" t="s">
        <v>121</v>
      </c>
      <c r="B635" s="8" t="s">
        <v>1395</v>
      </c>
      <c r="C635" s="2">
        <v>634</v>
      </c>
      <c r="D635" s="8">
        <v>3.2039999999999997</v>
      </c>
    </row>
    <row r="636" spans="1:4" ht="15.75">
      <c r="A636" s="3" t="s">
        <v>122</v>
      </c>
      <c r="B636" s="8" t="s">
        <v>1395</v>
      </c>
      <c r="C636" s="2">
        <v>635</v>
      </c>
      <c r="D636" s="8">
        <v>3.2039999999999997</v>
      </c>
    </row>
    <row r="637" spans="1:4" ht="15.75">
      <c r="A637" s="5" t="s">
        <v>123</v>
      </c>
      <c r="B637" s="8" t="s">
        <v>1395</v>
      </c>
      <c r="C637" s="2">
        <v>636</v>
      </c>
      <c r="D637" s="8">
        <v>3.2039999999999997</v>
      </c>
    </row>
    <row r="638" spans="1:4" ht="15.75">
      <c r="A638" s="3" t="s">
        <v>124</v>
      </c>
      <c r="B638" s="8" t="s">
        <v>1395</v>
      </c>
      <c r="C638" s="2">
        <v>637</v>
      </c>
      <c r="D638" s="8">
        <v>3.2039999999999997</v>
      </c>
    </row>
    <row r="639" spans="1:4" ht="15.75">
      <c r="A639" s="5" t="s">
        <v>267</v>
      </c>
      <c r="B639" s="8" t="s">
        <v>1395</v>
      </c>
      <c r="C639" s="2">
        <v>638</v>
      </c>
      <c r="D639" s="8">
        <v>3.2039999999999997</v>
      </c>
    </row>
    <row r="640" spans="1:4" ht="15.75">
      <c r="A640" s="3" t="s">
        <v>266</v>
      </c>
      <c r="B640" s="8" t="s">
        <v>1395</v>
      </c>
      <c r="C640" s="2">
        <v>639</v>
      </c>
      <c r="D640" s="8">
        <v>3.2039999999999997</v>
      </c>
    </row>
    <row r="641" spans="1:4" ht="15.75">
      <c r="A641" s="5" t="s">
        <v>265</v>
      </c>
      <c r="B641" s="8" t="s">
        <v>1395</v>
      </c>
      <c r="C641" s="2">
        <v>640</v>
      </c>
      <c r="D641" s="8">
        <v>3.2039999999999997</v>
      </c>
    </row>
    <row r="642" spans="1:4" ht="15.75">
      <c r="A642" s="3" t="s">
        <v>264</v>
      </c>
      <c r="B642" s="8" t="s">
        <v>1395</v>
      </c>
      <c r="C642" s="2">
        <v>641</v>
      </c>
      <c r="D642" s="8">
        <v>3.2039999999999997</v>
      </c>
    </row>
    <row r="643" spans="1:4" ht="15.75">
      <c r="A643" s="5" t="s">
        <v>263</v>
      </c>
      <c r="B643" s="8" t="s">
        <v>1395</v>
      </c>
      <c r="C643" s="2">
        <v>642</v>
      </c>
      <c r="D643" s="8">
        <v>3.2039999999999997</v>
      </c>
    </row>
    <row r="644" spans="1:4" ht="15.75">
      <c r="A644" s="3" t="s">
        <v>262</v>
      </c>
      <c r="B644" s="8" t="s">
        <v>1395</v>
      </c>
      <c r="C644" s="2">
        <v>643</v>
      </c>
      <c r="D644" s="8">
        <v>3.2039999999999997</v>
      </c>
    </row>
    <row r="645" spans="1:4" ht="15.75">
      <c r="A645" s="5" t="s">
        <v>261</v>
      </c>
      <c r="B645" s="8" t="s">
        <v>1395</v>
      </c>
      <c r="C645" s="2">
        <v>644</v>
      </c>
      <c r="D645" s="8">
        <v>3.2039999999999997</v>
      </c>
    </row>
    <row r="646" spans="1:4" ht="15.75">
      <c r="A646" s="3" t="s">
        <v>260</v>
      </c>
      <c r="B646" s="8" t="s">
        <v>1395</v>
      </c>
      <c r="C646" s="2">
        <v>645</v>
      </c>
      <c r="D646" s="8">
        <v>3.2039999999999997</v>
      </c>
    </row>
    <row r="647" spans="1:4" ht="15.75">
      <c r="A647" s="5" t="s">
        <v>60</v>
      </c>
      <c r="B647" s="8" t="s">
        <v>1395</v>
      </c>
      <c r="C647" s="2">
        <v>646</v>
      </c>
      <c r="D647" s="8">
        <v>3.2039999999999997</v>
      </c>
    </row>
    <row r="648" spans="1:4" ht="15.75">
      <c r="A648" s="3" t="s">
        <v>59</v>
      </c>
      <c r="B648" s="8" t="s">
        <v>1395</v>
      </c>
      <c r="C648" s="2">
        <v>647</v>
      </c>
      <c r="D648" s="8">
        <v>3.2039999999999997</v>
      </c>
    </row>
    <row r="649" spans="1:4" ht="15.75">
      <c r="A649" s="5" t="s">
        <v>58</v>
      </c>
      <c r="B649" s="8" t="s">
        <v>1395</v>
      </c>
      <c r="C649" s="2">
        <v>648</v>
      </c>
      <c r="D649" s="8">
        <v>3.2039999999999997</v>
      </c>
    </row>
    <row r="650" spans="1:4" ht="15.75">
      <c r="A650" s="3" t="s">
        <v>259</v>
      </c>
      <c r="B650" s="8" t="s">
        <v>1395</v>
      </c>
      <c r="C650" s="2">
        <v>649</v>
      </c>
      <c r="D650" s="8">
        <v>3.2039999999999997</v>
      </c>
    </row>
    <row r="651" spans="1:4" ht="15.75">
      <c r="A651" s="5" t="s">
        <v>258</v>
      </c>
      <c r="B651" s="8" t="s">
        <v>1395</v>
      </c>
      <c r="C651" s="2">
        <v>650</v>
      </c>
      <c r="D651" s="8">
        <v>3.2039999999999997</v>
      </c>
    </row>
    <row r="652" spans="1:4" ht="15.75">
      <c r="A652" s="3" t="s">
        <v>89</v>
      </c>
      <c r="B652" s="8" t="s">
        <v>1395</v>
      </c>
      <c r="C652" s="2">
        <v>651</v>
      </c>
      <c r="D652" s="8">
        <v>3.2039999999999997</v>
      </c>
    </row>
    <row r="653" spans="1:4" ht="15.75">
      <c r="A653" s="5" t="s">
        <v>90</v>
      </c>
      <c r="B653" s="8" t="s">
        <v>1395</v>
      </c>
      <c r="C653" s="2">
        <v>652</v>
      </c>
      <c r="D653" s="8">
        <v>3.2039999999999997</v>
      </c>
    </row>
    <row r="654" spans="1:4" ht="15.75">
      <c r="A654" s="3" t="s">
        <v>100</v>
      </c>
      <c r="B654" s="8" t="s">
        <v>1395</v>
      </c>
      <c r="C654" s="2">
        <v>653</v>
      </c>
      <c r="D654" s="8">
        <v>3.2039999999999997</v>
      </c>
    </row>
    <row r="655" spans="1:4" ht="15.75">
      <c r="A655" s="5" t="s">
        <v>329</v>
      </c>
      <c r="B655" s="8" t="s">
        <v>1395</v>
      </c>
      <c r="C655" s="2">
        <v>654</v>
      </c>
      <c r="D655" s="8">
        <v>3.1980000000000004</v>
      </c>
    </row>
    <row r="656" spans="1:4" ht="15.75">
      <c r="A656" s="3" t="s">
        <v>336</v>
      </c>
      <c r="B656" s="8" t="s">
        <v>1395</v>
      </c>
      <c r="C656" s="2">
        <v>655</v>
      </c>
      <c r="D656" s="8">
        <v>3.1900000000000004</v>
      </c>
    </row>
    <row r="657" spans="1:4" ht="15.75">
      <c r="A657" s="5" t="s">
        <v>362</v>
      </c>
      <c r="B657" s="8" t="s">
        <v>1395</v>
      </c>
      <c r="C657" s="2">
        <v>656</v>
      </c>
      <c r="D657" s="8">
        <v>3.1650000000000005</v>
      </c>
    </row>
    <row r="658" spans="1:4" ht="15.75">
      <c r="A658" s="3" t="s">
        <v>387</v>
      </c>
      <c r="B658" s="8" t="s">
        <v>1395</v>
      </c>
      <c r="C658" s="2">
        <v>657</v>
      </c>
      <c r="D658" s="8">
        <v>3.1650000000000005</v>
      </c>
    </row>
    <row r="659" spans="1:4" ht="15.75">
      <c r="A659" s="5" t="s">
        <v>916</v>
      </c>
      <c r="B659" s="8" t="s">
        <v>1395</v>
      </c>
      <c r="C659" s="2">
        <v>658</v>
      </c>
      <c r="D659" s="8">
        <v>3.1640000000000006</v>
      </c>
    </row>
    <row r="660" spans="1:4" ht="15.75">
      <c r="A660" s="3" t="s">
        <v>917</v>
      </c>
      <c r="B660" s="8" t="s">
        <v>1395</v>
      </c>
      <c r="C660" s="2">
        <v>659</v>
      </c>
      <c r="D660" s="8">
        <v>3.1640000000000006</v>
      </c>
    </row>
    <row r="661" spans="1:4" ht="15.75">
      <c r="A661" s="5" t="s">
        <v>918</v>
      </c>
      <c r="B661" s="8" t="s">
        <v>1395</v>
      </c>
      <c r="C661" s="2">
        <v>660</v>
      </c>
      <c r="D661" s="8">
        <v>3.1640000000000006</v>
      </c>
    </row>
    <row r="662" spans="1:4" ht="15.75">
      <c r="A662" s="3" t="s">
        <v>352</v>
      </c>
      <c r="B662" s="8" t="s">
        <v>1395</v>
      </c>
      <c r="C662" s="2">
        <v>661</v>
      </c>
      <c r="D662" s="8">
        <v>3.1400000000000006</v>
      </c>
    </row>
    <row r="663" spans="1:4" ht="15.75">
      <c r="A663" s="5" t="s">
        <v>919</v>
      </c>
      <c r="B663" s="8" t="s">
        <v>1395</v>
      </c>
      <c r="C663" s="2">
        <v>662</v>
      </c>
      <c r="D663" s="8">
        <v>3.1239999999999997</v>
      </c>
    </row>
    <row r="664" spans="1:4" ht="15.75">
      <c r="A664" s="3" t="s">
        <v>920</v>
      </c>
      <c r="B664" s="8" t="s">
        <v>1395</v>
      </c>
      <c r="C664" s="2">
        <v>663</v>
      </c>
      <c r="D664" s="8">
        <v>3.1050000000000004</v>
      </c>
    </row>
    <row r="665" spans="1:4" ht="15.75">
      <c r="A665" s="5" t="s">
        <v>921</v>
      </c>
      <c r="B665" s="8" t="s">
        <v>1395</v>
      </c>
      <c r="C665" s="2">
        <v>664</v>
      </c>
      <c r="D665" s="8">
        <v>3.1050000000000004</v>
      </c>
    </row>
    <row r="666" spans="1:4" ht="15.75">
      <c r="A666" s="3" t="s">
        <v>337</v>
      </c>
      <c r="B666" s="8" t="s">
        <v>1395</v>
      </c>
      <c r="C666" s="2">
        <v>665</v>
      </c>
      <c r="D666" s="8">
        <v>3.0650000000000004</v>
      </c>
    </row>
    <row r="667" spans="1:4" ht="15.75">
      <c r="A667" s="5" t="s">
        <v>341</v>
      </c>
      <c r="B667" s="8" t="s">
        <v>1395</v>
      </c>
      <c r="C667" s="2">
        <v>666</v>
      </c>
      <c r="D667" s="8">
        <v>3.0650000000000004</v>
      </c>
    </row>
    <row r="668" spans="1:4" ht="15.75">
      <c r="A668" s="3" t="s">
        <v>342</v>
      </c>
      <c r="B668" s="8" t="s">
        <v>1395</v>
      </c>
      <c r="C668" s="2">
        <v>667</v>
      </c>
      <c r="D668" s="8">
        <v>3.0650000000000004</v>
      </c>
    </row>
    <row r="669" spans="1:4" ht="15.75">
      <c r="A669" s="5" t="s">
        <v>343</v>
      </c>
      <c r="B669" s="8" t="s">
        <v>1395</v>
      </c>
      <c r="C669" s="2">
        <v>668</v>
      </c>
      <c r="D669" s="8">
        <v>3.0650000000000004</v>
      </c>
    </row>
    <row r="670" spans="1:4" ht="15.75">
      <c r="A670" s="3" t="s">
        <v>344</v>
      </c>
      <c r="B670" s="8" t="s">
        <v>1395</v>
      </c>
      <c r="C670" s="2">
        <v>669</v>
      </c>
      <c r="D670" s="8">
        <v>3.0650000000000004</v>
      </c>
    </row>
    <row r="671" spans="1:4" ht="15.75">
      <c r="A671" s="5" t="s">
        <v>359</v>
      </c>
      <c r="B671" s="8" t="s">
        <v>1395</v>
      </c>
      <c r="C671" s="2">
        <v>670</v>
      </c>
      <c r="D671" s="8">
        <v>3.0650000000000004</v>
      </c>
    </row>
    <row r="672" spans="1:4" ht="15.75">
      <c r="A672" s="3" t="s">
        <v>361</v>
      </c>
      <c r="B672" s="8" t="s">
        <v>1395</v>
      </c>
      <c r="C672" s="2">
        <v>671</v>
      </c>
      <c r="D672" s="8">
        <v>3.0650000000000004</v>
      </c>
    </row>
    <row r="673" spans="1:4" ht="15.75">
      <c r="A673" s="5" t="s">
        <v>373</v>
      </c>
      <c r="B673" s="8" t="s">
        <v>1395</v>
      </c>
      <c r="C673" s="2">
        <v>672</v>
      </c>
      <c r="D673" s="8">
        <v>3.0650000000000004</v>
      </c>
    </row>
    <row r="674" spans="1:4" ht="15.75">
      <c r="A674" s="3" t="s">
        <v>375</v>
      </c>
      <c r="B674" s="8" t="s">
        <v>1395</v>
      </c>
      <c r="C674" s="2">
        <v>673</v>
      </c>
      <c r="D674" s="8">
        <v>3.0650000000000004</v>
      </c>
    </row>
    <row r="675" spans="1:4" ht="15.75">
      <c r="A675" s="5" t="s">
        <v>377</v>
      </c>
      <c r="B675" s="8" t="s">
        <v>1395</v>
      </c>
      <c r="C675" s="2">
        <v>674</v>
      </c>
      <c r="D675" s="8">
        <v>3.0650000000000004</v>
      </c>
    </row>
    <row r="676" spans="1:4" ht="15.75">
      <c r="A676" s="3" t="s">
        <v>379</v>
      </c>
      <c r="B676" s="8" t="s">
        <v>1395</v>
      </c>
      <c r="C676" s="2">
        <v>675</v>
      </c>
      <c r="D676" s="8">
        <v>3.0650000000000004</v>
      </c>
    </row>
    <row r="677" spans="1:4" ht="15.75">
      <c r="A677" s="5" t="s">
        <v>381</v>
      </c>
      <c r="B677" s="8" t="s">
        <v>1395</v>
      </c>
      <c r="C677" s="2">
        <v>676</v>
      </c>
      <c r="D677" s="8">
        <v>3.0650000000000004</v>
      </c>
    </row>
    <row r="678" spans="1:4" ht="15.75">
      <c r="A678" s="3" t="s">
        <v>922</v>
      </c>
      <c r="B678" s="8" t="s">
        <v>1395</v>
      </c>
      <c r="C678" s="2">
        <v>677</v>
      </c>
      <c r="D678" s="8">
        <v>3.0600000000000005</v>
      </c>
    </row>
    <row r="679" spans="1:4" ht="15.75">
      <c r="A679" s="5" t="s">
        <v>923</v>
      </c>
      <c r="B679" s="8" t="s">
        <v>1395</v>
      </c>
      <c r="C679" s="2">
        <v>678</v>
      </c>
      <c r="D679" s="8">
        <v>3.0600000000000005</v>
      </c>
    </row>
    <row r="680" spans="1:4" ht="15.75">
      <c r="A680" s="3" t="s">
        <v>924</v>
      </c>
      <c r="B680" s="8" t="s">
        <v>1395</v>
      </c>
      <c r="C680" s="2">
        <v>679</v>
      </c>
      <c r="D680" s="8">
        <v>3.0540000000000003</v>
      </c>
    </row>
    <row r="681" spans="1:4" ht="15.75">
      <c r="A681" s="5" t="s">
        <v>925</v>
      </c>
      <c r="B681" s="8" t="s">
        <v>1395</v>
      </c>
      <c r="C681" s="2">
        <v>680</v>
      </c>
      <c r="D681" s="8">
        <v>3.04</v>
      </c>
    </row>
    <row r="682" spans="1:4" ht="15.75">
      <c r="A682" s="3" t="s">
        <v>1125</v>
      </c>
      <c r="B682" s="8" t="s">
        <v>1395</v>
      </c>
      <c r="C682" s="2">
        <v>681</v>
      </c>
      <c r="D682" s="8">
        <v>3.04</v>
      </c>
    </row>
    <row r="683" spans="1:4" ht="15.75">
      <c r="A683" s="5" t="s">
        <v>1126</v>
      </c>
      <c r="B683" s="8" t="s">
        <v>1395</v>
      </c>
      <c r="C683" s="2">
        <v>682</v>
      </c>
      <c r="D683" s="8">
        <v>3.04</v>
      </c>
    </row>
    <row r="684" spans="1:4" ht="15.75">
      <c r="A684" s="3" t="s">
        <v>1127</v>
      </c>
      <c r="B684" s="8" t="s">
        <v>1395</v>
      </c>
      <c r="C684" s="2">
        <v>683</v>
      </c>
      <c r="D684" s="8">
        <v>3.04</v>
      </c>
    </row>
    <row r="685" spans="1:4" ht="15.75">
      <c r="A685" s="5" t="s">
        <v>256</v>
      </c>
      <c r="B685" s="8" t="s">
        <v>1395</v>
      </c>
      <c r="C685" s="2">
        <v>684</v>
      </c>
      <c r="D685" s="8">
        <v>3.0390000000000006</v>
      </c>
    </row>
    <row r="686" spans="1:4" ht="15.75">
      <c r="A686" s="3" t="s">
        <v>926</v>
      </c>
      <c r="B686" s="8" t="s">
        <v>1395</v>
      </c>
      <c r="C686" s="2">
        <v>685</v>
      </c>
      <c r="D686" s="8">
        <v>3.0390000000000006</v>
      </c>
    </row>
    <row r="687" spans="1:4" ht="15.75">
      <c r="A687" s="5" t="s">
        <v>927</v>
      </c>
      <c r="B687" s="8" t="s">
        <v>1395</v>
      </c>
      <c r="C687" s="2">
        <v>686</v>
      </c>
      <c r="D687" s="8">
        <v>3.0390000000000006</v>
      </c>
    </row>
    <row r="688" spans="1:4" ht="15.75">
      <c r="A688" s="3" t="s">
        <v>928</v>
      </c>
      <c r="B688" s="8" t="s">
        <v>1395</v>
      </c>
      <c r="C688" s="2">
        <v>687</v>
      </c>
      <c r="D688" s="8">
        <v>3.0390000000000006</v>
      </c>
    </row>
    <row r="689" spans="1:4" ht="15.75">
      <c r="A689" s="5" t="s">
        <v>929</v>
      </c>
      <c r="B689" s="8" t="s">
        <v>1395</v>
      </c>
      <c r="C689" s="2">
        <v>688</v>
      </c>
      <c r="D689" s="8">
        <v>3.0390000000000006</v>
      </c>
    </row>
    <row r="690" spans="1:4" ht="15.75">
      <c r="A690" s="3" t="s">
        <v>930</v>
      </c>
      <c r="B690" s="8" t="s">
        <v>1395</v>
      </c>
      <c r="C690" s="2">
        <v>689</v>
      </c>
      <c r="D690" s="8">
        <v>3.0390000000000006</v>
      </c>
    </row>
    <row r="691" spans="1:4" ht="15.75">
      <c r="A691" s="5" t="s">
        <v>393</v>
      </c>
      <c r="B691" s="8" t="s">
        <v>1395</v>
      </c>
      <c r="C691" s="2">
        <v>690</v>
      </c>
      <c r="D691" s="8">
        <v>3.0230000000000006</v>
      </c>
    </row>
    <row r="692" spans="1:4" ht="15.75">
      <c r="A692" s="3" t="s">
        <v>395</v>
      </c>
      <c r="B692" s="8" t="s">
        <v>1395</v>
      </c>
      <c r="C692" s="2">
        <v>691</v>
      </c>
      <c r="D692" s="8">
        <v>3.0230000000000006</v>
      </c>
    </row>
    <row r="693" spans="1:4" ht="15.75">
      <c r="A693" s="5" t="s">
        <v>363</v>
      </c>
      <c r="B693" s="8" t="s">
        <v>1395</v>
      </c>
      <c r="C693" s="2">
        <v>692</v>
      </c>
      <c r="D693" s="8">
        <v>2.99</v>
      </c>
    </row>
    <row r="694" spans="1:4" ht="15.75">
      <c r="A694" s="3" t="s">
        <v>338</v>
      </c>
      <c r="B694" s="8" t="s">
        <v>1395</v>
      </c>
      <c r="C694" s="2">
        <v>693</v>
      </c>
      <c r="D694" s="8">
        <v>2.9650000000000003</v>
      </c>
    </row>
    <row r="695" spans="1:4" ht="15.75">
      <c r="A695" s="5" t="s">
        <v>339</v>
      </c>
      <c r="B695" s="8" t="s">
        <v>1395</v>
      </c>
      <c r="C695" s="2">
        <v>694</v>
      </c>
      <c r="D695" s="8">
        <v>2.9650000000000003</v>
      </c>
    </row>
    <row r="696" spans="1:4" ht="15.75">
      <c r="A696" s="3" t="s">
        <v>345</v>
      </c>
      <c r="B696" s="8" t="s">
        <v>1395</v>
      </c>
      <c r="C696" s="2">
        <v>695</v>
      </c>
      <c r="D696" s="8">
        <v>2.9650000000000003</v>
      </c>
    </row>
    <row r="697" spans="1:4" ht="15.75">
      <c r="A697" s="5" t="s">
        <v>346</v>
      </c>
      <c r="B697" s="8" t="s">
        <v>1395</v>
      </c>
      <c r="C697" s="2">
        <v>696</v>
      </c>
      <c r="D697" s="8">
        <v>2.9650000000000003</v>
      </c>
    </row>
    <row r="698" spans="1:4" ht="15.75">
      <c r="A698" s="3" t="s">
        <v>348</v>
      </c>
      <c r="B698" s="8" t="s">
        <v>1395</v>
      </c>
      <c r="C698" s="2">
        <v>697</v>
      </c>
      <c r="D698" s="8">
        <v>2.9650000000000003</v>
      </c>
    </row>
    <row r="699" spans="1:4" ht="15.75">
      <c r="A699" s="5" t="s">
        <v>349</v>
      </c>
      <c r="B699" s="8" t="s">
        <v>1395</v>
      </c>
      <c r="C699" s="2">
        <v>698</v>
      </c>
      <c r="D699" s="8">
        <v>2.9650000000000003</v>
      </c>
    </row>
    <row r="700" spans="1:4" ht="15.75">
      <c r="A700" s="3" t="s">
        <v>355</v>
      </c>
      <c r="B700" s="8" t="s">
        <v>1395</v>
      </c>
      <c r="C700" s="2">
        <v>699</v>
      </c>
      <c r="D700" s="8">
        <v>2.9650000000000003</v>
      </c>
    </row>
    <row r="701" spans="1:4" ht="15.75">
      <c r="A701" s="5" t="s">
        <v>367</v>
      </c>
      <c r="B701" s="8" t="s">
        <v>1395</v>
      </c>
      <c r="C701" s="2">
        <v>700</v>
      </c>
      <c r="D701" s="8">
        <v>2.9650000000000003</v>
      </c>
    </row>
    <row r="702" spans="1:4" ht="15.75">
      <c r="A702" s="3" t="s">
        <v>369</v>
      </c>
      <c r="B702" s="8" t="s">
        <v>1395</v>
      </c>
      <c r="C702" s="2">
        <v>701</v>
      </c>
      <c r="D702" s="8">
        <v>2.9650000000000003</v>
      </c>
    </row>
    <row r="703" spans="1:4" ht="15.75">
      <c r="A703" s="5" t="s">
        <v>397</v>
      </c>
      <c r="B703" s="8" t="s">
        <v>1395</v>
      </c>
      <c r="C703" s="2">
        <v>702</v>
      </c>
      <c r="D703" s="8">
        <v>2.9650000000000003</v>
      </c>
    </row>
    <row r="704" spans="1:4" ht="15.75">
      <c r="A704" s="3" t="s">
        <v>931</v>
      </c>
      <c r="B704" s="8" t="s">
        <v>1395</v>
      </c>
      <c r="C704" s="2">
        <v>703</v>
      </c>
      <c r="D704" s="8">
        <v>2.9640000000000004</v>
      </c>
    </row>
    <row r="705" spans="1:4" ht="15.75">
      <c r="A705" s="5" t="s">
        <v>932</v>
      </c>
      <c r="B705" s="8" t="s">
        <v>1395</v>
      </c>
      <c r="C705" s="2">
        <v>704</v>
      </c>
      <c r="D705" s="8">
        <v>2.9550000000000001</v>
      </c>
    </row>
    <row r="706" spans="1:4" ht="15.75">
      <c r="A706" s="3" t="s">
        <v>1089</v>
      </c>
      <c r="B706" s="8" t="s">
        <v>1395</v>
      </c>
      <c r="C706" s="2">
        <v>705</v>
      </c>
      <c r="D706" s="8">
        <v>2.9550000000000001</v>
      </c>
    </row>
    <row r="707" spans="1:4" ht="15.75">
      <c r="A707" s="5" t="s">
        <v>103</v>
      </c>
      <c r="B707" s="8" t="s">
        <v>1395</v>
      </c>
      <c r="C707" s="2">
        <v>706</v>
      </c>
      <c r="D707" s="8">
        <v>2.9539999999999997</v>
      </c>
    </row>
    <row r="708" spans="1:4" ht="15.75">
      <c r="A708" s="3" t="s">
        <v>45</v>
      </c>
      <c r="B708" s="8" t="s">
        <v>1395</v>
      </c>
      <c r="C708" s="2">
        <v>707</v>
      </c>
      <c r="D708" s="8">
        <v>2.9539999999999997</v>
      </c>
    </row>
    <row r="709" spans="1:4" ht="15.75">
      <c r="A709" s="5" t="s">
        <v>65</v>
      </c>
      <c r="B709" s="8" t="s">
        <v>1395</v>
      </c>
      <c r="C709" s="2">
        <v>708</v>
      </c>
      <c r="D709" s="8">
        <v>2.9539999999999997</v>
      </c>
    </row>
    <row r="710" spans="1:4" ht="15.75">
      <c r="A710" s="3" t="s">
        <v>64</v>
      </c>
      <c r="B710" s="8" t="s">
        <v>1395</v>
      </c>
      <c r="C710" s="2">
        <v>709</v>
      </c>
      <c r="D710" s="8">
        <v>2.9539999999999997</v>
      </c>
    </row>
    <row r="711" spans="1:4" ht="15.75">
      <c r="A711" s="5" t="s">
        <v>63</v>
      </c>
      <c r="B711" s="8" t="s">
        <v>1395</v>
      </c>
      <c r="C711" s="2">
        <v>710</v>
      </c>
      <c r="D711" s="8">
        <v>2.9539999999999997</v>
      </c>
    </row>
    <row r="712" spans="1:4" ht="15.75">
      <c r="A712" s="3" t="s">
        <v>54</v>
      </c>
      <c r="B712" s="8" t="s">
        <v>1395</v>
      </c>
      <c r="C712" s="2">
        <v>711</v>
      </c>
      <c r="D712" s="8">
        <v>2.9539999999999997</v>
      </c>
    </row>
    <row r="713" spans="1:4" ht="15.75">
      <c r="A713" s="5" t="s">
        <v>68</v>
      </c>
      <c r="B713" s="8" t="s">
        <v>1395</v>
      </c>
      <c r="C713" s="2">
        <v>712</v>
      </c>
      <c r="D713" s="8">
        <v>2.9539999999999997</v>
      </c>
    </row>
    <row r="714" spans="1:4" ht="15.75">
      <c r="A714" s="3" t="s">
        <v>67</v>
      </c>
      <c r="B714" s="8" t="s">
        <v>1395</v>
      </c>
      <c r="C714" s="2">
        <v>713</v>
      </c>
      <c r="D714" s="8">
        <v>2.9539999999999997</v>
      </c>
    </row>
    <row r="715" spans="1:4" ht="15.75">
      <c r="A715" s="5" t="s">
        <v>66</v>
      </c>
      <c r="B715" s="8" t="s">
        <v>1395</v>
      </c>
      <c r="C715" s="2">
        <v>714</v>
      </c>
      <c r="D715" s="8">
        <v>2.9539999999999997</v>
      </c>
    </row>
    <row r="716" spans="1:4" ht="15.75">
      <c r="A716" s="3" t="s">
        <v>43</v>
      </c>
      <c r="B716" s="8" t="s">
        <v>1395</v>
      </c>
      <c r="C716" s="2">
        <v>715</v>
      </c>
      <c r="D716" s="8">
        <v>2.9539999999999997</v>
      </c>
    </row>
    <row r="717" spans="1:4" ht="15.75">
      <c r="A717" s="5" t="s">
        <v>42</v>
      </c>
      <c r="B717" s="8" t="s">
        <v>1395</v>
      </c>
      <c r="C717" s="2">
        <v>716</v>
      </c>
      <c r="D717" s="8">
        <v>2.9539999999999997</v>
      </c>
    </row>
    <row r="718" spans="1:4" ht="15.75">
      <c r="A718" s="3" t="s">
        <v>41</v>
      </c>
      <c r="B718" s="8" t="s">
        <v>1395</v>
      </c>
      <c r="C718" s="2">
        <v>717</v>
      </c>
      <c r="D718" s="8">
        <v>2.9539999999999997</v>
      </c>
    </row>
    <row r="719" spans="1:4" ht="15.75">
      <c r="A719" s="5" t="s">
        <v>40</v>
      </c>
      <c r="B719" s="8" t="s">
        <v>1395</v>
      </c>
      <c r="C719" s="2">
        <v>718</v>
      </c>
      <c r="D719" s="8">
        <v>2.9539999999999997</v>
      </c>
    </row>
    <row r="720" spans="1:4" ht="15.75">
      <c r="A720" s="3" t="s">
        <v>39</v>
      </c>
      <c r="B720" s="8" t="s">
        <v>1395</v>
      </c>
      <c r="C720" s="2">
        <v>719</v>
      </c>
      <c r="D720" s="8">
        <v>2.9539999999999997</v>
      </c>
    </row>
    <row r="721" spans="1:4" ht="15.75">
      <c r="A721" s="5" t="s">
        <v>49</v>
      </c>
      <c r="B721" s="8" t="s">
        <v>1395</v>
      </c>
      <c r="C721" s="2">
        <v>720</v>
      </c>
      <c r="D721" s="8">
        <v>2.9539999999999997</v>
      </c>
    </row>
    <row r="722" spans="1:4" ht="15.75">
      <c r="A722" s="3" t="s">
        <v>48</v>
      </c>
      <c r="B722" s="8" t="s">
        <v>1395</v>
      </c>
      <c r="C722" s="2">
        <v>721</v>
      </c>
      <c r="D722" s="8">
        <v>2.9539999999999997</v>
      </c>
    </row>
    <row r="723" spans="1:4" ht="15.75">
      <c r="A723" s="5" t="s">
        <v>47</v>
      </c>
      <c r="B723" s="8" t="s">
        <v>1395</v>
      </c>
      <c r="C723" s="2">
        <v>722</v>
      </c>
      <c r="D723" s="8">
        <v>2.9539999999999997</v>
      </c>
    </row>
    <row r="724" spans="1:4" ht="15.75">
      <c r="A724" s="3" t="s">
        <v>46</v>
      </c>
      <c r="B724" s="8" t="s">
        <v>1395</v>
      </c>
      <c r="C724" s="2">
        <v>723</v>
      </c>
      <c r="D724" s="8">
        <v>2.9539999999999997</v>
      </c>
    </row>
    <row r="725" spans="1:4" ht="15.75">
      <c r="A725" s="5" t="s">
        <v>53</v>
      </c>
      <c r="B725" s="8" t="s">
        <v>1395</v>
      </c>
      <c r="C725" s="2">
        <v>724</v>
      </c>
      <c r="D725" s="8">
        <v>2.9539999999999997</v>
      </c>
    </row>
    <row r="726" spans="1:4" ht="15.75">
      <c r="A726" s="3" t="s">
        <v>52</v>
      </c>
      <c r="B726" s="8" t="s">
        <v>1395</v>
      </c>
      <c r="C726" s="2">
        <v>725</v>
      </c>
      <c r="D726" s="8">
        <v>2.9539999999999997</v>
      </c>
    </row>
    <row r="727" spans="1:4" ht="15.75">
      <c r="A727" s="5" t="s">
        <v>51</v>
      </c>
      <c r="B727" s="8" t="s">
        <v>1395</v>
      </c>
      <c r="C727" s="2">
        <v>726</v>
      </c>
      <c r="D727" s="8">
        <v>2.9539999999999997</v>
      </c>
    </row>
    <row r="728" spans="1:4" ht="15.75">
      <c r="A728" s="3" t="s">
        <v>50</v>
      </c>
      <c r="B728" s="8" t="s">
        <v>1395</v>
      </c>
      <c r="C728" s="2">
        <v>727</v>
      </c>
      <c r="D728" s="8">
        <v>2.9539999999999997</v>
      </c>
    </row>
    <row r="729" spans="1:4" ht="15.75">
      <c r="A729" s="5" t="s">
        <v>246</v>
      </c>
      <c r="B729" s="8" t="s">
        <v>1395</v>
      </c>
      <c r="C729" s="2">
        <v>728</v>
      </c>
      <c r="D729" s="8">
        <v>2.9539999999999997</v>
      </c>
    </row>
    <row r="730" spans="1:4" ht="15.75">
      <c r="A730" s="3" t="s">
        <v>247</v>
      </c>
      <c r="B730" s="8" t="s">
        <v>1395</v>
      </c>
      <c r="C730" s="2">
        <v>729</v>
      </c>
      <c r="D730" s="8">
        <v>2.9539999999999997</v>
      </c>
    </row>
    <row r="731" spans="1:4" ht="15.75">
      <c r="A731" s="5" t="s">
        <v>44</v>
      </c>
      <c r="B731" s="8" t="s">
        <v>1395</v>
      </c>
      <c r="C731" s="2">
        <v>730</v>
      </c>
      <c r="D731" s="8">
        <v>2.9539999999999997</v>
      </c>
    </row>
    <row r="732" spans="1:4" ht="15.75">
      <c r="A732" s="3" t="s">
        <v>62</v>
      </c>
      <c r="B732" s="8" t="s">
        <v>1395</v>
      </c>
      <c r="C732" s="2">
        <v>731</v>
      </c>
      <c r="D732" s="8">
        <v>2.9539999999999997</v>
      </c>
    </row>
    <row r="733" spans="1:4" ht="15.75">
      <c r="A733" s="5" t="s">
        <v>61</v>
      </c>
      <c r="B733" s="8" t="s">
        <v>1395</v>
      </c>
      <c r="C733" s="2">
        <v>732</v>
      </c>
      <c r="D733" s="8">
        <v>2.9539999999999997</v>
      </c>
    </row>
    <row r="734" spans="1:4" ht="15.75">
      <c r="A734" s="3" t="s">
        <v>1060</v>
      </c>
      <c r="B734" s="8" t="s">
        <v>1395</v>
      </c>
      <c r="C734" s="2">
        <v>733</v>
      </c>
      <c r="D734" s="8">
        <v>2.9539999999999997</v>
      </c>
    </row>
    <row r="735" spans="1:4" ht="15.75">
      <c r="A735" s="5" t="s">
        <v>91</v>
      </c>
      <c r="B735" s="8" t="s">
        <v>1395</v>
      </c>
      <c r="C735" s="2">
        <v>734</v>
      </c>
      <c r="D735" s="8">
        <v>2.9539999999999997</v>
      </c>
    </row>
    <row r="736" spans="1:4" ht="15.75">
      <c r="A736" s="3" t="s">
        <v>92</v>
      </c>
      <c r="B736" s="8" t="s">
        <v>1395</v>
      </c>
      <c r="C736" s="2">
        <v>735</v>
      </c>
      <c r="D736" s="8">
        <v>2.9539999999999997</v>
      </c>
    </row>
    <row r="737" spans="1:4" ht="15.75">
      <c r="A737" s="5" t="s">
        <v>102</v>
      </c>
      <c r="B737" s="8" t="s">
        <v>1395</v>
      </c>
      <c r="C737" s="2">
        <v>736</v>
      </c>
      <c r="D737" s="8">
        <v>2.9539999999999997</v>
      </c>
    </row>
    <row r="738" spans="1:4" ht="15.75">
      <c r="A738" s="3" t="s">
        <v>86</v>
      </c>
      <c r="B738" s="8" t="s">
        <v>1395</v>
      </c>
      <c r="C738" s="2">
        <v>737</v>
      </c>
      <c r="D738" s="8">
        <v>2.9539999999999997</v>
      </c>
    </row>
    <row r="739" spans="1:4" ht="15.75">
      <c r="A739" s="5" t="s">
        <v>933</v>
      </c>
      <c r="B739" s="8" t="s">
        <v>1395</v>
      </c>
      <c r="C739" s="2">
        <v>738</v>
      </c>
      <c r="D739" s="8">
        <v>2.9185000000000003</v>
      </c>
    </row>
    <row r="740" spans="1:4" ht="15.75">
      <c r="A740" s="3" t="s">
        <v>934</v>
      </c>
      <c r="B740" s="8" t="s">
        <v>1395</v>
      </c>
      <c r="C740" s="2">
        <v>739</v>
      </c>
      <c r="D740" s="8">
        <v>2.9185000000000003</v>
      </c>
    </row>
    <row r="741" spans="1:4" ht="15.75">
      <c r="A741" s="5" t="s">
        <v>935</v>
      </c>
      <c r="B741" s="8" t="s">
        <v>1395</v>
      </c>
      <c r="C741" s="2">
        <v>740</v>
      </c>
      <c r="D741" s="8">
        <v>2.9185000000000003</v>
      </c>
    </row>
    <row r="742" spans="1:4" ht="15.75">
      <c r="A742" s="3" t="s">
        <v>936</v>
      </c>
      <c r="B742" s="8" t="s">
        <v>1395</v>
      </c>
      <c r="C742" s="2">
        <v>741</v>
      </c>
      <c r="D742" s="8">
        <v>2.9185000000000003</v>
      </c>
    </row>
    <row r="743" spans="1:4" ht="15.75">
      <c r="A743" s="5" t="s">
        <v>937</v>
      </c>
      <c r="B743" s="8" t="s">
        <v>1395</v>
      </c>
      <c r="C743" s="2">
        <v>742</v>
      </c>
      <c r="D743" s="8">
        <v>2.9185000000000003</v>
      </c>
    </row>
    <row r="744" spans="1:4" ht="15.75">
      <c r="A744" s="3" t="s">
        <v>938</v>
      </c>
      <c r="B744" s="8" t="s">
        <v>1395</v>
      </c>
      <c r="C744" s="2">
        <v>743</v>
      </c>
      <c r="D744" s="8">
        <v>2.9185000000000003</v>
      </c>
    </row>
    <row r="745" spans="1:4" ht="15.75">
      <c r="A745" s="5" t="s">
        <v>939</v>
      </c>
      <c r="B745" s="8" t="s">
        <v>1395</v>
      </c>
      <c r="C745" s="2">
        <v>744</v>
      </c>
      <c r="D745" s="8">
        <v>2.9185000000000003</v>
      </c>
    </row>
    <row r="746" spans="1:4" ht="15.75">
      <c r="A746" s="3" t="s">
        <v>940</v>
      </c>
      <c r="B746" s="8" t="s">
        <v>1395</v>
      </c>
      <c r="C746" s="2">
        <v>745</v>
      </c>
      <c r="D746" s="8">
        <v>2.9185000000000003</v>
      </c>
    </row>
    <row r="747" spans="1:4" ht="15.75">
      <c r="A747" s="5" t="s">
        <v>941</v>
      </c>
      <c r="B747" s="8" t="s">
        <v>1395</v>
      </c>
      <c r="C747" s="2">
        <v>746</v>
      </c>
      <c r="D747" s="8">
        <v>2.9185000000000003</v>
      </c>
    </row>
    <row r="748" spans="1:4" ht="15.75">
      <c r="A748" s="3" t="s">
        <v>942</v>
      </c>
      <c r="B748" s="8" t="s">
        <v>1395</v>
      </c>
      <c r="C748" s="2">
        <v>747</v>
      </c>
      <c r="D748" s="8">
        <v>2.9185000000000003</v>
      </c>
    </row>
    <row r="749" spans="1:4" ht="15.75">
      <c r="A749" s="5" t="s">
        <v>943</v>
      </c>
      <c r="B749" s="8" t="s">
        <v>1395</v>
      </c>
      <c r="C749" s="2">
        <v>748</v>
      </c>
      <c r="D749" s="8">
        <v>2.9185000000000003</v>
      </c>
    </row>
    <row r="750" spans="1:4" ht="15.75">
      <c r="A750" s="3" t="s">
        <v>944</v>
      </c>
      <c r="B750" s="8" t="s">
        <v>1395</v>
      </c>
      <c r="C750" s="2">
        <v>749</v>
      </c>
      <c r="D750" s="8">
        <v>2.899</v>
      </c>
    </row>
    <row r="751" spans="1:4" ht="15.75">
      <c r="A751" s="5" t="s">
        <v>945</v>
      </c>
      <c r="B751" s="8" t="s">
        <v>1395</v>
      </c>
      <c r="C751" s="2">
        <v>750</v>
      </c>
      <c r="D751" s="8">
        <v>2.899</v>
      </c>
    </row>
    <row r="752" spans="1:4" ht="15.75">
      <c r="A752" s="3" t="s">
        <v>946</v>
      </c>
      <c r="B752" s="8" t="s">
        <v>1395</v>
      </c>
      <c r="C752" s="2">
        <v>751</v>
      </c>
      <c r="D752" s="8">
        <v>2.899</v>
      </c>
    </row>
    <row r="753" spans="1:4" ht="15.75">
      <c r="A753" s="5" t="s">
        <v>947</v>
      </c>
      <c r="B753" s="8" t="s">
        <v>1395</v>
      </c>
      <c r="C753" s="2">
        <v>752</v>
      </c>
      <c r="D753" s="8">
        <v>2.899</v>
      </c>
    </row>
    <row r="754" spans="1:4" ht="15.75">
      <c r="A754" s="3" t="s">
        <v>948</v>
      </c>
      <c r="B754" s="8" t="s">
        <v>1395</v>
      </c>
      <c r="C754" s="2">
        <v>753</v>
      </c>
      <c r="D754" s="8">
        <v>2.899</v>
      </c>
    </row>
    <row r="755" spans="1:4" ht="15.75">
      <c r="A755" s="5" t="s">
        <v>949</v>
      </c>
      <c r="B755" s="8" t="s">
        <v>1395</v>
      </c>
      <c r="C755" s="2">
        <v>754</v>
      </c>
      <c r="D755" s="8">
        <v>2.899</v>
      </c>
    </row>
    <row r="756" spans="1:4" ht="15.75">
      <c r="A756" s="3" t="s">
        <v>950</v>
      </c>
      <c r="B756" s="8" t="s">
        <v>1395</v>
      </c>
      <c r="C756" s="2">
        <v>755</v>
      </c>
      <c r="D756" s="8">
        <v>2.899</v>
      </c>
    </row>
    <row r="757" spans="1:4" ht="15.75">
      <c r="A757" s="5" t="s">
        <v>951</v>
      </c>
      <c r="B757" s="8" t="s">
        <v>1395</v>
      </c>
      <c r="C757" s="2">
        <v>756</v>
      </c>
      <c r="D757" s="8">
        <v>2.899</v>
      </c>
    </row>
    <row r="758" spans="1:4" ht="15.75">
      <c r="A758" s="3" t="s">
        <v>952</v>
      </c>
      <c r="B758" s="8" t="s">
        <v>1395</v>
      </c>
      <c r="C758" s="2">
        <v>757</v>
      </c>
      <c r="D758" s="8">
        <v>2.899</v>
      </c>
    </row>
    <row r="759" spans="1:4" ht="15.75">
      <c r="A759" s="5" t="s">
        <v>953</v>
      </c>
      <c r="B759" s="8" t="s">
        <v>1395</v>
      </c>
      <c r="C759" s="2">
        <v>758</v>
      </c>
      <c r="D759" s="8">
        <v>2.899</v>
      </c>
    </row>
    <row r="760" spans="1:4" ht="15.75">
      <c r="A760" s="3" t="s">
        <v>954</v>
      </c>
      <c r="B760" s="8" t="s">
        <v>1395</v>
      </c>
      <c r="C760" s="2">
        <v>759</v>
      </c>
      <c r="D760" s="8">
        <v>2.899</v>
      </c>
    </row>
    <row r="761" spans="1:4" ht="15.75">
      <c r="A761" s="5" t="s">
        <v>955</v>
      </c>
      <c r="B761" s="8" t="s">
        <v>1395</v>
      </c>
      <c r="C761" s="2">
        <v>760</v>
      </c>
      <c r="D761" s="8">
        <v>2.899</v>
      </c>
    </row>
    <row r="762" spans="1:4" ht="15.75">
      <c r="A762" s="3" t="s">
        <v>956</v>
      </c>
      <c r="B762" s="8" t="s">
        <v>1395</v>
      </c>
      <c r="C762" s="2">
        <v>761</v>
      </c>
      <c r="D762" s="8">
        <v>2.899</v>
      </c>
    </row>
    <row r="763" spans="1:4" ht="15.75">
      <c r="A763" s="5" t="s">
        <v>957</v>
      </c>
      <c r="B763" s="8" t="s">
        <v>1395</v>
      </c>
      <c r="C763" s="2">
        <v>762</v>
      </c>
      <c r="D763" s="8">
        <v>2.899</v>
      </c>
    </row>
    <row r="764" spans="1:4" ht="15.75">
      <c r="A764" s="3" t="s">
        <v>958</v>
      </c>
      <c r="B764" s="8" t="s">
        <v>1395</v>
      </c>
      <c r="C764" s="2">
        <v>763</v>
      </c>
      <c r="D764" s="8">
        <v>2.8890000000000007</v>
      </c>
    </row>
    <row r="765" spans="1:4" ht="15.75">
      <c r="A765" s="5" t="s">
        <v>959</v>
      </c>
      <c r="B765" s="8" t="s">
        <v>1395</v>
      </c>
      <c r="C765" s="2">
        <v>764</v>
      </c>
      <c r="D765" s="8">
        <v>2.8890000000000007</v>
      </c>
    </row>
    <row r="766" spans="1:4" ht="15.75">
      <c r="A766" s="3" t="s">
        <v>960</v>
      </c>
      <c r="B766" s="8" t="s">
        <v>1395</v>
      </c>
      <c r="C766" s="2">
        <v>765</v>
      </c>
      <c r="D766" s="8">
        <v>2.8890000000000007</v>
      </c>
    </row>
    <row r="767" spans="1:4" ht="15.75">
      <c r="A767" s="5" t="s">
        <v>961</v>
      </c>
      <c r="B767" s="8" t="s">
        <v>1395</v>
      </c>
      <c r="C767" s="2">
        <v>766</v>
      </c>
      <c r="D767" s="8">
        <v>2.8890000000000007</v>
      </c>
    </row>
    <row r="768" spans="1:4" ht="15.75">
      <c r="A768" s="3" t="s">
        <v>962</v>
      </c>
      <c r="B768" s="8" t="s">
        <v>1395</v>
      </c>
      <c r="C768" s="2">
        <v>767</v>
      </c>
      <c r="D768" s="8">
        <v>2.8890000000000007</v>
      </c>
    </row>
    <row r="769" spans="1:4" ht="15.75">
      <c r="A769" s="5" t="s">
        <v>963</v>
      </c>
      <c r="B769" s="8" t="s">
        <v>1395</v>
      </c>
      <c r="C769" s="2">
        <v>768</v>
      </c>
      <c r="D769" s="8">
        <v>2.8890000000000007</v>
      </c>
    </row>
    <row r="770" spans="1:4" ht="15.75">
      <c r="A770" s="3" t="s">
        <v>964</v>
      </c>
      <c r="B770" s="8" t="s">
        <v>1395</v>
      </c>
      <c r="C770" s="2">
        <v>769</v>
      </c>
      <c r="D770" s="8">
        <v>2.88</v>
      </c>
    </row>
    <row r="771" spans="1:4" ht="15.75">
      <c r="A771" s="5" t="s">
        <v>965</v>
      </c>
      <c r="B771" s="8" t="s">
        <v>1395</v>
      </c>
      <c r="C771" s="2">
        <v>770</v>
      </c>
      <c r="D771" s="8">
        <v>2.88</v>
      </c>
    </row>
    <row r="772" spans="1:4" ht="15.75">
      <c r="A772" s="3" t="s">
        <v>966</v>
      </c>
      <c r="B772" s="8" t="s">
        <v>1395</v>
      </c>
      <c r="C772" s="2">
        <v>771</v>
      </c>
      <c r="D772" s="8">
        <v>2.8740000000000001</v>
      </c>
    </row>
    <row r="773" spans="1:4" ht="15.75">
      <c r="A773" s="5" t="s">
        <v>967</v>
      </c>
      <c r="B773" s="8" t="s">
        <v>1395</v>
      </c>
      <c r="C773" s="2">
        <v>772</v>
      </c>
      <c r="D773" s="8">
        <v>2.8740000000000001</v>
      </c>
    </row>
    <row r="774" spans="1:4" ht="15.75">
      <c r="A774" s="3" t="s">
        <v>968</v>
      </c>
      <c r="B774" s="8" t="s">
        <v>1395</v>
      </c>
      <c r="C774" s="2">
        <v>773</v>
      </c>
      <c r="D774" s="8">
        <v>2.8740000000000001</v>
      </c>
    </row>
    <row r="775" spans="1:4" ht="15.75">
      <c r="A775" s="5" t="s">
        <v>969</v>
      </c>
      <c r="B775" s="8" t="s">
        <v>1395</v>
      </c>
      <c r="C775" s="2">
        <v>774</v>
      </c>
      <c r="D775" s="8">
        <v>2.8740000000000001</v>
      </c>
    </row>
    <row r="776" spans="1:4" ht="15.75">
      <c r="A776" s="3" t="s">
        <v>970</v>
      </c>
      <c r="B776" s="8" t="s">
        <v>1395</v>
      </c>
      <c r="C776" s="2">
        <v>775</v>
      </c>
      <c r="D776" s="8">
        <v>2.8740000000000001</v>
      </c>
    </row>
    <row r="777" spans="1:4" ht="15.75">
      <c r="A777" s="5" t="s">
        <v>971</v>
      </c>
      <c r="B777" s="8" t="s">
        <v>1395</v>
      </c>
      <c r="C777" s="2">
        <v>776</v>
      </c>
      <c r="D777" s="8">
        <v>2.8740000000000001</v>
      </c>
    </row>
    <row r="778" spans="1:4" ht="15.75">
      <c r="A778" s="3" t="s">
        <v>972</v>
      </c>
      <c r="B778" s="8" t="s">
        <v>1395</v>
      </c>
      <c r="C778" s="2">
        <v>777</v>
      </c>
      <c r="D778" s="8">
        <v>2.8740000000000001</v>
      </c>
    </row>
    <row r="779" spans="1:4" ht="15.75">
      <c r="A779" s="5" t="s">
        <v>973</v>
      </c>
      <c r="B779" s="8" t="s">
        <v>1395</v>
      </c>
      <c r="C779" s="2">
        <v>778</v>
      </c>
      <c r="D779" s="8">
        <v>2.8740000000000001</v>
      </c>
    </row>
    <row r="780" spans="1:4" ht="15.75">
      <c r="A780" s="3" t="s">
        <v>1107</v>
      </c>
      <c r="B780" s="8" t="s">
        <v>1395</v>
      </c>
      <c r="C780" s="2">
        <v>779</v>
      </c>
      <c r="D780" s="8">
        <v>2.8740000000000001</v>
      </c>
    </row>
    <row r="781" spans="1:4" ht="15.75">
      <c r="A781" s="5" t="s">
        <v>1108</v>
      </c>
      <c r="B781" s="8" t="s">
        <v>1395</v>
      </c>
      <c r="C781" s="2">
        <v>780</v>
      </c>
      <c r="D781" s="8">
        <v>2.8740000000000001</v>
      </c>
    </row>
    <row r="782" spans="1:4" ht="15.75">
      <c r="A782" s="3" t="s">
        <v>1109</v>
      </c>
      <c r="B782" s="8" t="s">
        <v>1395</v>
      </c>
      <c r="C782" s="2">
        <v>781</v>
      </c>
      <c r="D782" s="8">
        <v>2.8740000000000001</v>
      </c>
    </row>
    <row r="783" spans="1:4" ht="15.75">
      <c r="A783" s="5" t="s">
        <v>1110</v>
      </c>
      <c r="B783" s="8" t="s">
        <v>1395</v>
      </c>
      <c r="C783" s="2">
        <v>782</v>
      </c>
      <c r="D783" s="8">
        <v>2.8740000000000001</v>
      </c>
    </row>
    <row r="784" spans="1:4" ht="15.75">
      <c r="A784" s="3" t="s">
        <v>1111</v>
      </c>
      <c r="B784" s="8" t="s">
        <v>1395</v>
      </c>
      <c r="C784" s="2">
        <v>783</v>
      </c>
      <c r="D784" s="8">
        <v>2.8740000000000001</v>
      </c>
    </row>
    <row r="785" spans="1:4" ht="15.75">
      <c r="A785" s="5" t="s">
        <v>1112</v>
      </c>
      <c r="B785" s="8" t="s">
        <v>1395</v>
      </c>
      <c r="C785" s="2">
        <v>784</v>
      </c>
      <c r="D785" s="8">
        <v>2.8740000000000001</v>
      </c>
    </row>
    <row r="786" spans="1:4" ht="15.75">
      <c r="A786" s="3" t="s">
        <v>1113</v>
      </c>
      <c r="B786" s="8" t="s">
        <v>1395</v>
      </c>
      <c r="C786" s="2">
        <v>785</v>
      </c>
      <c r="D786" s="8">
        <v>2.8740000000000001</v>
      </c>
    </row>
    <row r="787" spans="1:4" ht="15.75">
      <c r="A787" s="5" t="s">
        <v>1153</v>
      </c>
      <c r="B787" s="8" t="s">
        <v>1395</v>
      </c>
      <c r="C787" s="2">
        <v>786</v>
      </c>
      <c r="D787" s="8">
        <v>2.8740000000000001</v>
      </c>
    </row>
    <row r="788" spans="1:4" ht="15.75">
      <c r="A788" s="3" t="s">
        <v>974</v>
      </c>
      <c r="B788" s="8" t="s">
        <v>1395</v>
      </c>
      <c r="C788" s="2">
        <v>787</v>
      </c>
      <c r="D788" s="8">
        <v>2.855</v>
      </c>
    </row>
    <row r="789" spans="1:4" ht="15.75">
      <c r="A789" s="5" t="s">
        <v>975</v>
      </c>
      <c r="B789" s="8" t="s">
        <v>1395</v>
      </c>
      <c r="C789" s="2">
        <v>788</v>
      </c>
      <c r="D789" s="8">
        <v>2.855</v>
      </c>
    </row>
    <row r="790" spans="1:4" ht="15.75">
      <c r="A790" s="3" t="s">
        <v>489</v>
      </c>
      <c r="B790" s="8" t="s">
        <v>1395</v>
      </c>
      <c r="C790" s="2">
        <v>789</v>
      </c>
      <c r="D790" s="8">
        <v>2.7990000000000004</v>
      </c>
    </row>
    <row r="791" spans="1:4" ht="15.75">
      <c r="A791" s="5" t="s">
        <v>290</v>
      </c>
      <c r="B791" s="8" t="s">
        <v>1395</v>
      </c>
      <c r="C791" s="2">
        <v>790</v>
      </c>
      <c r="D791" s="8">
        <v>2.4110000000000005</v>
      </c>
    </row>
    <row r="792" spans="1:4" ht="15.75">
      <c r="A792" s="3" t="s">
        <v>317</v>
      </c>
      <c r="B792" s="8" t="s">
        <v>1395</v>
      </c>
      <c r="C792" s="2">
        <v>791</v>
      </c>
      <c r="D792" s="8">
        <v>2.4110000000000005</v>
      </c>
    </row>
    <row r="793" spans="1:4" ht="15.75">
      <c r="A793" s="5" t="s">
        <v>313</v>
      </c>
      <c r="B793" s="8" t="s">
        <v>1395</v>
      </c>
      <c r="C793" s="2">
        <v>792</v>
      </c>
      <c r="D793" s="8">
        <v>2.4110000000000005</v>
      </c>
    </row>
    <row r="794" spans="1:4" ht="15.75">
      <c r="A794" s="3" t="s">
        <v>314</v>
      </c>
      <c r="B794" s="8" t="s">
        <v>1395</v>
      </c>
      <c r="C794" s="2">
        <v>793</v>
      </c>
      <c r="D794" s="8">
        <v>2.4110000000000005</v>
      </c>
    </row>
    <row r="795" spans="1:4" ht="15.75">
      <c r="A795" s="5" t="s">
        <v>315</v>
      </c>
      <c r="B795" s="8" t="s">
        <v>1395</v>
      </c>
      <c r="C795" s="2">
        <v>794</v>
      </c>
      <c r="D795" s="8">
        <v>2.4110000000000005</v>
      </c>
    </row>
    <row r="796" spans="1:4" ht="15.75">
      <c r="A796" s="3" t="s">
        <v>316</v>
      </c>
      <c r="B796" s="8" t="s">
        <v>1395</v>
      </c>
      <c r="C796" s="2">
        <v>795</v>
      </c>
      <c r="D796" s="8">
        <v>2.4110000000000005</v>
      </c>
    </row>
    <row r="797" spans="1:4" ht="15.75">
      <c r="A797" s="5" t="s">
        <v>93</v>
      </c>
      <c r="B797" s="8" t="s">
        <v>1395</v>
      </c>
      <c r="C797" s="2">
        <v>796</v>
      </c>
      <c r="D797" s="8">
        <v>2.4110000000000005</v>
      </c>
    </row>
    <row r="798" spans="1:4" ht="15.75">
      <c r="A798" s="3" t="s">
        <v>94</v>
      </c>
      <c r="B798" s="8" t="s">
        <v>1395</v>
      </c>
      <c r="C798" s="2">
        <v>797</v>
      </c>
      <c r="D798" s="8">
        <v>2.4110000000000005</v>
      </c>
    </row>
    <row r="799" spans="1:4" ht="15.75">
      <c r="A799" s="5" t="s">
        <v>95</v>
      </c>
      <c r="B799" s="8" t="s">
        <v>1395</v>
      </c>
      <c r="C799" s="2">
        <v>798</v>
      </c>
      <c r="D799" s="8">
        <v>2.4110000000000005</v>
      </c>
    </row>
    <row r="800" spans="1:4" ht="15.75">
      <c r="A800" s="3" t="s">
        <v>976</v>
      </c>
      <c r="B800" s="8" t="s">
        <v>1397</v>
      </c>
      <c r="C800" s="2">
        <v>799</v>
      </c>
      <c r="D800" s="8">
        <v>2.1410000000000005</v>
      </c>
    </row>
    <row r="801" spans="1:4" ht="15.75">
      <c r="A801" s="5" t="s">
        <v>977</v>
      </c>
      <c r="B801" s="8" t="s">
        <v>1397</v>
      </c>
      <c r="C801" s="2">
        <v>800</v>
      </c>
      <c r="D801" s="8">
        <v>2.1410000000000005</v>
      </c>
    </row>
    <row r="802" spans="1:4" ht="15.75">
      <c r="A802" s="3" t="s">
        <v>978</v>
      </c>
      <c r="B802" s="8" t="s">
        <v>1397</v>
      </c>
      <c r="C802" s="2">
        <v>801</v>
      </c>
      <c r="D802" s="8">
        <v>2.1410000000000005</v>
      </c>
    </row>
    <row r="803" spans="1:4" ht="15.75">
      <c r="A803" s="5" t="s">
        <v>979</v>
      </c>
      <c r="B803" s="8" t="s">
        <v>1397</v>
      </c>
      <c r="C803" s="2">
        <v>802</v>
      </c>
      <c r="D803" s="8">
        <v>2.1410000000000005</v>
      </c>
    </row>
    <row r="804" spans="1:4" ht="15.75">
      <c r="A804" s="3" t="s">
        <v>980</v>
      </c>
      <c r="B804" s="8" t="s">
        <v>1397</v>
      </c>
      <c r="C804" s="2">
        <v>803</v>
      </c>
      <c r="D804" s="8">
        <v>2.1410000000000005</v>
      </c>
    </row>
    <row r="805" spans="1:4" ht="15.75">
      <c r="A805" s="5" t="s">
        <v>981</v>
      </c>
      <c r="B805" s="8" t="s">
        <v>1397</v>
      </c>
      <c r="C805" s="2">
        <v>804</v>
      </c>
      <c r="D805" s="8">
        <v>2.1410000000000005</v>
      </c>
    </row>
    <row r="806" spans="1:4" ht="15.75">
      <c r="A806" s="3" t="s">
        <v>982</v>
      </c>
      <c r="B806" s="8" t="s">
        <v>1397</v>
      </c>
      <c r="C806" s="2">
        <v>805</v>
      </c>
      <c r="D806" s="8">
        <v>2.1410000000000005</v>
      </c>
    </row>
    <row r="807" spans="1:4" ht="15.75">
      <c r="A807" s="5" t="s">
        <v>983</v>
      </c>
      <c r="B807" s="8" t="s">
        <v>1397</v>
      </c>
      <c r="C807" s="2">
        <v>806</v>
      </c>
      <c r="D807" s="8">
        <v>2.1410000000000005</v>
      </c>
    </row>
    <row r="808" spans="1:4" ht="15.75">
      <c r="A808" s="3" t="s">
        <v>984</v>
      </c>
      <c r="B808" s="8" t="s">
        <v>1397</v>
      </c>
      <c r="C808" s="2">
        <v>807</v>
      </c>
      <c r="D808" s="8">
        <v>2.1410000000000005</v>
      </c>
    </row>
    <row r="809" spans="1:4" ht="15.75">
      <c r="A809" s="5" t="s">
        <v>985</v>
      </c>
      <c r="B809" s="8" t="s">
        <v>1397</v>
      </c>
      <c r="C809" s="2">
        <v>808</v>
      </c>
      <c r="D809" s="8">
        <v>2.1410000000000005</v>
      </c>
    </row>
    <row r="810" spans="1:4" ht="15.75">
      <c r="A810" s="3" t="s">
        <v>986</v>
      </c>
      <c r="B810" s="8" t="s">
        <v>1397</v>
      </c>
      <c r="C810" s="2">
        <v>809</v>
      </c>
      <c r="D810" s="8">
        <v>2.1410000000000005</v>
      </c>
    </row>
    <row r="811" spans="1:4" ht="15.75">
      <c r="A811" s="5" t="s">
        <v>987</v>
      </c>
      <c r="B811" s="8" t="s">
        <v>1397</v>
      </c>
      <c r="C811" s="2">
        <v>810</v>
      </c>
      <c r="D811" s="8">
        <v>2.1410000000000005</v>
      </c>
    </row>
    <row r="812" spans="1:4" ht="15.75">
      <c r="A812" s="3" t="s">
        <v>988</v>
      </c>
      <c r="B812" s="8" t="s">
        <v>1397</v>
      </c>
      <c r="C812" s="2">
        <v>811</v>
      </c>
      <c r="D812" s="8">
        <v>2.1410000000000005</v>
      </c>
    </row>
    <row r="813" spans="1:4" ht="15.75">
      <c r="A813" s="5" t="s">
        <v>989</v>
      </c>
      <c r="B813" s="8" t="s">
        <v>1397</v>
      </c>
      <c r="C813" s="2">
        <v>812</v>
      </c>
      <c r="D813" s="8">
        <v>2.1410000000000005</v>
      </c>
    </row>
    <row r="814" spans="1:4" ht="15.75">
      <c r="A814" s="3" t="s">
        <v>990</v>
      </c>
      <c r="B814" s="8" t="s">
        <v>1397</v>
      </c>
      <c r="C814" s="2">
        <v>813</v>
      </c>
      <c r="D814" s="8">
        <v>2.1410000000000005</v>
      </c>
    </row>
    <row r="815" spans="1:4" ht="15.75">
      <c r="A815" s="5" t="s">
        <v>991</v>
      </c>
      <c r="B815" s="8" t="s">
        <v>1397</v>
      </c>
      <c r="C815" s="2">
        <v>814</v>
      </c>
      <c r="D815" s="8">
        <v>2.1410000000000005</v>
      </c>
    </row>
    <row r="816" spans="1:4" ht="15.75">
      <c r="A816" s="3" t="s">
        <v>992</v>
      </c>
      <c r="B816" s="8" t="s">
        <v>1397</v>
      </c>
      <c r="C816" s="2">
        <v>815</v>
      </c>
      <c r="D816" s="8">
        <v>2.1410000000000005</v>
      </c>
    </row>
    <row r="817" spans="1:4" ht="15.75">
      <c r="A817" s="5" t="s">
        <v>993</v>
      </c>
      <c r="B817" s="8" t="s">
        <v>1397</v>
      </c>
      <c r="C817" s="2">
        <v>816</v>
      </c>
      <c r="D817" s="8">
        <v>2.1410000000000005</v>
      </c>
    </row>
    <row r="818" spans="1:4" ht="15.75">
      <c r="A818" s="3" t="s">
        <v>994</v>
      </c>
      <c r="B818" s="8" t="s">
        <v>1397</v>
      </c>
      <c r="C818" s="2">
        <v>817</v>
      </c>
      <c r="D818" s="8">
        <v>2.1410000000000005</v>
      </c>
    </row>
    <row r="819" spans="1:4" ht="15.75">
      <c r="A819" s="5" t="s">
        <v>995</v>
      </c>
      <c r="B819" s="8" t="s">
        <v>1397</v>
      </c>
      <c r="C819" s="2">
        <v>818</v>
      </c>
      <c r="D819" s="8">
        <v>2.1410000000000005</v>
      </c>
    </row>
    <row r="820" spans="1:4" ht="15.75">
      <c r="A820" s="3" t="s">
        <v>996</v>
      </c>
      <c r="B820" s="8" t="s">
        <v>1397</v>
      </c>
      <c r="C820" s="2">
        <v>819</v>
      </c>
      <c r="D820" s="8">
        <v>2.1410000000000005</v>
      </c>
    </row>
    <row r="821" spans="1:4" ht="15.75">
      <c r="A821" s="5" t="s">
        <v>997</v>
      </c>
      <c r="B821" s="8" t="s">
        <v>1397</v>
      </c>
      <c r="C821" s="2">
        <v>820</v>
      </c>
      <c r="D821" s="8">
        <v>2.1410000000000005</v>
      </c>
    </row>
    <row r="822" spans="1:4" ht="15.75">
      <c r="A822" s="3" t="s">
        <v>998</v>
      </c>
      <c r="B822" s="8" t="s">
        <v>1397</v>
      </c>
      <c r="C822" s="2">
        <v>821</v>
      </c>
      <c r="D822" s="8">
        <v>2.1410000000000005</v>
      </c>
    </row>
    <row r="823" spans="1:4" ht="15.75">
      <c r="A823" s="5" t="s">
        <v>999</v>
      </c>
      <c r="B823" s="8" t="s">
        <v>1397</v>
      </c>
      <c r="C823" s="2">
        <v>822</v>
      </c>
      <c r="D823" s="8">
        <v>2.1410000000000005</v>
      </c>
    </row>
    <row r="824" spans="1:4" ht="15.75">
      <c r="A824" s="3" t="s">
        <v>1000</v>
      </c>
      <c r="B824" s="8" t="s">
        <v>1397</v>
      </c>
      <c r="C824" s="2">
        <v>823</v>
      </c>
      <c r="D824" s="8">
        <v>2.1410000000000005</v>
      </c>
    </row>
    <row r="825" spans="1:4" ht="15.75">
      <c r="A825" s="5" t="s">
        <v>1001</v>
      </c>
      <c r="B825" s="8" t="s">
        <v>1397</v>
      </c>
      <c r="C825" s="2">
        <v>824</v>
      </c>
      <c r="D825" s="8">
        <v>2.1410000000000005</v>
      </c>
    </row>
    <row r="826" spans="1:4" ht="15.75">
      <c r="A826" s="3" t="s">
        <v>1002</v>
      </c>
      <c r="B826" s="8" t="s">
        <v>1397</v>
      </c>
      <c r="C826" s="2">
        <v>825</v>
      </c>
      <c r="D826" s="8">
        <v>2.1410000000000005</v>
      </c>
    </row>
    <row r="827" spans="1:4" ht="15.75">
      <c r="A827" s="5" t="s">
        <v>1003</v>
      </c>
      <c r="B827" s="8" t="s">
        <v>1397</v>
      </c>
      <c r="C827" s="2">
        <v>826</v>
      </c>
      <c r="D827" s="8">
        <v>2.1410000000000005</v>
      </c>
    </row>
    <row r="828" spans="1:4" ht="15.75">
      <c r="A828" s="3" t="s">
        <v>1004</v>
      </c>
      <c r="B828" s="8" t="s">
        <v>1397</v>
      </c>
      <c r="C828" s="2">
        <v>827</v>
      </c>
      <c r="D828" s="8">
        <v>2.1410000000000005</v>
      </c>
    </row>
    <row r="829" spans="1:4" ht="15.75">
      <c r="A829" s="5" t="s">
        <v>1005</v>
      </c>
      <c r="B829" s="8" t="s">
        <v>1397</v>
      </c>
      <c r="C829" s="2">
        <v>828</v>
      </c>
      <c r="D829" s="8">
        <v>2.1410000000000005</v>
      </c>
    </row>
    <row r="830" spans="1:4" ht="15.75">
      <c r="A830" s="3" t="s">
        <v>1006</v>
      </c>
      <c r="B830" s="8" t="s">
        <v>1397</v>
      </c>
      <c r="C830" s="2">
        <v>829</v>
      </c>
      <c r="D830" s="8">
        <v>2.1410000000000005</v>
      </c>
    </row>
    <row r="831" spans="1:4" ht="15.75">
      <c r="A831" s="5" t="s">
        <v>1007</v>
      </c>
      <c r="B831" s="8" t="s">
        <v>1397</v>
      </c>
      <c r="C831" s="2">
        <v>830</v>
      </c>
      <c r="D831" s="8">
        <v>2.1410000000000005</v>
      </c>
    </row>
    <row r="832" spans="1:4" ht="15.75">
      <c r="A832" s="3" t="s">
        <v>1008</v>
      </c>
      <c r="B832" s="8" t="s">
        <v>1397</v>
      </c>
      <c r="C832" s="2">
        <v>831</v>
      </c>
      <c r="D832" s="8">
        <v>2.1410000000000005</v>
      </c>
    </row>
    <row r="833" spans="1:4" ht="15.75">
      <c r="A833" s="5" t="s">
        <v>1009</v>
      </c>
      <c r="B833" s="8" t="s">
        <v>1397</v>
      </c>
      <c r="C833" s="2">
        <v>832</v>
      </c>
      <c r="D833" s="8">
        <v>2.1410000000000005</v>
      </c>
    </row>
    <row r="834" spans="1:4" ht="15.75">
      <c r="A834" s="3" t="s">
        <v>1010</v>
      </c>
      <c r="B834" s="8" t="s">
        <v>1397</v>
      </c>
      <c r="C834" s="2">
        <v>833</v>
      </c>
      <c r="D834" s="8">
        <v>2.1410000000000005</v>
      </c>
    </row>
    <row r="835" spans="1:4" ht="15.75">
      <c r="A835" s="5" t="s">
        <v>1011</v>
      </c>
      <c r="B835" s="8" t="s">
        <v>1397</v>
      </c>
      <c r="C835" s="2">
        <v>834</v>
      </c>
      <c r="D835" s="8">
        <v>2.1410000000000005</v>
      </c>
    </row>
    <row r="836" spans="1:4" ht="15.75">
      <c r="A836" s="3" t="s">
        <v>1012</v>
      </c>
      <c r="B836" s="8" t="s">
        <v>1397</v>
      </c>
      <c r="C836" s="2">
        <v>835</v>
      </c>
      <c r="D836" s="8">
        <v>2.1410000000000005</v>
      </c>
    </row>
    <row r="837" spans="1:4" ht="15.75">
      <c r="A837" s="5" t="s">
        <v>1013</v>
      </c>
      <c r="B837" s="8" t="s">
        <v>1397</v>
      </c>
      <c r="C837" s="2">
        <v>836</v>
      </c>
      <c r="D837" s="8">
        <v>2.1410000000000005</v>
      </c>
    </row>
    <row r="838" spans="1:4" ht="15.75">
      <c r="A838" s="3" t="s">
        <v>1014</v>
      </c>
      <c r="B838" s="8" t="s">
        <v>1397</v>
      </c>
      <c r="C838" s="2">
        <v>837</v>
      </c>
      <c r="D838" s="8">
        <v>2.1410000000000005</v>
      </c>
    </row>
    <row r="839" spans="1:4" ht="15.75">
      <c r="A839" s="5" t="s">
        <v>1015</v>
      </c>
      <c r="B839" s="8" t="s">
        <v>1397</v>
      </c>
      <c r="C839" s="2">
        <v>838</v>
      </c>
      <c r="D839" s="8">
        <v>2.1410000000000005</v>
      </c>
    </row>
    <row r="840" spans="1:4" ht="15.75">
      <c r="A840" s="3" t="s">
        <v>1016</v>
      </c>
      <c r="B840" s="8" t="s">
        <v>1397</v>
      </c>
      <c r="C840" s="2">
        <v>839</v>
      </c>
      <c r="D840" s="8">
        <v>2.1410000000000005</v>
      </c>
    </row>
    <row r="841" spans="1:4" ht="15.75">
      <c r="A841" s="5" t="s">
        <v>97</v>
      </c>
      <c r="B841" s="8" t="s">
        <v>1397</v>
      </c>
      <c r="C841" s="2">
        <v>840</v>
      </c>
      <c r="D841" s="8">
        <v>2.1390000000000002</v>
      </c>
    </row>
    <row r="842" spans="1:4" ht="15.75">
      <c r="A842" s="3" t="s">
        <v>98</v>
      </c>
      <c r="B842" s="8" t="s">
        <v>1397</v>
      </c>
      <c r="C842" s="2">
        <v>841</v>
      </c>
      <c r="D842" s="8">
        <v>2.1390000000000002</v>
      </c>
    </row>
    <row r="843" spans="1:4" ht="15.75">
      <c r="A843" s="5" t="s">
        <v>99</v>
      </c>
      <c r="B843" s="8" t="s">
        <v>1397</v>
      </c>
      <c r="C843" s="2">
        <v>842</v>
      </c>
      <c r="D843" s="8">
        <v>2.1390000000000002</v>
      </c>
    </row>
    <row r="844" spans="1:4" ht="15.75">
      <c r="A844" s="3" t="s">
        <v>1046</v>
      </c>
      <c r="B844" s="8" t="s">
        <v>1397</v>
      </c>
      <c r="C844" s="2">
        <v>843</v>
      </c>
      <c r="D844" s="8">
        <v>2.1390000000000002</v>
      </c>
    </row>
    <row r="845" spans="1:4" ht="15.75">
      <c r="A845" s="5" t="s">
        <v>1047</v>
      </c>
      <c r="B845" s="8" t="s">
        <v>1397</v>
      </c>
      <c r="C845" s="2">
        <v>844</v>
      </c>
      <c r="D845" s="8">
        <v>2.1390000000000002</v>
      </c>
    </row>
    <row r="846" spans="1:4" ht="15.75">
      <c r="A846" s="3" t="s">
        <v>1048</v>
      </c>
      <c r="B846" s="8" t="s">
        <v>1397</v>
      </c>
      <c r="C846" s="2">
        <v>845</v>
      </c>
      <c r="D846" s="8">
        <v>2.1390000000000002</v>
      </c>
    </row>
    <row r="847" spans="1:4" ht="15.75">
      <c r="A847" s="5" t="s">
        <v>1049</v>
      </c>
      <c r="B847" s="8" t="s">
        <v>1397</v>
      </c>
      <c r="C847" s="2">
        <v>846</v>
      </c>
      <c r="D847" s="8">
        <v>2.1390000000000002</v>
      </c>
    </row>
    <row r="848" spans="1:4" ht="15.75">
      <c r="A848" s="3" t="s">
        <v>1050</v>
      </c>
      <c r="B848" s="8" t="s">
        <v>1397</v>
      </c>
      <c r="C848" s="2">
        <v>847</v>
      </c>
      <c r="D848" s="8">
        <v>2.1390000000000002</v>
      </c>
    </row>
    <row r="849" spans="1:4" ht="15.75">
      <c r="A849" s="5" t="s">
        <v>1051</v>
      </c>
      <c r="B849" s="8" t="s">
        <v>1397</v>
      </c>
      <c r="C849" s="2">
        <v>848</v>
      </c>
      <c r="D849" s="8">
        <v>2.1390000000000002</v>
      </c>
    </row>
    <row r="850" spans="1:4" ht="15.75">
      <c r="A850" s="3" t="s">
        <v>1052</v>
      </c>
      <c r="B850" s="8" t="s">
        <v>1397</v>
      </c>
      <c r="C850" s="2">
        <v>849</v>
      </c>
      <c r="D850" s="8">
        <v>2.1390000000000002</v>
      </c>
    </row>
    <row r="851" spans="1:4" ht="15.75">
      <c r="A851" s="5" t="s">
        <v>1053</v>
      </c>
      <c r="B851" s="8" t="s">
        <v>1397</v>
      </c>
      <c r="C851" s="2">
        <v>850</v>
      </c>
      <c r="D851" s="8">
        <v>2.1390000000000002</v>
      </c>
    </row>
    <row r="852" spans="1:4" ht="15.75">
      <c r="A852" s="3" t="s">
        <v>1054</v>
      </c>
      <c r="B852" s="8" t="s">
        <v>1397</v>
      </c>
      <c r="C852" s="2">
        <v>851</v>
      </c>
      <c r="D852" s="8">
        <v>2.1390000000000002</v>
      </c>
    </row>
    <row r="853" spans="1:4" ht="15.75">
      <c r="A853" s="5" t="s">
        <v>1055</v>
      </c>
      <c r="B853" s="8" t="s">
        <v>1397</v>
      </c>
      <c r="C853" s="2">
        <v>852</v>
      </c>
      <c r="D853" s="8">
        <v>2.1390000000000002</v>
      </c>
    </row>
    <row r="854" spans="1:4" ht="15.75">
      <c r="A854" s="3" t="s">
        <v>1056</v>
      </c>
      <c r="B854" s="8" t="s">
        <v>1397</v>
      </c>
      <c r="C854" s="2">
        <v>853</v>
      </c>
      <c r="D854" s="8">
        <v>2.1390000000000002</v>
      </c>
    </row>
    <row r="855" spans="1:4" ht="15.75">
      <c r="A855" s="5" t="s">
        <v>1057</v>
      </c>
      <c r="B855" s="8" t="s">
        <v>1397</v>
      </c>
      <c r="C855" s="2">
        <v>854</v>
      </c>
      <c r="D855" s="8">
        <v>2.1390000000000002</v>
      </c>
    </row>
    <row r="856" spans="1:4" ht="15.75">
      <c r="A856" s="3" t="s">
        <v>1270</v>
      </c>
      <c r="B856" s="8" t="s">
        <v>1397</v>
      </c>
      <c r="C856" s="2">
        <v>855</v>
      </c>
      <c r="D856" s="8">
        <v>2.11</v>
      </c>
    </row>
    <row r="857" spans="1:4" ht="15.75">
      <c r="A857" s="5" t="s">
        <v>1271</v>
      </c>
      <c r="B857" s="8" t="s">
        <v>1397</v>
      </c>
      <c r="C857" s="2">
        <v>856</v>
      </c>
      <c r="D857" s="8">
        <v>2.11</v>
      </c>
    </row>
    <row r="858" spans="1:4" ht="15.75">
      <c r="A858" s="3" t="s">
        <v>1288</v>
      </c>
      <c r="B858" s="8" t="s">
        <v>1397</v>
      </c>
      <c r="C858" s="2">
        <v>857</v>
      </c>
      <c r="D858" s="8">
        <v>2.11</v>
      </c>
    </row>
    <row r="859" spans="1:4" ht="15.75">
      <c r="A859" s="5" t="s">
        <v>1289</v>
      </c>
      <c r="B859" s="8" t="s">
        <v>1397</v>
      </c>
      <c r="C859" s="2">
        <v>858</v>
      </c>
      <c r="D859" s="8">
        <v>2.11</v>
      </c>
    </row>
    <row r="860" spans="1:4" ht="15.75">
      <c r="A860" s="3" t="s">
        <v>1293</v>
      </c>
      <c r="B860" s="8" t="s">
        <v>1397</v>
      </c>
      <c r="C860" s="2">
        <v>859</v>
      </c>
      <c r="D860" s="8">
        <v>2.11</v>
      </c>
    </row>
    <row r="861" spans="1:4" ht="15.75">
      <c r="A861" s="5" t="s">
        <v>1294</v>
      </c>
      <c r="B861" s="8" t="s">
        <v>1397</v>
      </c>
      <c r="C861" s="2">
        <v>860</v>
      </c>
      <c r="D861" s="8">
        <v>2.11</v>
      </c>
    </row>
    <row r="862" spans="1:4" ht="15.75">
      <c r="A862" s="3" t="s">
        <v>1296</v>
      </c>
      <c r="B862" s="8" t="s">
        <v>1397</v>
      </c>
      <c r="C862" s="2">
        <v>861</v>
      </c>
      <c r="D862" s="8">
        <v>2.11</v>
      </c>
    </row>
    <row r="863" spans="1:4" ht="15.75">
      <c r="A863" s="5" t="s">
        <v>1300</v>
      </c>
      <c r="B863" s="8" t="s">
        <v>1397</v>
      </c>
      <c r="C863" s="2">
        <v>862</v>
      </c>
      <c r="D863" s="8">
        <v>2.11</v>
      </c>
    </row>
    <row r="864" spans="1:4" ht="15.75">
      <c r="A864" s="3" t="s">
        <v>1301</v>
      </c>
      <c r="B864" s="8" t="s">
        <v>1397</v>
      </c>
      <c r="C864" s="2">
        <v>863</v>
      </c>
      <c r="D864" s="8">
        <v>2.11</v>
      </c>
    </row>
    <row r="865" spans="1:4" ht="15.75">
      <c r="A865" s="5" t="s">
        <v>1302</v>
      </c>
      <c r="B865" s="8" t="s">
        <v>1397</v>
      </c>
      <c r="C865" s="2">
        <v>864</v>
      </c>
      <c r="D865" s="8">
        <v>2.11</v>
      </c>
    </row>
    <row r="866" spans="1:4" ht="15.75">
      <c r="A866" s="3" t="s">
        <v>1303</v>
      </c>
      <c r="B866" s="8" t="s">
        <v>1397</v>
      </c>
      <c r="C866" s="2">
        <v>865</v>
      </c>
      <c r="D866" s="8">
        <v>2.11</v>
      </c>
    </row>
    <row r="867" spans="1:4" ht="15.75">
      <c r="A867" s="5" t="s">
        <v>1304</v>
      </c>
      <c r="B867" s="8" t="s">
        <v>1397</v>
      </c>
      <c r="C867" s="2">
        <v>866</v>
      </c>
      <c r="D867" s="8">
        <v>2.11</v>
      </c>
    </row>
    <row r="868" spans="1:4" ht="15.75">
      <c r="A868" s="3" t="s">
        <v>1017</v>
      </c>
      <c r="B868" s="8" t="s">
        <v>1397</v>
      </c>
      <c r="C868" s="2">
        <v>867</v>
      </c>
      <c r="D868" s="8">
        <v>2.0570000000000004</v>
      </c>
    </row>
    <row r="869" spans="1:4" ht="15.75">
      <c r="A869" s="5" t="s">
        <v>1018</v>
      </c>
      <c r="B869" s="8" t="s">
        <v>1397</v>
      </c>
      <c r="C869" s="2">
        <v>868</v>
      </c>
      <c r="D869" s="8">
        <v>2.0570000000000004</v>
      </c>
    </row>
    <row r="870" spans="1:4" ht="15.75">
      <c r="A870" s="3" t="s">
        <v>1019</v>
      </c>
      <c r="B870" s="8" t="s">
        <v>1397</v>
      </c>
      <c r="C870" s="2">
        <v>869</v>
      </c>
      <c r="D870" s="8">
        <v>2.0570000000000004</v>
      </c>
    </row>
    <row r="871" spans="1:4" ht="15.75">
      <c r="A871" s="5" t="s">
        <v>1020</v>
      </c>
      <c r="B871" s="8" t="s">
        <v>1397</v>
      </c>
      <c r="C871" s="2">
        <v>870</v>
      </c>
      <c r="D871" s="8">
        <v>2.0570000000000004</v>
      </c>
    </row>
    <row r="872" spans="1:4" ht="15.75">
      <c r="A872" s="3" t="s">
        <v>1021</v>
      </c>
      <c r="B872" s="8" t="s">
        <v>1397</v>
      </c>
      <c r="C872" s="2">
        <v>871</v>
      </c>
      <c r="D872" s="8">
        <v>2.0570000000000004</v>
      </c>
    </row>
    <row r="873" spans="1:4" ht="15.75">
      <c r="A873" s="5" t="s">
        <v>1022</v>
      </c>
      <c r="B873" s="8" t="s">
        <v>1397</v>
      </c>
      <c r="C873" s="2">
        <v>872</v>
      </c>
      <c r="D873" s="8">
        <v>2.0570000000000004</v>
      </c>
    </row>
    <row r="874" spans="1:4" ht="15.75">
      <c r="A874" s="3" t="s">
        <v>1023</v>
      </c>
      <c r="B874" s="8" t="s">
        <v>1397</v>
      </c>
      <c r="C874" s="2">
        <v>873</v>
      </c>
      <c r="D874" s="8">
        <v>2.0570000000000004</v>
      </c>
    </row>
    <row r="875" spans="1:4" ht="15.75">
      <c r="A875" s="5" t="s">
        <v>1024</v>
      </c>
      <c r="B875" s="8" t="s">
        <v>1397</v>
      </c>
      <c r="C875" s="2">
        <v>874</v>
      </c>
      <c r="D875" s="8">
        <v>2.0570000000000004</v>
      </c>
    </row>
    <row r="876" spans="1:4" ht="15.75">
      <c r="A876" s="3" t="s">
        <v>1025</v>
      </c>
      <c r="B876" s="8" t="s">
        <v>1397</v>
      </c>
      <c r="C876" s="2">
        <v>875</v>
      </c>
      <c r="D876" s="8">
        <v>2.0570000000000004</v>
      </c>
    </row>
    <row r="877" spans="1:4" ht="15.75">
      <c r="A877" s="5" t="s">
        <v>1026</v>
      </c>
      <c r="B877" s="8" t="s">
        <v>1397</v>
      </c>
      <c r="C877" s="2">
        <v>876</v>
      </c>
      <c r="D877" s="8">
        <v>2.0570000000000004</v>
      </c>
    </row>
    <row r="878" spans="1:4" ht="15.75">
      <c r="A878" s="3" t="s">
        <v>1027</v>
      </c>
      <c r="B878" s="8" t="s">
        <v>1397</v>
      </c>
      <c r="C878" s="2">
        <v>877</v>
      </c>
      <c r="D878" s="8">
        <v>2.0570000000000004</v>
      </c>
    </row>
    <row r="879" spans="1:4" ht="15.75">
      <c r="A879" s="5" t="s">
        <v>1028</v>
      </c>
      <c r="B879" s="8" t="s">
        <v>1397</v>
      </c>
      <c r="C879" s="2">
        <v>878</v>
      </c>
      <c r="D879" s="8">
        <v>2.0570000000000004</v>
      </c>
    </row>
    <row r="880" spans="1:4" ht="15.75">
      <c r="A880" s="3" t="s">
        <v>1029</v>
      </c>
      <c r="B880" s="8" t="s">
        <v>1397</v>
      </c>
      <c r="C880" s="2">
        <v>879</v>
      </c>
      <c r="D880" s="8">
        <v>2.0570000000000004</v>
      </c>
    </row>
    <row r="881" spans="1:4" ht="15.75">
      <c r="A881" s="5" t="s">
        <v>1030</v>
      </c>
      <c r="B881" s="8" t="s">
        <v>1397</v>
      </c>
      <c r="C881" s="2">
        <v>880</v>
      </c>
      <c r="D881" s="8">
        <v>2.0570000000000004</v>
      </c>
    </row>
    <row r="882" spans="1:4" ht="15.75">
      <c r="A882" s="3" t="s">
        <v>1031</v>
      </c>
      <c r="B882" s="8" t="s">
        <v>1397</v>
      </c>
      <c r="C882" s="2">
        <v>881</v>
      </c>
      <c r="D882" s="8">
        <v>2.0570000000000004</v>
      </c>
    </row>
    <row r="883" spans="1:4" ht="15.75">
      <c r="A883" s="5" t="s">
        <v>1032</v>
      </c>
      <c r="B883" s="8" t="s">
        <v>1397</v>
      </c>
      <c r="C883" s="2">
        <v>882</v>
      </c>
      <c r="D883" s="8">
        <v>2.0570000000000004</v>
      </c>
    </row>
    <row r="884" spans="1:4" ht="15.75">
      <c r="A884" s="3" t="s">
        <v>1033</v>
      </c>
      <c r="B884" s="8" t="s">
        <v>1397</v>
      </c>
      <c r="C884" s="2">
        <v>883</v>
      </c>
      <c r="D884" s="8">
        <v>2.0570000000000004</v>
      </c>
    </row>
    <row r="885" spans="1:4" ht="15.75">
      <c r="A885" s="5" t="s">
        <v>1034</v>
      </c>
      <c r="B885" s="8" t="s">
        <v>1397</v>
      </c>
      <c r="C885" s="2">
        <v>884</v>
      </c>
      <c r="D885" s="8">
        <v>2.0570000000000004</v>
      </c>
    </row>
    <row r="886" spans="1:4" ht="15.75">
      <c r="A886" s="3" t="s">
        <v>1035</v>
      </c>
      <c r="B886" s="8" t="s">
        <v>1397</v>
      </c>
      <c r="C886" s="2">
        <v>885</v>
      </c>
      <c r="D886" s="8">
        <v>2.0570000000000004</v>
      </c>
    </row>
    <row r="887" spans="1:4" ht="15.75">
      <c r="A887" s="5" t="s">
        <v>1036</v>
      </c>
      <c r="B887" s="8" t="s">
        <v>1397</v>
      </c>
      <c r="C887" s="2">
        <v>886</v>
      </c>
      <c r="D887" s="8">
        <v>2.0570000000000004</v>
      </c>
    </row>
    <row r="888" spans="1:4" ht="15.75">
      <c r="A888" s="3" t="s">
        <v>1037</v>
      </c>
      <c r="B888" s="8" t="s">
        <v>1397</v>
      </c>
      <c r="C888" s="2">
        <v>887</v>
      </c>
      <c r="D888" s="8">
        <v>2.0570000000000004</v>
      </c>
    </row>
    <row r="889" spans="1:4" ht="15.75">
      <c r="A889" s="5" t="s">
        <v>1038</v>
      </c>
      <c r="B889" s="8" t="s">
        <v>1397</v>
      </c>
      <c r="C889" s="2">
        <v>888</v>
      </c>
      <c r="D889" s="8">
        <v>2.0570000000000004</v>
      </c>
    </row>
    <row r="890" spans="1:4" ht="15.75">
      <c r="A890" s="3" t="s">
        <v>1039</v>
      </c>
      <c r="B890" s="8" t="s">
        <v>1397</v>
      </c>
      <c r="C890" s="2">
        <v>889</v>
      </c>
      <c r="D890" s="8">
        <v>2.0570000000000004</v>
      </c>
    </row>
    <row r="891" spans="1:4" ht="15.75">
      <c r="A891" s="5" t="s">
        <v>1040</v>
      </c>
      <c r="B891" s="8" t="s">
        <v>1397</v>
      </c>
      <c r="C891" s="2">
        <v>890</v>
      </c>
      <c r="D891" s="8">
        <v>2.0570000000000004</v>
      </c>
    </row>
    <row r="892" spans="1:4" ht="15.75">
      <c r="A892" s="3" t="s">
        <v>1041</v>
      </c>
      <c r="B892" s="8" t="s">
        <v>1397</v>
      </c>
      <c r="C892" s="2">
        <v>891</v>
      </c>
      <c r="D892" s="8">
        <v>2.0570000000000004</v>
      </c>
    </row>
    <row r="893" spans="1:4" ht="15.75">
      <c r="A893" s="5" t="s">
        <v>1042</v>
      </c>
      <c r="B893" s="8" t="s">
        <v>1397</v>
      </c>
      <c r="C893" s="2">
        <v>892</v>
      </c>
      <c r="D893" s="8">
        <v>2.0570000000000004</v>
      </c>
    </row>
    <row r="894" spans="1:4" ht="15.75">
      <c r="A894" s="3" t="s">
        <v>1043</v>
      </c>
      <c r="B894" s="8" t="s">
        <v>1397</v>
      </c>
      <c r="C894" s="2">
        <v>893</v>
      </c>
      <c r="D894" s="8">
        <v>2.0570000000000004</v>
      </c>
    </row>
    <row r="895" spans="1:4" ht="15.75">
      <c r="A895" s="5" t="s">
        <v>1044</v>
      </c>
      <c r="B895" s="8" t="s">
        <v>1397</v>
      </c>
      <c r="C895" s="2">
        <v>894</v>
      </c>
      <c r="D895" s="8">
        <v>2.0570000000000004</v>
      </c>
    </row>
    <row r="896" spans="1:4" ht="15.75">
      <c r="A896" s="3" t="s">
        <v>1045</v>
      </c>
      <c r="B896" s="8" t="s">
        <v>1397</v>
      </c>
      <c r="C896" s="2">
        <v>895</v>
      </c>
      <c r="D896" s="8">
        <v>2.0570000000000004</v>
      </c>
    </row>
    <row r="897" spans="1:4" ht="15.75">
      <c r="A897" s="5" t="s">
        <v>1132</v>
      </c>
      <c r="B897" s="8" t="s">
        <v>1397</v>
      </c>
      <c r="C897" s="2">
        <v>896</v>
      </c>
      <c r="D897" s="8">
        <v>2.0570000000000004</v>
      </c>
    </row>
    <row r="898" spans="1:4" ht="15.75">
      <c r="A898" s="3" t="s">
        <v>1133</v>
      </c>
      <c r="B898" s="8" t="s">
        <v>1397</v>
      </c>
      <c r="C898" s="2">
        <v>897</v>
      </c>
      <c r="D898" s="8">
        <v>2.0570000000000004</v>
      </c>
    </row>
    <row r="899" spans="1:4" ht="15.75">
      <c r="A899" s="5" t="s">
        <v>1134</v>
      </c>
      <c r="B899" s="8" t="s">
        <v>1397</v>
      </c>
      <c r="C899" s="2">
        <v>898</v>
      </c>
      <c r="D899" s="8">
        <v>2.0570000000000004</v>
      </c>
    </row>
    <row r="900" spans="1:4" ht="15.75">
      <c r="A900" s="3" t="s">
        <v>1135</v>
      </c>
      <c r="B900" s="8" t="s">
        <v>1397</v>
      </c>
      <c r="C900" s="2">
        <v>899</v>
      </c>
      <c r="D900" s="8">
        <v>2.0570000000000004</v>
      </c>
    </row>
    <row r="901" spans="1:4" ht="15.75">
      <c r="A901" s="5" t="s">
        <v>1136</v>
      </c>
      <c r="B901" s="8" t="s">
        <v>1397</v>
      </c>
      <c r="C901" s="2">
        <v>900</v>
      </c>
      <c r="D901" s="8">
        <v>2.0570000000000004</v>
      </c>
    </row>
    <row r="902" spans="1:4" ht="15.75">
      <c r="A902" s="3" t="s">
        <v>1137</v>
      </c>
      <c r="B902" s="8" t="s">
        <v>1397</v>
      </c>
      <c r="C902" s="2">
        <v>901</v>
      </c>
      <c r="D902" s="8">
        <v>2.0570000000000004</v>
      </c>
    </row>
    <row r="903" spans="1:4" ht="15.75">
      <c r="A903" s="5" t="s">
        <v>1138</v>
      </c>
      <c r="B903" s="8" t="s">
        <v>1397</v>
      </c>
      <c r="C903" s="2">
        <v>902</v>
      </c>
      <c r="D903" s="8">
        <v>2.0570000000000004</v>
      </c>
    </row>
    <row r="904" spans="1:4" ht="15.75">
      <c r="A904" s="3" t="s">
        <v>1139</v>
      </c>
      <c r="B904" s="8" t="s">
        <v>1397</v>
      </c>
      <c r="C904" s="2">
        <v>903</v>
      </c>
      <c r="D904" s="8">
        <v>2.0570000000000004</v>
      </c>
    </row>
    <row r="905" spans="1:4" ht="15.75">
      <c r="A905" s="5" t="s">
        <v>1405</v>
      </c>
      <c r="B905" s="8" t="s">
        <v>1397</v>
      </c>
      <c r="C905" s="2">
        <v>904</v>
      </c>
      <c r="D905" s="8">
        <v>2.0570000000000004</v>
      </c>
    </row>
    <row r="906" spans="1:4" ht="15.75">
      <c r="A906" s="3" t="s">
        <v>1406</v>
      </c>
      <c r="B906" s="8" t="s">
        <v>1397</v>
      </c>
      <c r="C906" s="2">
        <v>905</v>
      </c>
      <c r="D906" s="8">
        <v>2.0570000000000004</v>
      </c>
    </row>
    <row r="907" spans="1:4" ht="15.75">
      <c r="A907" s="5" t="s">
        <v>1407</v>
      </c>
      <c r="B907" s="8" t="s">
        <v>1397</v>
      </c>
      <c r="C907" s="2">
        <v>906</v>
      </c>
      <c r="D907" s="8">
        <v>2.0570000000000004</v>
      </c>
    </row>
    <row r="908" spans="1:4" ht="15.75">
      <c r="A908" s="3" t="s">
        <v>1140</v>
      </c>
      <c r="B908" s="8" t="s">
        <v>1397</v>
      </c>
      <c r="C908" s="2">
        <v>907</v>
      </c>
      <c r="D908" s="8">
        <v>2.0570000000000004</v>
      </c>
    </row>
    <row r="909" spans="1:4" ht="15.75">
      <c r="A909" s="5" t="s">
        <v>1141</v>
      </c>
      <c r="B909" s="8" t="s">
        <v>1397</v>
      </c>
      <c r="C909" s="2">
        <v>908</v>
      </c>
      <c r="D909" s="8">
        <v>2.0570000000000004</v>
      </c>
    </row>
    <row r="910" spans="1:4" ht="15.75">
      <c r="A910" s="3" t="s">
        <v>1142</v>
      </c>
      <c r="B910" s="8" t="s">
        <v>1397</v>
      </c>
      <c r="C910" s="2">
        <v>909</v>
      </c>
      <c r="D910" s="8">
        <v>2.0570000000000004</v>
      </c>
    </row>
    <row r="911" spans="1:4" ht="15.75">
      <c r="A911" s="5" t="s">
        <v>1143</v>
      </c>
      <c r="B911" s="8" t="s">
        <v>1397</v>
      </c>
      <c r="C911" s="2">
        <v>910</v>
      </c>
      <c r="D911" s="8">
        <v>2.0570000000000004</v>
      </c>
    </row>
    <row r="912" spans="1:4" ht="15.75">
      <c r="A912" s="3" t="s">
        <v>1144</v>
      </c>
      <c r="B912" s="8" t="s">
        <v>1397</v>
      </c>
      <c r="C912" s="2">
        <v>911</v>
      </c>
      <c r="D912" s="8">
        <v>2.0570000000000004</v>
      </c>
    </row>
    <row r="913" spans="1:4" ht="15.75">
      <c r="A913" s="5" t="s">
        <v>1145</v>
      </c>
      <c r="B913" s="8" t="s">
        <v>1397</v>
      </c>
      <c r="C913" s="2">
        <v>912</v>
      </c>
      <c r="D913" s="8">
        <v>2.0570000000000004</v>
      </c>
    </row>
    <row r="914" spans="1:4" ht="15.75">
      <c r="A914" s="3" t="s">
        <v>1146</v>
      </c>
      <c r="B914" s="8" t="s">
        <v>1397</v>
      </c>
      <c r="C914" s="2">
        <v>913</v>
      </c>
      <c r="D914" s="8">
        <v>2.0570000000000004</v>
      </c>
    </row>
    <row r="915" spans="1:4" ht="15.75">
      <c r="A915" s="5" t="s">
        <v>1147</v>
      </c>
      <c r="B915" s="8" t="s">
        <v>1397</v>
      </c>
      <c r="C915" s="2">
        <v>914</v>
      </c>
      <c r="D915" s="8">
        <v>2.0570000000000004</v>
      </c>
    </row>
    <row r="916" spans="1:4" ht="15.75">
      <c r="A916" s="3" t="s">
        <v>1267</v>
      </c>
      <c r="B916" s="8" t="s">
        <v>1397</v>
      </c>
      <c r="C916" s="2">
        <v>915</v>
      </c>
      <c r="D916" s="8">
        <v>2.0350000000000001</v>
      </c>
    </row>
    <row r="917" spans="1:4" ht="15.75">
      <c r="A917" s="5" t="s">
        <v>1268</v>
      </c>
      <c r="B917" s="8" t="s">
        <v>1397</v>
      </c>
      <c r="C917" s="2">
        <v>916</v>
      </c>
      <c r="D917" s="8">
        <v>2.0350000000000001</v>
      </c>
    </row>
    <row r="918" spans="1:4" ht="15.75">
      <c r="A918" s="3" t="s">
        <v>1279</v>
      </c>
      <c r="B918" s="8" t="s">
        <v>1397</v>
      </c>
      <c r="C918" s="2">
        <v>917</v>
      </c>
      <c r="D918" s="8">
        <v>2.0350000000000001</v>
      </c>
    </row>
    <row r="919" spans="1:4" ht="15.75">
      <c r="A919" s="5" t="s">
        <v>1280</v>
      </c>
      <c r="B919" s="8" t="s">
        <v>1397</v>
      </c>
      <c r="C919" s="2">
        <v>918</v>
      </c>
      <c r="D919" s="8">
        <v>2.0350000000000001</v>
      </c>
    </row>
    <row r="920" spans="1:4" ht="15.75">
      <c r="A920" s="3" t="s">
        <v>1281</v>
      </c>
      <c r="B920" s="8" t="s">
        <v>1397</v>
      </c>
      <c r="C920" s="2">
        <v>919</v>
      </c>
      <c r="D920" s="8">
        <v>2.0350000000000001</v>
      </c>
    </row>
    <row r="921" spans="1:4" ht="15.75">
      <c r="A921" s="5" t="s">
        <v>1282</v>
      </c>
      <c r="B921" s="8" t="s">
        <v>1397</v>
      </c>
      <c r="C921" s="2">
        <v>920</v>
      </c>
      <c r="D921" s="8">
        <v>2.0350000000000001</v>
      </c>
    </row>
    <row r="922" spans="1:4" ht="15.75">
      <c r="A922" s="3" t="s">
        <v>1283</v>
      </c>
      <c r="B922" s="8" t="s">
        <v>1397</v>
      </c>
      <c r="C922" s="2">
        <v>921</v>
      </c>
      <c r="D922" s="8">
        <v>2.0350000000000001</v>
      </c>
    </row>
    <row r="923" spans="1:4" ht="15.75">
      <c r="A923" s="5" t="s">
        <v>1284</v>
      </c>
      <c r="B923" s="8" t="s">
        <v>1397</v>
      </c>
      <c r="C923" s="2">
        <v>922</v>
      </c>
      <c r="D923" s="8">
        <v>2.0350000000000001</v>
      </c>
    </row>
    <row r="924" spans="1:4" ht="15.75">
      <c r="A924" s="3" t="s">
        <v>1285</v>
      </c>
      <c r="B924" s="8" t="s">
        <v>1397</v>
      </c>
      <c r="C924" s="2">
        <v>923</v>
      </c>
      <c r="D924" s="8">
        <v>2.0350000000000001</v>
      </c>
    </row>
    <row r="925" spans="1:4" ht="15.75">
      <c r="A925" s="5" t="s">
        <v>1286</v>
      </c>
      <c r="B925" s="8" t="s">
        <v>1397</v>
      </c>
      <c r="C925" s="2">
        <v>924</v>
      </c>
      <c r="D925" s="8">
        <v>2.0350000000000001</v>
      </c>
    </row>
    <row r="926" spans="1:4" ht="15.75">
      <c r="A926" s="3" t="s">
        <v>1287</v>
      </c>
      <c r="B926" s="8" t="s">
        <v>1397</v>
      </c>
      <c r="C926" s="2">
        <v>925</v>
      </c>
      <c r="D926" s="8">
        <v>2.0350000000000001</v>
      </c>
    </row>
    <row r="927" spans="1:4" ht="15.75">
      <c r="A927" s="5" t="s">
        <v>1290</v>
      </c>
      <c r="B927" s="8" t="s">
        <v>1397</v>
      </c>
      <c r="C927" s="2">
        <v>926</v>
      </c>
      <c r="D927" s="8">
        <v>2.0350000000000001</v>
      </c>
    </row>
    <row r="928" spans="1:4" ht="15.75">
      <c r="A928" s="3" t="s">
        <v>1297</v>
      </c>
      <c r="B928" s="8" t="s">
        <v>1397</v>
      </c>
      <c r="C928" s="2">
        <v>927</v>
      </c>
      <c r="D928" s="8">
        <v>2.0350000000000001</v>
      </c>
    </row>
    <row r="929" spans="1:4" ht="15.75">
      <c r="A929" s="5" t="s">
        <v>1298</v>
      </c>
      <c r="B929" s="8" t="s">
        <v>1397</v>
      </c>
      <c r="C929" s="2">
        <v>928</v>
      </c>
      <c r="D929" s="8">
        <v>2.0350000000000001</v>
      </c>
    </row>
    <row r="930" spans="1:4" ht="15.75">
      <c r="A930" s="3" t="s">
        <v>1299</v>
      </c>
      <c r="B930" s="8" t="s">
        <v>1397</v>
      </c>
      <c r="C930" s="2">
        <v>929</v>
      </c>
      <c r="D930" s="8">
        <v>2.0350000000000001</v>
      </c>
    </row>
    <row r="931" spans="1:4" ht="15.75">
      <c r="A931" s="5" t="s">
        <v>1269</v>
      </c>
      <c r="B931" s="8" t="s">
        <v>1397</v>
      </c>
      <c r="C931" s="2">
        <v>930</v>
      </c>
      <c r="D931" s="8">
        <v>1.9849999999999999</v>
      </c>
    </row>
    <row r="932" spans="1:4" ht="15.75">
      <c r="A932" s="3" t="s">
        <v>1272</v>
      </c>
      <c r="B932" s="8" t="s">
        <v>1397</v>
      </c>
      <c r="C932" s="2">
        <v>931</v>
      </c>
      <c r="D932" s="8">
        <v>1.96</v>
      </c>
    </row>
    <row r="933" spans="1:4" ht="15.75">
      <c r="A933" s="5" t="s">
        <v>1273</v>
      </c>
      <c r="B933" s="8" t="s">
        <v>1397</v>
      </c>
      <c r="C933" s="2">
        <v>932</v>
      </c>
      <c r="D933" s="8">
        <v>1.96</v>
      </c>
    </row>
    <row r="934" spans="1:4" ht="15.75">
      <c r="A934" s="3" t="s">
        <v>1274</v>
      </c>
      <c r="B934" s="8" t="s">
        <v>1397</v>
      </c>
      <c r="C934" s="2">
        <v>933</v>
      </c>
      <c r="D934" s="8">
        <v>1.96</v>
      </c>
    </row>
    <row r="935" spans="1:4" ht="15.75">
      <c r="A935" s="5" t="s">
        <v>1275</v>
      </c>
      <c r="B935" s="8" t="s">
        <v>1397</v>
      </c>
      <c r="C935" s="2">
        <v>934</v>
      </c>
      <c r="D935" s="8">
        <v>1.96</v>
      </c>
    </row>
    <row r="936" spans="1:4" ht="15.75">
      <c r="A936" s="3" t="s">
        <v>1276</v>
      </c>
      <c r="B936" s="8" t="s">
        <v>1397</v>
      </c>
      <c r="C936" s="2">
        <v>935</v>
      </c>
      <c r="D936" s="8">
        <v>1.96</v>
      </c>
    </row>
    <row r="937" spans="1:4" ht="15.75">
      <c r="A937" s="5" t="s">
        <v>1277</v>
      </c>
      <c r="B937" s="8" t="s">
        <v>1397</v>
      </c>
      <c r="C937" s="2">
        <v>936</v>
      </c>
      <c r="D937" s="8">
        <v>1.96</v>
      </c>
    </row>
    <row r="938" spans="1:4" ht="15.75">
      <c r="A938" s="3" t="s">
        <v>1278</v>
      </c>
      <c r="B938" s="8" t="s">
        <v>1397</v>
      </c>
      <c r="C938" s="2">
        <v>937</v>
      </c>
      <c r="D938" s="8">
        <v>1.96</v>
      </c>
    </row>
    <row r="939" spans="1:4" ht="15.75">
      <c r="A939" s="5" t="s">
        <v>1291</v>
      </c>
      <c r="B939" s="8" t="s">
        <v>1397</v>
      </c>
      <c r="C939" s="2">
        <v>938</v>
      </c>
      <c r="D939" s="8">
        <v>1.96</v>
      </c>
    </row>
    <row r="940" spans="1:4" ht="15.75">
      <c r="A940" s="3" t="s">
        <v>1292</v>
      </c>
      <c r="B940" s="8" t="s">
        <v>1397</v>
      </c>
      <c r="C940" s="2">
        <v>939</v>
      </c>
      <c r="D940" s="8">
        <v>1.96</v>
      </c>
    </row>
    <row r="941" spans="1:4" ht="15.75">
      <c r="A941" s="5" t="s">
        <v>1295</v>
      </c>
      <c r="B941" s="8" t="s">
        <v>1397</v>
      </c>
      <c r="C941" s="2">
        <v>940</v>
      </c>
      <c r="D941" s="8">
        <v>1.96</v>
      </c>
    </row>
    <row r="942" spans="1:4" ht="15.75">
      <c r="A942" s="3" t="s">
        <v>1305</v>
      </c>
      <c r="B942" s="8" t="s">
        <v>1397</v>
      </c>
      <c r="C942" s="2">
        <v>941</v>
      </c>
      <c r="D942" s="8">
        <v>1.96</v>
      </c>
    </row>
    <row r="943" spans="1:4" ht="15.75">
      <c r="A943" s="5" t="s">
        <v>1319</v>
      </c>
      <c r="B943" s="8" t="s">
        <v>1397</v>
      </c>
      <c r="C943" s="2">
        <v>942</v>
      </c>
      <c r="D943" s="8">
        <v>1.9350000000000001</v>
      </c>
    </row>
    <row r="944" spans="1:4" ht="15.75">
      <c r="A944" s="3" t="s">
        <v>1320</v>
      </c>
      <c r="B944" s="8" t="s">
        <v>1397</v>
      </c>
      <c r="C944" s="2">
        <v>943</v>
      </c>
      <c r="D944" s="8">
        <v>1.9350000000000001</v>
      </c>
    </row>
    <row r="945" spans="1:4" ht="15.75">
      <c r="A945" s="5" t="s">
        <v>1321</v>
      </c>
      <c r="B945" s="8" t="s">
        <v>1397</v>
      </c>
      <c r="C945" s="2">
        <v>944</v>
      </c>
      <c r="D945" s="8">
        <v>1.9350000000000001</v>
      </c>
    </row>
    <row r="946" spans="1:4" ht="15.75">
      <c r="A946" s="3" t="s">
        <v>1322</v>
      </c>
      <c r="B946" s="8" t="s">
        <v>1397</v>
      </c>
      <c r="C946" s="2">
        <v>945</v>
      </c>
      <c r="D946" s="8">
        <v>1.9350000000000001</v>
      </c>
    </row>
    <row r="947" spans="1:4" ht="15.75">
      <c r="A947" s="5" t="s">
        <v>1323</v>
      </c>
      <c r="B947" s="8" t="s">
        <v>1397</v>
      </c>
      <c r="C947" s="2">
        <v>946</v>
      </c>
      <c r="D947" s="8">
        <v>1.9350000000000001</v>
      </c>
    </row>
    <row r="948" spans="1:4" ht="15.75">
      <c r="A948" s="3" t="s">
        <v>1324</v>
      </c>
      <c r="B948" s="8" t="s">
        <v>1397</v>
      </c>
      <c r="C948" s="2">
        <v>947</v>
      </c>
      <c r="D948" s="8">
        <v>1.9350000000000001</v>
      </c>
    </row>
    <row r="949" spans="1:4" ht="15.75">
      <c r="A949" s="5" t="s">
        <v>1306</v>
      </c>
      <c r="B949" s="8" t="s">
        <v>1397</v>
      </c>
      <c r="C949" s="2">
        <v>948</v>
      </c>
      <c r="D949" s="8">
        <v>1.8600000000000003</v>
      </c>
    </row>
    <row r="950" spans="1:4" ht="15.75">
      <c r="A950" s="3" t="s">
        <v>1307</v>
      </c>
      <c r="B950" s="8" t="s">
        <v>1397</v>
      </c>
      <c r="C950" s="2">
        <v>949</v>
      </c>
      <c r="D950" s="8">
        <v>1.8600000000000003</v>
      </c>
    </row>
    <row r="951" spans="1:4" ht="15.75">
      <c r="A951" s="5" t="s">
        <v>1308</v>
      </c>
      <c r="B951" s="8" t="s">
        <v>1397</v>
      </c>
      <c r="C951" s="2">
        <v>950</v>
      </c>
      <c r="D951" s="8">
        <v>1.8600000000000003</v>
      </c>
    </row>
    <row r="952" spans="1:4" ht="15.75">
      <c r="A952" s="3" t="s">
        <v>1309</v>
      </c>
      <c r="B952" s="8" t="s">
        <v>1397</v>
      </c>
      <c r="C952" s="2">
        <v>951</v>
      </c>
      <c r="D952" s="8">
        <v>1.8600000000000003</v>
      </c>
    </row>
    <row r="953" spans="1:4" ht="15.75">
      <c r="A953" s="5" t="s">
        <v>1310</v>
      </c>
      <c r="B953" s="8" t="s">
        <v>1397</v>
      </c>
      <c r="C953" s="2">
        <v>952</v>
      </c>
      <c r="D953" s="8">
        <v>1.8600000000000003</v>
      </c>
    </row>
    <row r="954" spans="1:4" ht="15.75">
      <c r="A954" s="3" t="s">
        <v>1311</v>
      </c>
      <c r="B954" s="8" t="s">
        <v>1397</v>
      </c>
      <c r="C954" s="2">
        <v>953</v>
      </c>
      <c r="D954" s="8">
        <v>1.8600000000000003</v>
      </c>
    </row>
    <row r="955" spans="1:4" ht="15.75">
      <c r="A955" s="5" t="s">
        <v>1312</v>
      </c>
      <c r="B955" s="8" t="s">
        <v>1397</v>
      </c>
      <c r="C955" s="2">
        <v>954</v>
      </c>
      <c r="D955" s="8">
        <v>1.8600000000000003</v>
      </c>
    </row>
    <row r="956" spans="1:4" ht="15.75">
      <c r="A956" s="3" t="s">
        <v>1313</v>
      </c>
      <c r="B956" s="8" t="s">
        <v>1397</v>
      </c>
      <c r="C956" s="2">
        <v>955</v>
      </c>
      <c r="D956" s="8">
        <v>1.8600000000000003</v>
      </c>
    </row>
    <row r="957" spans="1:4" ht="15.75">
      <c r="A957" s="5" t="s">
        <v>1314</v>
      </c>
      <c r="B957" s="8" t="s">
        <v>1397</v>
      </c>
      <c r="C957" s="2">
        <v>956</v>
      </c>
      <c r="D957" s="8">
        <v>1.8600000000000003</v>
      </c>
    </row>
    <row r="958" spans="1:4" ht="15.75">
      <c r="A958" s="3" t="s">
        <v>1315</v>
      </c>
      <c r="B958" s="8" t="s">
        <v>1397</v>
      </c>
      <c r="C958" s="2">
        <v>957</v>
      </c>
      <c r="D958" s="8">
        <v>1.8600000000000003</v>
      </c>
    </row>
    <row r="959" spans="1:4" ht="15.75">
      <c r="A959" s="5" t="s">
        <v>1316</v>
      </c>
      <c r="B959" s="8" t="s">
        <v>1397</v>
      </c>
      <c r="C959" s="2">
        <v>958</v>
      </c>
      <c r="D959" s="8">
        <v>1.8600000000000003</v>
      </c>
    </row>
    <row r="960" spans="1:4" ht="15.75">
      <c r="A960" s="3" t="s">
        <v>1317</v>
      </c>
      <c r="B960" s="8" t="s">
        <v>1397</v>
      </c>
      <c r="C960" s="2">
        <v>959</v>
      </c>
      <c r="D960" s="8">
        <v>1.8600000000000003</v>
      </c>
    </row>
    <row r="961" spans="1:4" ht="15.75">
      <c r="A961" s="5" t="s">
        <v>1318</v>
      </c>
      <c r="B961" s="8" t="s">
        <v>1397</v>
      </c>
      <c r="C961" s="2">
        <v>960</v>
      </c>
      <c r="D961" s="8">
        <v>1.8600000000000003</v>
      </c>
    </row>
    <row r="962" spans="1:4" ht="15.75">
      <c r="A962" s="3" t="s">
        <v>1325</v>
      </c>
      <c r="B962" s="8" t="s">
        <v>1397</v>
      </c>
      <c r="C962" s="2">
        <v>961</v>
      </c>
      <c r="D962" s="8">
        <v>1.8600000000000003</v>
      </c>
    </row>
    <row r="963" spans="1:4" ht="15.75">
      <c r="A963" s="5" t="s">
        <v>1326</v>
      </c>
      <c r="B963" s="8" t="s">
        <v>1397</v>
      </c>
      <c r="C963" s="2">
        <v>962</v>
      </c>
      <c r="D963" s="8">
        <v>1.8600000000000003</v>
      </c>
    </row>
    <row r="964" spans="1:4" ht="15.75">
      <c r="A964" s="3" t="s">
        <v>1327</v>
      </c>
      <c r="B964" s="8" t="s">
        <v>1397</v>
      </c>
      <c r="C964" s="2">
        <v>963</v>
      </c>
      <c r="D964" s="8">
        <v>1.8600000000000003</v>
      </c>
    </row>
    <row r="965" spans="1:4" ht="15.75">
      <c r="A965" s="5" t="s">
        <v>1328</v>
      </c>
      <c r="B965" s="8" t="s">
        <v>1397</v>
      </c>
      <c r="C965" s="2">
        <v>964</v>
      </c>
      <c r="D965" s="8">
        <v>1.8600000000000003</v>
      </c>
    </row>
    <row r="966" spans="1:4" ht="15.75">
      <c r="A966" s="3" t="s">
        <v>1329</v>
      </c>
      <c r="B966" s="8" t="s">
        <v>1397</v>
      </c>
      <c r="C966" s="2">
        <v>965</v>
      </c>
      <c r="D966" s="8">
        <v>1.8600000000000003</v>
      </c>
    </row>
    <row r="967" spans="1:4" ht="15.75">
      <c r="A967" s="5" t="s">
        <v>1330</v>
      </c>
      <c r="B967" s="8" t="s">
        <v>1397</v>
      </c>
      <c r="C967" s="2">
        <v>966</v>
      </c>
      <c r="D967" s="8">
        <v>1.8600000000000003</v>
      </c>
    </row>
    <row r="968" spans="1:4" ht="15.75">
      <c r="A968" s="3" t="s">
        <v>1331</v>
      </c>
      <c r="B968" s="8" t="s">
        <v>1397</v>
      </c>
      <c r="C968" s="2">
        <v>967</v>
      </c>
      <c r="D968" s="8">
        <v>1.8600000000000003</v>
      </c>
    </row>
    <row r="969" spans="1:4" ht="15.75">
      <c r="A969" s="5" t="s">
        <v>1332</v>
      </c>
      <c r="B969" s="8" t="s">
        <v>1397</v>
      </c>
      <c r="C969" s="2">
        <v>968</v>
      </c>
      <c r="D969" s="8">
        <v>1.8600000000000003</v>
      </c>
    </row>
    <row r="970" spans="1:4" ht="15.75">
      <c r="A970" s="3" t="s">
        <v>1333</v>
      </c>
      <c r="B970" s="8" t="s">
        <v>1397</v>
      </c>
      <c r="C970" s="2">
        <v>969</v>
      </c>
      <c r="D970" s="8">
        <v>1.8600000000000003</v>
      </c>
    </row>
    <row r="971" spans="1:4" ht="15.75">
      <c r="A971" s="5" t="s">
        <v>1334</v>
      </c>
      <c r="B971" s="8" t="s">
        <v>1397</v>
      </c>
      <c r="C971" s="2">
        <v>970</v>
      </c>
      <c r="D971" s="8">
        <v>1.8600000000000003</v>
      </c>
    </row>
    <row r="972" spans="1:4" ht="15.75">
      <c r="A972" s="3" t="s">
        <v>1335</v>
      </c>
      <c r="B972" s="8" t="s">
        <v>1397</v>
      </c>
      <c r="C972" s="2">
        <v>971</v>
      </c>
      <c r="D972" s="8">
        <v>1.8600000000000003</v>
      </c>
    </row>
    <row r="973" spans="1:4" ht="15.75">
      <c r="A973" s="5" t="s">
        <v>1336</v>
      </c>
      <c r="B973" s="8" t="s">
        <v>1397</v>
      </c>
      <c r="C973" s="2">
        <v>972</v>
      </c>
      <c r="D973" s="8">
        <v>1.8600000000000003</v>
      </c>
    </row>
    <row r="974" spans="1:4" ht="15.75">
      <c r="A974" s="3" t="s">
        <v>1337</v>
      </c>
      <c r="B974" s="8" t="s">
        <v>1397</v>
      </c>
      <c r="C974" s="2">
        <v>973</v>
      </c>
      <c r="D974" s="8">
        <v>1.8600000000000003</v>
      </c>
    </row>
    <row r="975" spans="1:4" ht="15.75">
      <c r="A975" s="5" t="s">
        <v>1338</v>
      </c>
      <c r="B975" s="8" t="s">
        <v>1397</v>
      </c>
      <c r="C975" s="2">
        <v>974</v>
      </c>
      <c r="D975" s="8">
        <v>1.8600000000000003</v>
      </c>
    </row>
    <row r="976" spans="1:4" ht="15.75">
      <c r="A976" s="3" t="s">
        <v>1339</v>
      </c>
      <c r="B976" s="8" t="s">
        <v>1397</v>
      </c>
      <c r="C976" s="2">
        <v>975</v>
      </c>
      <c r="D976" s="8">
        <v>1.8600000000000003</v>
      </c>
    </row>
    <row r="977" spans="1:4" ht="15.75">
      <c r="A977" s="5" t="s">
        <v>1340</v>
      </c>
      <c r="B977" s="8" t="s">
        <v>1397</v>
      </c>
      <c r="C977" s="2">
        <v>976</v>
      </c>
      <c r="D977" s="8">
        <v>1.8600000000000003</v>
      </c>
    </row>
    <row r="978" spans="1:4" ht="15.75">
      <c r="A978" s="3" t="s">
        <v>1341</v>
      </c>
      <c r="B978" s="8" t="s">
        <v>1397</v>
      </c>
      <c r="C978" s="2">
        <v>977</v>
      </c>
      <c r="D978" s="8">
        <v>1.8600000000000003</v>
      </c>
    </row>
    <row r="979" spans="1:4" ht="15.75">
      <c r="A979" s="5" t="s">
        <v>1342</v>
      </c>
      <c r="B979" s="8" t="s">
        <v>1397</v>
      </c>
      <c r="C979" s="2">
        <v>978</v>
      </c>
      <c r="D979" s="8">
        <v>1.8600000000000003</v>
      </c>
    </row>
    <row r="980" spans="1:4" ht="15.75">
      <c r="A980" s="3" t="s">
        <v>1343</v>
      </c>
      <c r="B980" s="8" t="s">
        <v>1397</v>
      </c>
      <c r="C980" s="2">
        <v>979</v>
      </c>
      <c r="D980" s="8">
        <v>1.8600000000000003</v>
      </c>
    </row>
    <row r="981" spans="1:4" ht="15.75">
      <c r="A981" s="5" t="s">
        <v>1344</v>
      </c>
      <c r="B981" s="8" t="s">
        <v>1397</v>
      </c>
      <c r="C981" s="2">
        <v>980</v>
      </c>
      <c r="D981" s="8">
        <v>1.8600000000000003</v>
      </c>
    </row>
    <row r="982" spans="1:4" ht="15.75">
      <c r="A982" s="3" t="s">
        <v>1345</v>
      </c>
      <c r="B982" s="8" t="s">
        <v>1397</v>
      </c>
      <c r="C982" s="2">
        <v>981</v>
      </c>
      <c r="D982" s="8">
        <v>1.8600000000000003</v>
      </c>
    </row>
    <row r="983" spans="1:4" ht="15.75">
      <c r="A983" s="5" t="s">
        <v>1346</v>
      </c>
      <c r="B983" s="8" t="s">
        <v>1397</v>
      </c>
      <c r="C983" s="2">
        <v>982</v>
      </c>
      <c r="D983" s="8">
        <v>1.8600000000000003</v>
      </c>
    </row>
    <row r="984" spans="1:4" ht="15.75">
      <c r="A984" s="3" t="s">
        <v>1347</v>
      </c>
      <c r="B984" s="8" t="s">
        <v>1397</v>
      </c>
      <c r="C984" s="2">
        <v>983</v>
      </c>
      <c r="D984" s="8">
        <v>1.8600000000000003</v>
      </c>
    </row>
    <row r="985" spans="1:4" ht="15.75">
      <c r="A985" s="5" t="s">
        <v>1348</v>
      </c>
      <c r="B985" s="8" t="s">
        <v>1397</v>
      </c>
      <c r="C985" s="2">
        <v>984</v>
      </c>
      <c r="D985" s="8">
        <v>1.8600000000000003</v>
      </c>
    </row>
    <row r="986" spans="1:4" ht="15.75">
      <c r="A986" s="3" t="s">
        <v>1349</v>
      </c>
      <c r="B986" s="8" t="s">
        <v>1397</v>
      </c>
      <c r="C986" s="2">
        <v>985</v>
      </c>
      <c r="D986" s="8">
        <v>1.8600000000000003</v>
      </c>
    </row>
    <row r="987" spans="1:4" ht="15.75">
      <c r="A987" s="5" t="s">
        <v>1350</v>
      </c>
      <c r="B987" s="8" t="s">
        <v>1397</v>
      </c>
      <c r="C987" s="2">
        <v>986</v>
      </c>
      <c r="D987" s="8">
        <v>1.8600000000000003</v>
      </c>
    </row>
    <row r="988" spans="1:4" ht="15.75">
      <c r="A988" s="3" t="s">
        <v>1351</v>
      </c>
      <c r="B988" s="8" t="s">
        <v>1397</v>
      </c>
      <c r="C988" s="2">
        <v>987</v>
      </c>
      <c r="D988" s="8">
        <v>1.8600000000000003</v>
      </c>
    </row>
    <row r="989" spans="1:4" ht="15.75">
      <c r="A989" s="5" t="s">
        <v>312</v>
      </c>
      <c r="B989" s="8" t="s">
        <v>1397</v>
      </c>
      <c r="C989" s="2">
        <v>988</v>
      </c>
      <c r="D989" s="8">
        <v>1.8600000000000003</v>
      </c>
    </row>
    <row r="990" spans="1:4" ht="15.75">
      <c r="A990" s="3" t="s">
        <v>1058</v>
      </c>
      <c r="B990" s="8" t="s">
        <v>1397</v>
      </c>
      <c r="C990" s="2">
        <v>989</v>
      </c>
      <c r="D990" s="8">
        <v>1.8600000000000003</v>
      </c>
    </row>
    <row r="991" spans="1:4" ht="15.75">
      <c r="A991" s="5" t="s">
        <v>1059</v>
      </c>
      <c r="B991" s="8" t="s">
        <v>1397</v>
      </c>
      <c r="C991" s="2">
        <v>990</v>
      </c>
      <c r="D991" s="8">
        <v>1.8600000000000003</v>
      </c>
    </row>
    <row r="992" spans="1:4" ht="15.75">
      <c r="A992" s="3" t="s">
        <v>1064</v>
      </c>
      <c r="B992" s="8" t="s">
        <v>1397</v>
      </c>
      <c r="C992" s="2">
        <v>991</v>
      </c>
      <c r="D992" s="8">
        <v>1.8600000000000003</v>
      </c>
    </row>
    <row r="993" spans="1:4" ht="15.75">
      <c r="A993" s="5" t="s">
        <v>1065</v>
      </c>
      <c r="B993" s="8" t="s">
        <v>1397</v>
      </c>
      <c r="C993" s="2">
        <v>992</v>
      </c>
      <c r="D993" s="8">
        <v>1.8600000000000003</v>
      </c>
    </row>
    <row r="994" spans="1:4" ht="15.75">
      <c r="A994" s="3" t="s">
        <v>1066</v>
      </c>
      <c r="B994" s="8" t="s">
        <v>1397</v>
      </c>
      <c r="C994" s="2">
        <v>993</v>
      </c>
      <c r="D994" s="8">
        <v>1.8600000000000003</v>
      </c>
    </row>
    <row r="995" spans="1:4" ht="15.75">
      <c r="A995" s="5" t="s">
        <v>1067</v>
      </c>
      <c r="B995" s="8" t="s">
        <v>1397</v>
      </c>
      <c r="C995" s="2">
        <v>994</v>
      </c>
      <c r="D995" s="8">
        <v>1.8600000000000003</v>
      </c>
    </row>
    <row r="996" spans="1:4" ht="15.75">
      <c r="A996" s="3" t="s">
        <v>1068</v>
      </c>
      <c r="B996" s="8" t="s">
        <v>1397</v>
      </c>
      <c r="C996" s="2">
        <v>995</v>
      </c>
      <c r="D996" s="8">
        <v>1.8600000000000003</v>
      </c>
    </row>
    <row r="997" spans="1:4" ht="15.75">
      <c r="A997" s="5" t="s">
        <v>1069</v>
      </c>
      <c r="B997" s="8" t="s">
        <v>1397</v>
      </c>
      <c r="C997" s="2">
        <v>996</v>
      </c>
      <c r="D997" s="8">
        <v>1.8600000000000003</v>
      </c>
    </row>
    <row r="998" spans="1:4" ht="15.75">
      <c r="A998" s="3" t="s">
        <v>1070</v>
      </c>
      <c r="B998" s="8" t="s">
        <v>1397</v>
      </c>
      <c r="C998" s="2">
        <v>997</v>
      </c>
      <c r="D998" s="8">
        <v>1.8600000000000003</v>
      </c>
    </row>
    <row r="999" spans="1:4" ht="15.75">
      <c r="A999" s="5" t="s">
        <v>1071</v>
      </c>
      <c r="B999" s="8" t="s">
        <v>1397</v>
      </c>
      <c r="C999" s="2">
        <v>998</v>
      </c>
      <c r="D999" s="8">
        <v>1.8600000000000003</v>
      </c>
    </row>
    <row r="1000" spans="1:4" ht="15.75">
      <c r="A1000" s="3" t="s">
        <v>1072</v>
      </c>
      <c r="B1000" s="8" t="s">
        <v>1397</v>
      </c>
      <c r="C1000" s="2">
        <v>999</v>
      </c>
      <c r="D1000" s="8">
        <v>1.8600000000000003</v>
      </c>
    </row>
    <row r="1001" spans="1:4" ht="15.75">
      <c r="A1001" s="5" t="s">
        <v>1073</v>
      </c>
      <c r="B1001" s="8" t="s">
        <v>1397</v>
      </c>
      <c r="C1001" s="2">
        <v>1000</v>
      </c>
      <c r="D1001" s="8">
        <v>1.8600000000000003</v>
      </c>
    </row>
    <row r="1002" spans="1:4" ht="15.75">
      <c r="A1002" s="3" t="s">
        <v>1074</v>
      </c>
      <c r="B1002" s="8" t="s">
        <v>1397</v>
      </c>
      <c r="C1002" s="2">
        <v>1001</v>
      </c>
      <c r="D1002" s="8">
        <v>1.8600000000000003</v>
      </c>
    </row>
    <row r="1003" spans="1:4" ht="15.75">
      <c r="A1003" s="5" t="s">
        <v>1075</v>
      </c>
      <c r="B1003" s="8" t="s">
        <v>1397</v>
      </c>
      <c r="C1003" s="2">
        <v>1002</v>
      </c>
      <c r="D1003" s="8">
        <v>1.8600000000000003</v>
      </c>
    </row>
    <row r="1004" spans="1:4" ht="15.75">
      <c r="A1004" s="3" t="s">
        <v>1076</v>
      </c>
      <c r="B1004" s="8" t="s">
        <v>1397</v>
      </c>
      <c r="C1004" s="2">
        <v>1003</v>
      </c>
      <c r="D1004" s="8">
        <v>1.8600000000000003</v>
      </c>
    </row>
    <row r="1005" spans="1:4" ht="15.75">
      <c r="A1005" s="5" t="s">
        <v>1077</v>
      </c>
      <c r="B1005" s="8" t="s">
        <v>1397</v>
      </c>
      <c r="C1005" s="2">
        <v>1004</v>
      </c>
      <c r="D1005" s="8">
        <v>1.8600000000000003</v>
      </c>
    </row>
    <row r="1006" spans="1:4" ht="15.75">
      <c r="A1006" s="3" t="s">
        <v>1078</v>
      </c>
      <c r="B1006" s="8" t="s">
        <v>1397</v>
      </c>
      <c r="C1006" s="2">
        <v>1005</v>
      </c>
      <c r="D1006" s="8">
        <v>1.8600000000000003</v>
      </c>
    </row>
    <row r="1007" spans="1:4" ht="15.75">
      <c r="A1007" s="5" t="s">
        <v>1079</v>
      </c>
      <c r="B1007" s="8" t="s">
        <v>1397</v>
      </c>
      <c r="C1007" s="2">
        <v>1006</v>
      </c>
      <c r="D1007" s="8">
        <v>1.8600000000000003</v>
      </c>
    </row>
    <row r="1008" spans="1:4" ht="15.75">
      <c r="A1008" s="3" t="s">
        <v>1080</v>
      </c>
      <c r="B1008" s="8" t="s">
        <v>1397</v>
      </c>
      <c r="C1008" s="2">
        <v>1007</v>
      </c>
      <c r="D1008" s="8">
        <v>1.8600000000000003</v>
      </c>
    </row>
    <row r="1009" spans="1:4" ht="15.75">
      <c r="A1009" s="5" t="s">
        <v>1081</v>
      </c>
      <c r="B1009" s="8" t="s">
        <v>1397</v>
      </c>
      <c r="C1009" s="2">
        <v>1008</v>
      </c>
      <c r="D1009" s="8">
        <v>1.8600000000000003</v>
      </c>
    </row>
    <row r="1010" spans="1:4" ht="15.75">
      <c r="A1010" s="3" t="s">
        <v>1082</v>
      </c>
      <c r="B1010" s="8" t="s">
        <v>1397</v>
      </c>
      <c r="C1010" s="2">
        <v>1009</v>
      </c>
      <c r="D1010" s="8">
        <v>1.8600000000000003</v>
      </c>
    </row>
    <row r="1011" spans="1:4" ht="15.75">
      <c r="A1011" s="5" t="s">
        <v>1083</v>
      </c>
      <c r="B1011" s="8" t="s">
        <v>1397</v>
      </c>
      <c r="C1011" s="2">
        <v>1010</v>
      </c>
      <c r="D1011" s="8">
        <v>1.8600000000000003</v>
      </c>
    </row>
    <row r="1012" spans="1:4" ht="15.75">
      <c r="A1012" s="3" t="s">
        <v>1084</v>
      </c>
      <c r="B1012" s="8" t="s">
        <v>1397</v>
      </c>
      <c r="C1012" s="2">
        <v>1011</v>
      </c>
      <c r="D1012" s="8">
        <v>1.8600000000000003</v>
      </c>
    </row>
    <row r="1013" spans="1:4" ht="15.75">
      <c r="A1013" s="5" t="s">
        <v>1085</v>
      </c>
      <c r="B1013" s="8" t="s">
        <v>1397</v>
      </c>
      <c r="C1013" s="2">
        <v>1012</v>
      </c>
      <c r="D1013" s="8">
        <v>1.8600000000000003</v>
      </c>
    </row>
    <row r="1014" spans="1:4" ht="15.75">
      <c r="A1014" s="3" t="s">
        <v>1086</v>
      </c>
      <c r="B1014" s="8" t="s">
        <v>1397</v>
      </c>
      <c r="C1014" s="2">
        <v>1013</v>
      </c>
      <c r="D1014" s="8">
        <v>1.8600000000000003</v>
      </c>
    </row>
    <row r="1015" spans="1:4" ht="15.75">
      <c r="A1015" s="5" t="s">
        <v>1087</v>
      </c>
      <c r="B1015" s="8" t="s">
        <v>1397</v>
      </c>
      <c r="C1015" s="2">
        <v>1014</v>
      </c>
      <c r="D1015" s="8">
        <v>1.8600000000000003</v>
      </c>
    </row>
    <row r="1016" spans="1:4" ht="15.75">
      <c r="A1016" s="3" t="s">
        <v>1088</v>
      </c>
      <c r="B1016" s="8" t="s">
        <v>1397</v>
      </c>
      <c r="C1016" s="2">
        <v>1015</v>
      </c>
      <c r="D1016" s="8">
        <v>1.8600000000000003</v>
      </c>
    </row>
    <row r="1017" spans="1:4" ht="15.75">
      <c r="A1017" s="5" t="s">
        <v>110</v>
      </c>
      <c r="B1017" s="8" t="s">
        <v>1397</v>
      </c>
      <c r="C1017" s="2">
        <v>1016</v>
      </c>
      <c r="D1017" s="8">
        <v>1.8600000000000003</v>
      </c>
    </row>
    <row r="1018" spans="1:4" ht="15.75">
      <c r="A1018" s="3" t="s">
        <v>132</v>
      </c>
      <c r="B1018" s="8" t="s">
        <v>1397</v>
      </c>
      <c r="C1018" s="2">
        <v>1017</v>
      </c>
      <c r="D1018" s="8">
        <v>1.8600000000000003</v>
      </c>
    </row>
    <row r="1019" spans="1:4" ht="15.75">
      <c r="A1019" s="5" t="s">
        <v>133</v>
      </c>
      <c r="B1019" s="8" t="s">
        <v>1397</v>
      </c>
      <c r="C1019" s="2">
        <v>1018</v>
      </c>
      <c r="D1019" s="8">
        <v>1.8600000000000003</v>
      </c>
    </row>
    <row r="1020" spans="1:4" ht="15.75">
      <c r="A1020" s="3" t="s">
        <v>134</v>
      </c>
      <c r="B1020" s="8" t="s">
        <v>1397</v>
      </c>
      <c r="C1020" s="2">
        <v>1019</v>
      </c>
      <c r="D1020" s="8">
        <v>1.8600000000000003</v>
      </c>
    </row>
    <row r="1021" spans="1:4" ht="15.75">
      <c r="A1021" s="5" t="s">
        <v>135</v>
      </c>
      <c r="B1021" s="8" t="s">
        <v>1397</v>
      </c>
      <c r="C1021" s="2">
        <v>1020</v>
      </c>
      <c r="D1021" s="8">
        <v>1.8600000000000003</v>
      </c>
    </row>
    <row r="1022" spans="1:4" ht="15.75">
      <c r="A1022" s="3" t="s">
        <v>136</v>
      </c>
      <c r="B1022" s="8" t="s">
        <v>1397</v>
      </c>
      <c r="C1022" s="2">
        <v>1021</v>
      </c>
      <c r="D1022" s="8">
        <v>1.8600000000000003</v>
      </c>
    </row>
    <row r="1023" spans="1:4" ht="15.75">
      <c r="A1023" s="5" t="s">
        <v>137</v>
      </c>
      <c r="B1023" s="8" t="s">
        <v>1397</v>
      </c>
      <c r="C1023" s="2">
        <v>1022</v>
      </c>
      <c r="D1023" s="8">
        <v>1.8600000000000003</v>
      </c>
    </row>
    <row r="1024" spans="1:4" ht="15.75">
      <c r="A1024" s="3" t="s">
        <v>138</v>
      </c>
      <c r="B1024" s="8" t="s">
        <v>1397</v>
      </c>
      <c r="C1024" s="2">
        <v>1023</v>
      </c>
      <c r="D1024" s="8">
        <v>1.8600000000000003</v>
      </c>
    </row>
    <row r="1025" spans="1:4" ht="15.75">
      <c r="A1025" s="5" t="s">
        <v>1090</v>
      </c>
      <c r="B1025" s="8" t="s">
        <v>1397</v>
      </c>
      <c r="C1025" s="2">
        <v>1024</v>
      </c>
      <c r="D1025" s="8">
        <v>1.8600000000000003</v>
      </c>
    </row>
    <row r="1026" spans="1:4" ht="15.75">
      <c r="A1026" s="3" t="s">
        <v>96</v>
      </c>
      <c r="B1026" s="8" t="s">
        <v>1397</v>
      </c>
      <c r="C1026" s="2">
        <v>1025</v>
      </c>
      <c r="D1026" s="8">
        <v>1.8600000000000003</v>
      </c>
    </row>
    <row r="1027" spans="1:4" ht="15.75">
      <c r="A1027" s="5" t="s">
        <v>1091</v>
      </c>
      <c r="B1027" s="8" t="s">
        <v>1397</v>
      </c>
      <c r="C1027" s="2">
        <v>1026</v>
      </c>
      <c r="D1027" s="8">
        <v>1.8600000000000003</v>
      </c>
    </row>
    <row r="1028" spans="1:4" ht="15.75">
      <c r="A1028" s="3" t="s">
        <v>1092</v>
      </c>
      <c r="B1028" s="8" t="s">
        <v>1397</v>
      </c>
      <c r="C1028" s="2">
        <v>1027</v>
      </c>
      <c r="D1028" s="8">
        <v>1.8600000000000003</v>
      </c>
    </row>
    <row r="1029" spans="1:4" ht="15.75">
      <c r="A1029" s="5" t="s">
        <v>1093</v>
      </c>
      <c r="B1029" s="8" t="s">
        <v>1397</v>
      </c>
      <c r="C1029" s="2">
        <v>1028</v>
      </c>
      <c r="D1029" s="8">
        <v>1.8600000000000003</v>
      </c>
    </row>
    <row r="1030" spans="1:4" ht="15.75">
      <c r="A1030" s="3" t="s">
        <v>1094</v>
      </c>
      <c r="B1030" s="8" t="s">
        <v>1397</v>
      </c>
      <c r="C1030" s="2">
        <v>1029</v>
      </c>
      <c r="D1030" s="8">
        <v>1.8600000000000003</v>
      </c>
    </row>
    <row r="1031" spans="1:4" ht="15.75">
      <c r="A1031" s="5" t="s">
        <v>1098</v>
      </c>
      <c r="B1031" s="8" t="s">
        <v>1397</v>
      </c>
      <c r="C1031" s="2">
        <v>1030</v>
      </c>
      <c r="D1031" s="8">
        <v>1.8600000000000003</v>
      </c>
    </row>
    <row r="1032" spans="1:4" ht="15.75">
      <c r="A1032" s="3" t="s">
        <v>1099</v>
      </c>
      <c r="B1032" s="8" t="s">
        <v>1397</v>
      </c>
      <c r="C1032" s="2">
        <v>1031</v>
      </c>
      <c r="D1032" s="8">
        <v>1.8600000000000003</v>
      </c>
    </row>
    <row r="1033" spans="1:4" ht="15.75">
      <c r="A1033" s="5" t="s">
        <v>1100</v>
      </c>
      <c r="B1033" s="8" t="s">
        <v>1397</v>
      </c>
      <c r="C1033" s="2">
        <v>1032</v>
      </c>
      <c r="D1033" s="8">
        <v>1.8600000000000003</v>
      </c>
    </row>
    <row r="1034" spans="1:4" ht="15.75">
      <c r="A1034" s="3" t="s">
        <v>1101</v>
      </c>
      <c r="B1034" s="8" t="s">
        <v>1397</v>
      </c>
      <c r="C1034" s="2">
        <v>1033</v>
      </c>
      <c r="D1034" s="8">
        <v>1.8600000000000003</v>
      </c>
    </row>
    <row r="1035" spans="1:4" ht="15.75">
      <c r="A1035" s="5" t="s">
        <v>1102</v>
      </c>
      <c r="B1035" s="8" t="s">
        <v>1397</v>
      </c>
      <c r="C1035" s="2">
        <v>1034</v>
      </c>
      <c r="D1035" s="8">
        <v>1.8600000000000003</v>
      </c>
    </row>
    <row r="1036" spans="1:4" ht="15.75">
      <c r="A1036" s="3" t="s">
        <v>1103</v>
      </c>
      <c r="B1036" s="8" t="s">
        <v>1397</v>
      </c>
      <c r="C1036" s="2">
        <v>1035</v>
      </c>
      <c r="D1036" s="8">
        <v>1.8600000000000003</v>
      </c>
    </row>
    <row r="1037" spans="1:4" ht="15.75">
      <c r="A1037" s="5" t="s">
        <v>1104</v>
      </c>
      <c r="B1037" s="8" t="s">
        <v>1397</v>
      </c>
      <c r="C1037" s="2">
        <v>1036</v>
      </c>
      <c r="D1037" s="8">
        <v>1.8600000000000003</v>
      </c>
    </row>
    <row r="1038" spans="1:4" ht="15.75">
      <c r="A1038" s="3" t="s">
        <v>1105</v>
      </c>
      <c r="B1038" s="8" t="s">
        <v>1397</v>
      </c>
      <c r="C1038" s="2">
        <v>1037</v>
      </c>
      <c r="D1038" s="8">
        <v>1.8600000000000003</v>
      </c>
    </row>
    <row r="1039" spans="1:4" ht="15.75">
      <c r="A1039" s="5" t="s">
        <v>1106</v>
      </c>
      <c r="B1039" s="8" t="s">
        <v>1397</v>
      </c>
      <c r="C1039" s="2">
        <v>1038</v>
      </c>
      <c r="D1039" s="8">
        <v>1.8600000000000003</v>
      </c>
    </row>
    <row r="1040" spans="1:4" ht="15.75">
      <c r="A1040" s="3" t="s">
        <v>318</v>
      </c>
      <c r="B1040" s="8" t="s">
        <v>1397</v>
      </c>
      <c r="C1040" s="2">
        <v>1039</v>
      </c>
      <c r="D1040" s="8">
        <v>1.8600000000000003</v>
      </c>
    </row>
    <row r="1041" spans="1:4" ht="15.75">
      <c r="A1041" s="5" t="s">
        <v>319</v>
      </c>
      <c r="B1041" s="8" t="s">
        <v>1397</v>
      </c>
      <c r="C1041" s="2">
        <v>1040</v>
      </c>
      <c r="D1041" s="8">
        <v>1.8600000000000003</v>
      </c>
    </row>
    <row r="1042" spans="1:4" ht="15.75">
      <c r="A1042" s="3" t="s">
        <v>320</v>
      </c>
      <c r="B1042" s="8" t="s">
        <v>1397</v>
      </c>
      <c r="C1042" s="2">
        <v>1041</v>
      </c>
      <c r="D1042" s="8">
        <v>1.8600000000000003</v>
      </c>
    </row>
    <row r="1043" spans="1:4" ht="15.75">
      <c r="A1043" s="5" t="s">
        <v>321</v>
      </c>
      <c r="B1043" s="8" t="s">
        <v>1397</v>
      </c>
      <c r="C1043" s="2">
        <v>1042</v>
      </c>
      <c r="D1043" s="8">
        <v>1.8600000000000003</v>
      </c>
    </row>
    <row r="1044" spans="1:4" ht="15.75">
      <c r="A1044" s="3" t="s">
        <v>322</v>
      </c>
      <c r="B1044" s="8" t="s">
        <v>1397</v>
      </c>
      <c r="C1044" s="2">
        <v>1043</v>
      </c>
      <c r="D1044" s="8">
        <v>1.8600000000000003</v>
      </c>
    </row>
    <row r="1045" spans="1:4" ht="15.75">
      <c r="A1045" s="5" t="s">
        <v>1115</v>
      </c>
      <c r="B1045" s="8" t="s">
        <v>1397</v>
      </c>
      <c r="C1045" s="2">
        <v>1044</v>
      </c>
      <c r="D1045" s="8">
        <v>1.8600000000000003</v>
      </c>
    </row>
    <row r="1046" spans="1:4" ht="15.75">
      <c r="A1046" s="3" t="s">
        <v>1116</v>
      </c>
      <c r="B1046" s="8" t="s">
        <v>1397</v>
      </c>
      <c r="C1046" s="2">
        <v>1045</v>
      </c>
      <c r="D1046" s="8">
        <v>1.8600000000000003</v>
      </c>
    </row>
    <row r="1047" spans="1:4" ht="15.75">
      <c r="A1047" s="5" t="s">
        <v>1117</v>
      </c>
      <c r="B1047" s="8" t="s">
        <v>1397</v>
      </c>
      <c r="C1047" s="2">
        <v>1046</v>
      </c>
      <c r="D1047" s="8">
        <v>1.8600000000000003</v>
      </c>
    </row>
    <row r="1048" spans="1:4" ht="15.75">
      <c r="A1048" s="3" t="s">
        <v>1118</v>
      </c>
      <c r="B1048" s="8" t="s">
        <v>1397</v>
      </c>
      <c r="C1048" s="2">
        <v>1047</v>
      </c>
      <c r="D1048" s="8">
        <v>1.8600000000000003</v>
      </c>
    </row>
    <row r="1049" spans="1:4" ht="15.75">
      <c r="A1049" s="5" t="s">
        <v>1119</v>
      </c>
      <c r="B1049" s="8" t="s">
        <v>1397</v>
      </c>
      <c r="C1049" s="2">
        <v>1048</v>
      </c>
      <c r="D1049" s="8">
        <v>1.8600000000000003</v>
      </c>
    </row>
    <row r="1050" spans="1:4" ht="15.75">
      <c r="A1050" s="3" t="s">
        <v>1120</v>
      </c>
      <c r="B1050" s="8" t="s">
        <v>1397</v>
      </c>
      <c r="C1050" s="2">
        <v>1049</v>
      </c>
      <c r="D1050" s="8">
        <v>1.8600000000000003</v>
      </c>
    </row>
    <row r="1051" spans="1:4" ht="15.75">
      <c r="A1051" s="5" t="s">
        <v>1121</v>
      </c>
      <c r="B1051" s="8" t="s">
        <v>1397</v>
      </c>
      <c r="C1051" s="2">
        <v>1050</v>
      </c>
      <c r="D1051" s="8">
        <v>1.8600000000000003</v>
      </c>
    </row>
    <row r="1052" spans="1:4" ht="15.75">
      <c r="A1052" s="3" t="s">
        <v>323</v>
      </c>
      <c r="B1052" s="8" t="s">
        <v>1397</v>
      </c>
      <c r="C1052" s="2">
        <v>1051</v>
      </c>
      <c r="D1052" s="8">
        <v>1.8600000000000003</v>
      </c>
    </row>
    <row r="1053" spans="1:4" ht="15.75">
      <c r="A1053" s="5" t="s">
        <v>324</v>
      </c>
      <c r="B1053" s="8" t="s">
        <v>1397</v>
      </c>
      <c r="C1053" s="2">
        <v>1052</v>
      </c>
      <c r="D1053" s="8">
        <v>1.8600000000000003</v>
      </c>
    </row>
    <row r="1054" spans="1:4" ht="15.75">
      <c r="A1054" s="3" t="s">
        <v>325</v>
      </c>
      <c r="B1054" s="8" t="s">
        <v>1397</v>
      </c>
      <c r="C1054" s="2">
        <v>1053</v>
      </c>
      <c r="D1054" s="8">
        <v>1.8600000000000003</v>
      </c>
    </row>
    <row r="1055" spans="1:4" ht="15.75">
      <c r="A1055" s="5" t="s">
        <v>326</v>
      </c>
      <c r="B1055" s="8" t="s">
        <v>1397</v>
      </c>
      <c r="C1055" s="2">
        <v>1054</v>
      </c>
      <c r="D1055" s="8">
        <v>1.8600000000000003</v>
      </c>
    </row>
    <row r="1056" spans="1:4" ht="15.75">
      <c r="A1056" s="3" t="s">
        <v>327</v>
      </c>
      <c r="B1056" s="8" t="s">
        <v>1397</v>
      </c>
      <c r="C1056" s="2">
        <v>1055</v>
      </c>
      <c r="D1056" s="8">
        <v>1.8600000000000003</v>
      </c>
    </row>
    <row r="1057" spans="1:4" ht="15.75">
      <c r="A1057" s="5" t="s">
        <v>1131</v>
      </c>
      <c r="B1057" s="8" t="s">
        <v>1397</v>
      </c>
      <c r="C1057" s="2">
        <v>1056</v>
      </c>
      <c r="D1057" s="8">
        <v>1.8600000000000003</v>
      </c>
    </row>
    <row r="1058" spans="1:4" ht="15.75">
      <c r="A1058" s="3" t="s">
        <v>87</v>
      </c>
      <c r="B1058" s="8" t="s">
        <v>1397</v>
      </c>
      <c r="C1058" s="2">
        <v>1057</v>
      </c>
      <c r="D1058" s="8">
        <v>1.8600000000000003</v>
      </c>
    </row>
    <row r="1059" spans="1:4" ht="15.75">
      <c r="A1059" s="5" t="s">
        <v>88</v>
      </c>
      <c r="B1059" s="8" t="s">
        <v>1397</v>
      </c>
      <c r="C1059" s="2">
        <v>1058</v>
      </c>
      <c r="D1059" s="8">
        <v>1.8600000000000003</v>
      </c>
    </row>
    <row r="1060" spans="1:4" ht="15.75">
      <c r="A1060" s="3" t="s">
        <v>1149</v>
      </c>
      <c r="B1060" s="8" t="s">
        <v>1397</v>
      </c>
      <c r="C1060" s="2">
        <v>1059</v>
      </c>
      <c r="D1060" s="8">
        <v>1.8600000000000003</v>
      </c>
    </row>
    <row r="1061" spans="1:4" ht="15.75">
      <c r="A1061" s="5" t="s">
        <v>1150</v>
      </c>
      <c r="B1061" s="8" t="s">
        <v>1397</v>
      </c>
      <c r="C1061" s="2">
        <v>1060</v>
      </c>
      <c r="D1061" s="8">
        <v>1.8600000000000003</v>
      </c>
    </row>
    <row r="1062" spans="1:4" ht="15.75">
      <c r="A1062" s="3" t="s">
        <v>1151</v>
      </c>
      <c r="B1062" s="8" t="s">
        <v>1397</v>
      </c>
      <c r="C1062" s="2">
        <v>1061</v>
      </c>
      <c r="D1062" s="8">
        <v>1.8600000000000003</v>
      </c>
    </row>
    <row r="1063" spans="1:4" ht="15.75">
      <c r="A1063" s="5" t="s">
        <v>1152</v>
      </c>
      <c r="B1063" s="8" t="s">
        <v>1397</v>
      </c>
      <c r="C1063" s="2">
        <v>1062</v>
      </c>
      <c r="D1063" s="8">
        <v>1.8600000000000003</v>
      </c>
    </row>
    <row r="1064" spans="1:4" ht="15.75">
      <c r="A1064" s="3" t="s">
        <v>328</v>
      </c>
      <c r="B1064" s="8" t="s">
        <v>1397</v>
      </c>
      <c r="C1064" s="2">
        <v>1063</v>
      </c>
      <c r="D1064" s="8">
        <v>1.8600000000000003</v>
      </c>
    </row>
    <row r="1065" spans="1:4" ht="15.75">
      <c r="A1065" s="5" t="s">
        <v>1154</v>
      </c>
      <c r="B1065" s="8" t="s">
        <v>1397</v>
      </c>
      <c r="C1065" s="2">
        <v>1064</v>
      </c>
      <c r="D1065" s="8">
        <v>1.8600000000000003</v>
      </c>
    </row>
    <row r="1066" spans="1:4" ht="15.75">
      <c r="A1066" s="3" t="s">
        <v>1155</v>
      </c>
      <c r="B1066" s="8" t="s">
        <v>1397</v>
      </c>
      <c r="C1066" s="2">
        <v>1065</v>
      </c>
      <c r="D1066" s="8">
        <v>1.8600000000000003</v>
      </c>
    </row>
    <row r="1067" spans="1:4">
      <c r="A1067" s="47" t="s">
        <v>1408</v>
      </c>
      <c r="B1067" s="8" t="s">
        <v>1397</v>
      </c>
      <c r="C1067" s="2">
        <v>1066</v>
      </c>
      <c r="D1067" s="8">
        <v>1.8600000000000003</v>
      </c>
    </row>
    <row r="1068" spans="1:4">
      <c r="A1068" s="48" t="s">
        <v>1408</v>
      </c>
      <c r="B1068" s="8" t="s">
        <v>1397</v>
      </c>
      <c r="C1068" s="2">
        <v>1067</v>
      </c>
      <c r="D1068" s="8">
        <v>1.8600000000000003</v>
      </c>
    </row>
    <row r="1069" spans="1:4">
      <c r="A1069" s="47" t="s">
        <v>1409</v>
      </c>
      <c r="B1069" s="8" t="s">
        <v>1397</v>
      </c>
      <c r="C1069" s="2">
        <v>1068</v>
      </c>
      <c r="D1069" s="8">
        <v>1.8600000000000003</v>
      </c>
    </row>
    <row r="1070" spans="1:4">
      <c r="A1070" s="48" t="s">
        <v>1410</v>
      </c>
      <c r="B1070" s="8" t="s">
        <v>1397</v>
      </c>
      <c r="C1070" s="2">
        <v>1069</v>
      </c>
      <c r="D1070" s="8">
        <v>1.8600000000000003</v>
      </c>
    </row>
    <row r="1071" spans="1:4">
      <c r="A1071" s="47" t="s">
        <v>1410</v>
      </c>
      <c r="B1071" s="8" t="s">
        <v>1397</v>
      </c>
      <c r="C1071" s="2">
        <v>1070</v>
      </c>
      <c r="D1071" s="8">
        <v>1.8600000000000003</v>
      </c>
    </row>
    <row r="1072" spans="1:4">
      <c r="A1072" s="48" t="s">
        <v>1411</v>
      </c>
      <c r="B1072" s="8" t="s">
        <v>1397</v>
      </c>
      <c r="C1072" s="2">
        <v>1071</v>
      </c>
      <c r="D1072" s="8">
        <v>1.8600000000000003</v>
      </c>
    </row>
    <row r="1073" spans="1:4">
      <c r="A1073" s="47" t="s">
        <v>1412</v>
      </c>
      <c r="B1073" s="8" t="s">
        <v>1397</v>
      </c>
      <c r="C1073" s="2">
        <v>1072</v>
      </c>
      <c r="D1073" s="8">
        <v>1.8600000000000003</v>
      </c>
    </row>
    <row r="1074" spans="1:4">
      <c r="A1074" s="48" t="s">
        <v>1412</v>
      </c>
      <c r="B1074" s="8" t="s">
        <v>1397</v>
      </c>
      <c r="C1074" s="2">
        <v>1073</v>
      </c>
      <c r="D1074" s="8">
        <v>1.8600000000000003</v>
      </c>
    </row>
    <row r="1075" spans="1:4">
      <c r="A1075" s="47">
        <v>8217</v>
      </c>
      <c r="B1075" s="8" t="s">
        <v>1397</v>
      </c>
      <c r="C1075" s="2">
        <v>1074</v>
      </c>
      <c r="D1075" s="8">
        <v>1.8600000000000003</v>
      </c>
    </row>
    <row r="1076" spans="1:4">
      <c r="A1076" s="48" t="s">
        <v>1413</v>
      </c>
      <c r="B1076" s="8" t="s">
        <v>1397</v>
      </c>
      <c r="C1076" s="2">
        <v>1075</v>
      </c>
      <c r="D1076" s="8">
        <v>1.8600000000000003</v>
      </c>
    </row>
    <row r="1077" spans="1:4">
      <c r="A1077" s="47" t="s">
        <v>1414</v>
      </c>
      <c r="B1077" s="8" t="s">
        <v>1397</v>
      </c>
      <c r="C1077" s="2">
        <v>1076</v>
      </c>
      <c r="D1077" s="8">
        <v>1.8600000000000003</v>
      </c>
    </row>
    <row r="1078" spans="1:4">
      <c r="A1078" s="48" t="s">
        <v>1415</v>
      </c>
      <c r="B1078" s="8" t="s">
        <v>1397</v>
      </c>
      <c r="C1078" s="2">
        <v>1077</v>
      </c>
      <c r="D1078" s="8">
        <v>1.8600000000000003</v>
      </c>
    </row>
    <row r="1079" spans="1:4">
      <c r="A1079" s="47" t="s">
        <v>1414</v>
      </c>
      <c r="B1079" s="8" t="s">
        <v>1397</v>
      </c>
      <c r="C1079" s="2">
        <v>1078</v>
      </c>
      <c r="D1079" s="8">
        <v>1.8600000000000003</v>
      </c>
    </row>
    <row r="1080" spans="1:4">
      <c r="A1080" s="48" t="s">
        <v>1416</v>
      </c>
      <c r="B1080" s="8" t="s">
        <v>1397</v>
      </c>
      <c r="C1080" s="2">
        <v>1079</v>
      </c>
      <c r="D1080" s="8">
        <v>1.8600000000000003</v>
      </c>
    </row>
    <row r="1081" spans="1:4">
      <c r="A1081" s="47" t="s">
        <v>1417</v>
      </c>
      <c r="B1081" s="8" t="s">
        <v>1397</v>
      </c>
      <c r="C1081" s="2">
        <v>1080</v>
      </c>
      <c r="D1081" s="8">
        <v>1.8600000000000003</v>
      </c>
    </row>
    <row r="1082" spans="1:4">
      <c r="A1082" s="48" t="s">
        <v>1418</v>
      </c>
      <c r="B1082" s="8" t="s">
        <v>1397</v>
      </c>
      <c r="C1082" s="2">
        <v>1081</v>
      </c>
      <c r="D1082" s="8">
        <v>1.8600000000000003</v>
      </c>
    </row>
    <row r="1083" spans="1:4">
      <c r="A1083" s="47" t="s">
        <v>1419</v>
      </c>
      <c r="B1083" s="8" t="s">
        <v>1397</v>
      </c>
      <c r="C1083" s="2">
        <v>1082</v>
      </c>
      <c r="D1083" s="8">
        <v>1.8600000000000003</v>
      </c>
    </row>
    <row r="1084" spans="1:4">
      <c r="A1084" s="48" t="s">
        <v>1420</v>
      </c>
      <c r="B1084" s="8" t="s">
        <v>1397</v>
      </c>
      <c r="C1084" s="2">
        <v>1083</v>
      </c>
      <c r="D1084" s="8">
        <v>1.8600000000000003</v>
      </c>
    </row>
    <row r="1085" spans="1:4">
      <c r="A1085" s="47" t="s">
        <v>1421</v>
      </c>
      <c r="B1085" s="8" t="s">
        <v>1397</v>
      </c>
      <c r="C1085" s="2">
        <v>1084</v>
      </c>
      <c r="D1085" s="8">
        <v>1.8600000000000003</v>
      </c>
    </row>
    <row r="1086" spans="1:4">
      <c r="A1086" s="48" t="s">
        <v>1422</v>
      </c>
      <c r="B1086" s="8" t="s">
        <v>1397</v>
      </c>
      <c r="C1086" s="2">
        <v>1085</v>
      </c>
      <c r="D1086" s="8">
        <v>1.8600000000000003</v>
      </c>
    </row>
    <row r="1087" spans="1:4">
      <c r="A1087" s="47" t="s">
        <v>1423</v>
      </c>
      <c r="B1087" s="8" t="s">
        <v>1397</v>
      </c>
      <c r="C1087" s="2">
        <v>1086</v>
      </c>
      <c r="D1087" s="8">
        <v>1.8600000000000003</v>
      </c>
    </row>
    <row r="1088" spans="1:4">
      <c r="A1088" s="48">
        <v>2008</v>
      </c>
      <c r="B1088" s="8" t="s">
        <v>1397</v>
      </c>
      <c r="C1088" s="2">
        <v>1087</v>
      </c>
      <c r="D1088" s="8">
        <v>1.8600000000000003</v>
      </c>
    </row>
    <row r="1089" spans="1:4">
      <c r="A1089" s="47" t="s">
        <v>1424</v>
      </c>
      <c r="B1089" s="8" t="s">
        <v>1397</v>
      </c>
      <c r="C1089" s="2">
        <v>1088</v>
      </c>
      <c r="D1089" s="8">
        <v>1.8600000000000003</v>
      </c>
    </row>
    <row r="1090" spans="1:4">
      <c r="A1090" s="48" t="s">
        <v>1425</v>
      </c>
      <c r="B1090" s="8" t="s">
        <v>1397</v>
      </c>
      <c r="C1090" s="2">
        <v>1089</v>
      </c>
      <c r="D1090" s="8">
        <v>1.8600000000000003</v>
      </c>
    </row>
    <row r="1091" spans="1:4">
      <c r="A1091" s="47" t="s">
        <v>1426</v>
      </c>
      <c r="B1091" s="8" t="s">
        <v>1397</v>
      </c>
      <c r="C1091" s="2">
        <v>1090</v>
      </c>
      <c r="D1091" s="8">
        <v>1.8600000000000003</v>
      </c>
    </row>
    <row r="1092" spans="1:4">
      <c r="A1092" s="48" t="s">
        <v>1427</v>
      </c>
      <c r="B1092" s="8" t="s">
        <v>1397</v>
      </c>
      <c r="C1092" s="2">
        <v>1091</v>
      </c>
      <c r="D1092" s="8">
        <v>1.8600000000000003</v>
      </c>
    </row>
    <row r="1093" spans="1:4">
      <c r="A1093" s="47" t="s">
        <v>1428</v>
      </c>
      <c r="B1093" s="8" t="s">
        <v>1397</v>
      </c>
      <c r="C1093" s="2">
        <v>1092</v>
      </c>
      <c r="D1093" s="8">
        <v>1.8600000000000003</v>
      </c>
    </row>
    <row r="1094" spans="1:4">
      <c r="A1094" s="48" t="s">
        <v>1429</v>
      </c>
      <c r="B1094" s="8" t="s">
        <v>1397</v>
      </c>
      <c r="C1094" s="2">
        <v>1093</v>
      </c>
      <c r="D1094" s="8">
        <v>1.8600000000000003</v>
      </c>
    </row>
    <row r="1095" spans="1:4">
      <c r="A1095" s="47" t="s">
        <v>1430</v>
      </c>
      <c r="B1095" s="8" t="s">
        <v>1397</v>
      </c>
      <c r="C1095" s="2">
        <v>1094</v>
      </c>
      <c r="D1095" s="8">
        <v>1.8600000000000003</v>
      </c>
    </row>
    <row r="1096" spans="1:4">
      <c r="A1096" s="48" t="s">
        <v>1431</v>
      </c>
      <c r="B1096" s="8" t="s">
        <v>1397</v>
      </c>
      <c r="C1096" s="2">
        <v>1095</v>
      </c>
      <c r="D1096" s="8">
        <v>1.8600000000000003</v>
      </c>
    </row>
    <row r="1097" spans="1:4">
      <c r="A1097" s="47" t="s">
        <v>1432</v>
      </c>
      <c r="B1097" s="8" t="s">
        <v>1397</v>
      </c>
      <c r="C1097" s="2">
        <v>1096</v>
      </c>
      <c r="D1097" s="8">
        <v>1.8600000000000003</v>
      </c>
    </row>
    <row r="1098" spans="1:4">
      <c r="A1098" s="48" t="s">
        <v>1433</v>
      </c>
      <c r="B1098" s="8" t="s">
        <v>1397</v>
      </c>
      <c r="C1098" s="2">
        <v>1097</v>
      </c>
      <c r="D1098" s="8">
        <v>1.8600000000000003</v>
      </c>
    </row>
    <row r="1099" spans="1:4">
      <c r="A1099" s="47" t="s">
        <v>1434</v>
      </c>
      <c r="B1099" s="8" t="s">
        <v>1397</v>
      </c>
      <c r="C1099" s="2">
        <v>1098</v>
      </c>
      <c r="D1099" s="8">
        <v>1.8600000000000003</v>
      </c>
    </row>
    <row r="1100" spans="1:4">
      <c r="A1100" s="48" t="s">
        <v>1434</v>
      </c>
      <c r="B1100" s="8" t="s">
        <v>1397</v>
      </c>
      <c r="C1100" s="2">
        <v>1099</v>
      </c>
      <c r="D1100" s="8">
        <v>1.8600000000000003</v>
      </c>
    </row>
    <row r="1101" spans="1:4">
      <c r="A1101" s="47" t="s">
        <v>1435</v>
      </c>
      <c r="B1101" s="8" t="s">
        <v>1397</v>
      </c>
      <c r="C1101" s="2">
        <v>1100</v>
      </c>
      <c r="D1101" s="8">
        <v>1.8600000000000003</v>
      </c>
    </row>
    <row r="1102" spans="1:4">
      <c r="A1102" s="48" t="s">
        <v>1436</v>
      </c>
      <c r="B1102" s="8" t="s">
        <v>1397</v>
      </c>
      <c r="C1102" s="2">
        <v>1101</v>
      </c>
      <c r="D1102" s="8">
        <v>1.8600000000000003</v>
      </c>
    </row>
    <row r="1103" spans="1:4">
      <c r="A1103" s="47" t="s">
        <v>1437</v>
      </c>
      <c r="B1103" s="8" t="s">
        <v>1397</v>
      </c>
      <c r="C1103" s="2">
        <v>1102</v>
      </c>
      <c r="D1103" s="8">
        <v>1.8600000000000003</v>
      </c>
    </row>
    <row r="1104" spans="1:4">
      <c r="A1104" s="48" t="s">
        <v>1438</v>
      </c>
      <c r="B1104" s="8" t="s">
        <v>1397</v>
      </c>
      <c r="C1104" s="2">
        <v>1103</v>
      </c>
      <c r="D1104" s="8">
        <v>1.8600000000000003</v>
      </c>
    </row>
    <row r="1105" spans="1:4">
      <c r="A1105" s="47" t="s">
        <v>1439</v>
      </c>
      <c r="B1105" s="8" t="s">
        <v>1397</v>
      </c>
      <c r="C1105" s="2">
        <v>1104</v>
      </c>
      <c r="D1105" s="8">
        <v>1.8600000000000003</v>
      </c>
    </row>
    <row r="1106" spans="1:4">
      <c r="A1106" s="48" t="s">
        <v>1440</v>
      </c>
      <c r="B1106" s="8" t="s">
        <v>1397</v>
      </c>
      <c r="C1106" s="2">
        <v>1105</v>
      </c>
      <c r="D1106" s="8">
        <v>1.8600000000000003</v>
      </c>
    </row>
    <row r="1107" spans="1:4">
      <c r="A1107" s="47" t="s">
        <v>1441</v>
      </c>
      <c r="B1107" s="8" t="s">
        <v>1397</v>
      </c>
      <c r="C1107" s="2">
        <v>1106</v>
      </c>
      <c r="D1107" s="8">
        <v>1.8600000000000003</v>
      </c>
    </row>
    <row r="1108" spans="1:4">
      <c r="A1108" s="48" t="s">
        <v>1441</v>
      </c>
      <c r="B1108" s="8" t="s">
        <v>1397</v>
      </c>
      <c r="C1108" s="2">
        <v>1107</v>
      </c>
      <c r="D1108" s="8">
        <v>1.8600000000000003</v>
      </c>
    </row>
    <row r="1109" spans="1:4">
      <c r="A1109" s="47" t="s">
        <v>1442</v>
      </c>
      <c r="B1109" s="8" t="s">
        <v>1397</v>
      </c>
      <c r="C1109" s="2">
        <v>1108</v>
      </c>
      <c r="D1109" s="8">
        <v>1.8600000000000003</v>
      </c>
    </row>
    <row r="1110" spans="1:4">
      <c r="A1110" s="48"/>
      <c r="B1110" s="8" t="s">
        <v>1397</v>
      </c>
      <c r="C1110" s="2">
        <v>1109</v>
      </c>
      <c r="D1110" s="8">
        <v>1.8600000000000003</v>
      </c>
    </row>
    <row r="1111" spans="1:4">
      <c r="A1111" s="47"/>
      <c r="B1111" s="8" t="s">
        <v>1397</v>
      </c>
      <c r="C1111" s="2">
        <v>1110</v>
      </c>
      <c r="D1111" s="8">
        <v>1.8600000000000003</v>
      </c>
    </row>
    <row r="1112" spans="1:4">
      <c r="A1112" s="48"/>
      <c r="B1112" s="8" t="s">
        <v>1397</v>
      </c>
      <c r="C1112" s="2">
        <v>1111</v>
      </c>
      <c r="D1112" s="8">
        <v>1.8600000000000003</v>
      </c>
    </row>
    <row r="1113" spans="1:4">
      <c r="A1113" s="47" t="s">
        <v>1443</v>
      </c>
      <c r="B1113" s="8" t="s">
        <v>1397</v>
      </c>
      <c r="C1113" s="2">
        <v>1112</v>
      </c>
      <c r="D1113" s="8">
        <v>1.8600000000000003</v>
      </c>
    </row>
    <row r="1114" spans="1:4">
      <c r="A1114" s="48" t="s">
        <v>1444</v>
      </c>
      <c r="B1114" s="8" t="s">
        <v>1397</v>
      </c>
      <c r="C1114" s="2">
        <v>1113</v>
      </c>
      <c r="D1114" s="8">
        <v>1.8600000000000003</v>
      </c>
    </row>
    <row r="1115" spans="1:4">
      <c r="A1115" s="47" t="s">
        <v>1445</v>
      </c>
      <c r="B1115" s="8" t="s">
        <v>1397</v>
      </c>
      <c r="C1115" s="2">
        <v>1114</v>
      </c>
      <c r="D1115" s="8">
        <v>1.8600000000000003</v>
      </c>
    </row>
    <row r="1116" spans="1:4">
      <c r="A1116" s="48" t="s">
        <v>1446</v>
      </c>
      <c r="B1116" s="8" t="s">
        <v>1397</v>
      </c>
      <c r="C1116" s="2">
        <v>1115</v>
      </c>
      <c r="D1116" s="8">
        <v>1.8600000000000003</v>
      </c>
    </row>
    <row r="1117" spans="1:4">
      <c r="A1117" s="47" t="s">
        <v>1447</v>
      </c>
      <c r="B1117" s="8" t="s">
        <v>1397</v>
      </c>
      <c r="C1117" s="2">
        <v>1116</v>
      </c>
      <c r="D1117" s="8">
        <v>1.8600000000000003</v>
      </c>
    </row>
    <row r="1118" spans="1:4">
      <c r="A1118" s="48" t="s">
        <v>1448</v>
      </c>
      <c r="B1118" s="8" t="s">
        <v>1397</v>
      </c>
      <c r="C1118" s="2">
        <v>1117</v>
      </c>
      <c r="D1118" s="8">
        <v>1.8600000000000003</v>
      </c>
    </row>
    <row r="1119" spans="1:4">
      <c r="A1119" s="47" t="s">
        <v>1449</v>
      </c>
      <c r="B1119" s="8" t="s">
        <v>1397</v>
      </c>
      <c r="C1119" s="2">
        <v>1118</v>
      </c>
      <c r="D1119" s="8">
        <v>1.8600000000000003</v>
      </c>
    </row>
    <row r="1120" spans="1:4">
      <c r="A1120" s="48" t="s">
        <v>1450</v>
      </c>
      <c r="B1120" s="8" t="s">
        <v>1397</v>
      </c>
      <c r="C1120" s="2">
        <v>1119</v>
      </c>
      <c r="D1120" s="8">
        <v>1.8600000000000003</v>
      </c>
    </row>
    <row r="1121" spans="1:4">
      <c r="A1121" s="47" t="s">
        <v>1451</v>
      </c>
      <c r="B1121" s="8" t="s">
        <v>1397</v>
      </c>
      <c r="C1121" s="2">
        <v>1120</v>
      </c>
      <c r="D1121" s="8">
        <v>1.8600000000000003</v>
      </c>
    </row>
    <row r="1122" spans="1:4">
      <c r="A1122" s="48" t="s">
        <v>1452</v>
      </c>
      <c r="B1122" s="8" t="s">
        <v>1397</v>
      </c>
      <c r="C1122" s="2">
        <v>1121</v>
      </c>
      <c r="D1122" s="8">
        <v>1.8600000000000003</v>
      </c>
    </row>
    <row r="1123" spans="1:4">
      <c r="A1123" s="47">
        <v>3015</v>
      </c>
      <c r="B1123" s="8" t="s">
        <v>1397</v>
      </c>
      <c r="C1123" s="2">
        <v>1122</v>
      </c>
      <c r="D1123" s="8">
        <v>1.8600000000000003</v>
      </c>
    </row>
    <row r="1124" spans="1:4">
      <c r="A1124" s="48" t="s">
        <v>1453</v>
      </c>
      <c r="B1124" s="8" t="s">
        <v>1397</v>
      </c>
      <c r="C1124" s="2">
        <v>1123</v>
      </c>
      <c r="D1124" s="8">
        <v>1.8600000000000003</v>
      </c>
    </row>
    <row r="1125" spans="1:4">
      <c r="A1125" s="47" t="s">
        <v>1454</v>
      </c>
      <c r="B1125" s="8" t="s">
        <v>1397</v>
      </c>
      <c r="C1125" s="2">
        <v>1124</v>
      </c>
      <c r="D1125" s="8">
        <v>1.8600000000000003</v>
      </c>
    </row>
    <row r="1126" spans="1:4">
      <c r="A1126" s="48" t="s">
        <v>1455</v>
      </c>
      <c r="B1126" s="8" t="s">
        <v>1397</v>
      </c>
      <c r="C1126" s="2">
        <v>1125</v>
      </c>
      <c r="D1126" s="8">
        <v>1.8600000000000003</v>
      </c>
    </row>
    <row r="1127" spans="1:4">
      <c r="A1127" s="47" t="s">
        <v>1456</v>
      </c>
      <c r="B1127" s="8" t="s">
        <v>1397</v>
      </c>
      <c r="C1127" s="2">
        <v>1126</v>
      </c>
      <c r="D1127" s="8">
        <v>1.8600000000000003</v>
      </c>
    </row>
    <row r="1128" spans="1:4">
      <c r="A1128" s="48" t="s">
        <v>1457</v>
      </c>
      <c r="B1128" s="8" t="s">
        <v>1397</v>
      </c>
      <c r="C1128" s="2">
        <v>1127</v>
      </c>
      <c r="D1128" s="8">
        <v>1.8600000000000003</v>
      </c>
    </row>
    <row r="1129" spans="1:4">
      <c r="A1129" s="47"/>
      <c r="B1129" s="8" t="s">
        <v>1397</v>
      </c>
      <c r="C1129" s="2">
        <v>1128</v>
      </c>
      <c r="D1129" s="8">
        <v>1.8600000000000003</v>
      </c>
    </row>
    <row r="1130" spans="1:4">
      <c r="A1130" s="48" t="s">
        <v>1458</v>
      </c>
      <c r="B1130" s="8" t="s">
        <v>1397</v>
      </c>
      <c r="C1130" s="2">
        <v>1129</v>
      </c>
      <c r="D1130" s="8">
        <v>1.8600000000000003</v>
      </c>
    </row>
    <row r="1131" spans="1:4">
      <c r="A1131" s="47"/>
      <c r="B1131" s="8" t="s">
        <v>1397</v>
      </c>
      <c r="C1131" s="2">
        <v>1130</v>
      </c>
      <c r="D1131" s="8">
        <v>1.8600000000000003</v>
      </c>
    </row>
    <row r="1132" spans="1:4">
      <c r="A1132" s="48" t="s">
        <v>1459</v>
      </c>
      <c r="B1132" s="8" t="s">
        <v>1397</v>
      </c>
      <c r="C1132" s="2">
        <v>1131</v>
      </c>
      <c r="D1132" s="8">
        <v>1.8600000000000003</v>
      </c>
    </row>
  </sheetData>
  <autoFilter ref="A1:D1132"/>
  <conditionalFormatting sqref="A1067:A1132 A2:A691">
    <cfRule type="duplicateValues" dxfId="5" priority="5"/>
  </conditionalFormatting>
  <conditionalFormatting sqref="A734 A692:A732 A736:A739">
    <cfRule type="duplicateValues" dxfId="4" priority="4"/>
  </conditionalFormatting>
  <conditionalFormatting sqref="A740:A981">
    <cfRule type="duplicateValues" dxfId="3" priority="6"/>
  </conditionalFormatting>
  <conditionalFormatting sqref="A733">
    <cfRule type="duplicateValues" dxfId="2" priority="3"/>
  </conditionalFormatting>
  <conditionalFormatting sqref="A735">
    <cfRule type="duplicateValues" dxfId="1" priority="2"/>
  </conditionalFormatting>
  <conditionalFormatting sqref="A982:A106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تجهیزات صنعتی گندله سازی</vt:lpstr>
      <vt:lpstr>متفرقه</vt:lpstr>
      <vt:lpstr>Sheet1</vt:lpstr>
      <vt:lpstr>'تجهیزات صنعتی گندله سازی'!Print_Titles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 حیدر علوی</dc:creator>
  <cp:lastModifiedBy>هادی حداد</cp:lastModifiedBy>
  <cp:lastPrinted>2022-04-25T06:42:36Z</cp:lastPrinted>
  <dcterms:created xsi:type="dcterms:W3CDTF">2021-08-31T11:38:50Z</dcterms:created>
  <dcterms:modified xsi:type="dcterms:W3CDTF">2022-05-30T10:11:58Z</dcterms:modified>
</cp:coreProperties>
</file>