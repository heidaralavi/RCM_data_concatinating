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331D64AF-4145-4A9A-987C-A0925BAFEB6C}" xr6:coauthVersionLast="47" xr6:coauthVersionMax="47" xr10:uidLastSave="{00000000-0000-0000-0000-000000000000}"/>
  <bookViews>
    <workbookView xWindow="-120" yWindow="-120" windowWidth="29040" windowHeight="15840" tabRatio="500" firstSheet="5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<sst xmlns="http://schemas.openxmlformats.org/spreadsheetml/2006/main" count="61661" uniqueCount="4220">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</sst>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4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6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1" applyBorder="1"/>
    <xf numFmtId="0" fontId="14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3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2" fillId="0" borderId="1" xfId="1" applyFont="1" applyBorder="1"/>
    <xf numFmtId="0" fontId="10" fillId="0" borderId="12" xfId="3" applyBorder="1"/>
    <xf numFmtId="0" fontId="9" fillId="0" borderId="12" xfId="4" applyBorder="1"/>
    <xf numFmtId="0" fontId="0" fillId="0" borderId="7" xfId="0" applyBorder="1"/>
    <xf numFmtId="0" fontId="8" fillId="0" borderId="1" xfId="1" applyFont="1" applyBorder="1"/>
    <xf numFmtId="0" fontId="0" fillId="0" borderId="12" xfId="0" applyBorder="1"/>
    <xf numFmtId="0" fontId="7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5" fillId="0" borderId="1" xfId="1" applyFont="1" applyBorder="1"/>
    <xf numFmtId="0" fontId="4" fillId="0" borderId="12" xfId="7" applyBorder="1"/>
    <xf numFmtId="0" fontId="4" fillId="0" borderId="6" xfId="7" applyBorder="1"/>
    <xf numFmtId="0" fontId="4" fillId="0" borderId="1" xfId="7" applyBorder="1"/>
    <xf numFmtId="0" fontId="14" fillId="0" borderId="1" xfId="1" applyFill="1" applyBorder="1"/>
    <xf numFmtId="0" fontId="14" fillId="0" borderId="10" xfId="1" applyFill="1" applyBorder="1"/>
    <xf numFmtId="0" fontId="0" fillId="0" borderId="0" xfId="0" applyBorder="1" applyAlignment="1">
      <alignment horizontal="center" vertical="center"/>
    </xf>
    <xf numFmtId="0" fontId="14" fillId="0" borderId="1" xfId="1" applyFill="1" applyBorder="1" applyAlignment="1">
      <alignment horizontal="left" vertical="center"/>
    </xf>
    <xf numFmtId="0" fontId="14" fillId="0" borderId="1" xfId="1" applyBorder="1" applyAlignment="1">
      <alignment horizontal="left"/>
    </xf>
    <xf numFmtId="0" fontId="13" fillId="0" borderId="1" xfId="1" applyFont="1" applyBorder="1" applyAlignment="1">
      <alignment horizontal="left"/>
    </xf>
    <xf numFmtId="0" fontId="14" fillId="0" borderId="10" xfId="1" applyBorder="1" applyAlignment="1">
      <alignment horizontal="left"/>
    </xf>
    <xf numFmtId="0" fontId="14" fillId="0" borderId="1" xfId="1" applyFill="1" applyBorder="1" applyAlignment="1">
      <alignment horizontal="left"/>
    </xf>
    <xf numFmtId="0" fontId="14" fillId="0" borderId="11" xfId="1" applyBorder="1" applyAlignment="1">
      <alignment horizontal="left"/>
    </xf>
    <xf numFmtId="0" fontId="14" fillId="0" borderId="12" xfId="1" applyBorder="1" applyAlignment="1">
      <alignment horizontal="left"/>
    </xf>
    <xf numFmtId="0" fontId="14" fillId="0" borderId="13" xfId="1" applyBorder="1" applyAlignment="1">
      <alignment horizontal="left"/>
    </xf>
    <xf numFmtId="0" fontId="3" fillId="0" borderId="12" xfId="4" applyFont="1" applyBorder="1"/>
    <xf numFmtId="0" fontId="16" fillId="0" borderId="12" xfId="4" applyFont="1" applyBorder="1"/>
    <xf numFmtId="0" fontId="2" fillId="0" borderId="12" xfId="4" applyFont="1" applyBorder="1"/>
    <xf numFmtId="0" fontId="1" fillId="0" borderId="12" xfId="8" applyFont="1" applyBorder="1" applyAlignment="1"/>
    <xf numFmtId="0" fontId="1" fillId="0" borderId="12" xfId="8" applyFont="1" applyBorder="1" applyAlignment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F19" sqref="F1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3680</v>
      </c>
      <c r="E469" s="2" t="s">
        <v>1481</v>
      </c>
      <c r="F469" s="2" t="str">
        <f>VLOOKUP(Table10[[#This Row],[نام کارشناس دفتر فنی]],Table1[],3,0)</f>
        <v>کارشناس تعمیرات مکانیک(3)</v>
      </c>
      <c r="G469" s="2" t="s">
        <v>31</v>
      </c>
      <c r="H469" s="2" t="str">
        <f>VLOOKUP(Table10[[#This Row],[نام شخص کارشناس نظارت]],Table1[],3,0)</f>
        <v>کارشناس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2026-07-11T07:47:33Z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