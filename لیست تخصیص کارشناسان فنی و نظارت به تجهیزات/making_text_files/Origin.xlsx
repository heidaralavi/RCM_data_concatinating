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69DBC84E-5BBC-4153-B6B1-68F568EC57B3}" xr6:coauthVersionLast="47" xr6:coauthVersionMax="47" xr10:uidLastSave="{00000000-0000-0000-0000-000000000000}"/>
  <bookViews>
    <workbookView xWindow="-120" yWindow="-120" windowWidth="29040" windowHeight="15840" tabRatio="500" firstSheet="8" activeTab="15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ترانسپورت!$A$1:$G$1162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26" i="6" l="1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9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81" i="14"/>
  <c r="I182" i="14"/>
  <c r="I183" i="14"/>
  <c r="I184" i="14"/>
  <c r="I185" i="14"/>
  <c r="I186" i="14"/>
  <c r="I187" i="14"/>
  <c r="I188" i="14"/>
  <c r="I252" i="14"/>
  <c r="I283" i="14"/>
  <c r="I403" i="14"/>
  <c r="I826" i="14"/>
  <c r="I830" i="14"/>
  <c r="I1091" i="14"/>
  <c r="I528" i="14"/>
  <c r="I1095" i="14"/>
  <c r="I550" i="14"/>
  <c r="I551" i="14"/>
  <c r="I552" i="14"/>
  <c r="I553" i="14"/>
  <c r="I554" i="14"/>
  <c r="I555" i="14"/>
  <c r="I556" i="14"/>
  <c r="I572" i="14"/>
  <c r="I573" i="14"/>
  <c r="I574" i="14"/>
  <c r="I575" i="14"/>
  <c r="I576" i="14"/>
  <c r="I603" i="14"/>
  <c r="I604" i="14"/>
  <c r="I605" i="14"/>
  <c r="I1076" i="14"/>
  <c r="I1097" i="14"/>
  <c r="I627" i="14"/>
  <c r="I636" i="14"/>
  <c r="I651" i="14"/>
  <c r="I690" i="14"/>
  <c r="I1092" i="14"/>
  <c r="I709" i="14"/>
  <c r="I1102" i="14"/>
  <c r="I1099" i="14"/>
  <c r="I707" i="14"/>
  <c r="I1084" i="14"/>
  <c r="I1112" i="14"/>
  <c r="I1129" i="14"/>
  <c r="I1128" i="14"/>
  <c r="I1085" i="14"/>
  <c r="I705" i="14"/>
  <c r="I718" i="14"/>
  <c r="I726" i="14"/>
  <c r="I727" i="14"/>
  <c r="I728" i="14"/>
  <c r="I729" i="14"/>
  <c r="I730" i="14"/>
  <c r="I731" i="14"/>
  <c r="I1088" i="14"/>
  <c r="I1064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106" i="14"/>
  <c r="H1106" i="14"/>
  <c r="I1106" i="14"/>
  <c r="F1117" i="14"/>
  <c r="H1117" i="14"/>
  <c r="I1117" i="14"/>
  <c r="F1118" i="14"/>
  <c r="H1118" i="14"/>
  <c r="I1118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72" i="14"/>
  <c r="I1073" i="14"/>
  <c r="I1100" i="14"/>
  <c r="H1072" i="14"/>
  <c r="H1073" i="14"/>
  <c r="H1100" i="14"/>
  <c r="F1072" i="14"/>
  <c r="F1073" i="14"/>
  <c r="F1100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71" i="14"/>
  <c r="I1070" i="14"/>
  <c r="H1071" i="14"/>
  <c r="F1071" i="14"/>
  <c r="H1070" i="14"/>
  <c r="F1070" i="14"/>
  <c r="H861" i="14"/>
  <c r="F861" i="14"/>
  <c r="H860" i="14"/>
  <c r="F860" i="14"/>
  <c r="H859" i="14"/>
  <c r="F859" i="14"/>
  <c r="H858" i="14"/>
  <c r="F858" i="14"/>
  <c r="H857" i="14"/>
  <c r="F857" i="14"/>
  <c r="H856" i="14"/>
  <c r="F856" i="14"/>
  <c r="H855" i="14"/>
  <c r="F855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9" i="14"/>
  <c r="H1069" i="14"/>
  <c r="F1069" i="14"/>
  <c r="I1068" i="14"/>
  <c r="H1068" i="14"/>
  <c r="F1068" i="14"/>
  <c r="I1067" i="14"/>
  <c r="H1067" i="14"/>
  <c r="F1067" i="14"/>
  <c r="I1066" i="14"/>
  <c r="H1066" i="14"/>
  <c r="F1066" i="14"/>
  <c r="I1065" i="14"/>
  <c r="H1065" i="14"/>
  <c r="F1065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9" i="14"/>
  <c r="H1059" i="14"/>
  <c r="F1059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127" i="14"/>
  <c r="H1127" i="14"/>
  <c r="F1127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842" i="14"/>
  <c r="H842" i="14"/>
  <c r="F842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841" i="14"/>
  <c r="H841" i="14"/>
  <c r="F841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40" i="14"/>
  <c r="H840" i="14"/>
  <c r="F840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39" i="14"/>
  <c r="H839" i="14"/>
  <c r="F839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I860" i="14"/>
  <c r="I859" i="14"/>
  <c r="I858" i="14"/>
  <c r="I857" i="14"/>
  <c r="I856" i="14"/>
  <c r="I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38" i="14"/>
  <c r="H838" i="14"/>
  <c r="F838" i="14"/>
  <c r="I843" i="14"/>
  <c r="H843" i="14"/>
  <c r="F843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1087" i="14"/>
  <c r="H1087" i="14"/>
  <c r="F1087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1124" i="14"/>
  <c r="H1124" i="14"/>
  <c r="F1124" i="14"/>
  <c r="I736" i="14"/>
  <c r="H736" i="14"/>
  <c r="F736" i="14"/>
  <c r="I735" i="14"/>
  <c r="H735" i="14"/>
  <c r="F735" i="14"/>
  <c r="I822" i="14"/>
  <c r="H822" i="14"/>
  <c r="F822" i="14"/>
  <c r="I734" i="14"/>
  <c r="H734" i="14"/>
  <c r="F734" i="14"/>
  <c r="I733" i="14"/>
  <c r="H733" i="14"/>
  <c r="F733" i="14"/>
  <c r="I732" i="14"/>
  <c r="H732" i="14"/>
  <c r="F732" i="14"/>
  <c r="I1078" i="14"/>
  <c r="H1078" i="14"/>
  <c r="F1078" i="14"/>
  <c r="I1080" i="14"/>
  <c r="H1080" i="14"/>
  <c r="F1080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1103" i="14"/>
  <c r="H1103" i="14"/>
  <c r="F1103" i="14"/>
  <c r="I717" i="14"/>
  <c r="H717" i="14"/>
  <c r="F717" i="14"/>
  <c r="I1113" i="14"/>
  <c r="H1113" i="14"/>
  <c r="F1113" i="14"/>
  <c r="I1120" i="14"/>
  <c r="H1120" i="14"/>
  <c r="F1120" i="14"/>
  <c r="I1123" i="14"/>
  <c r="H1123" i="14"/>
  <c r="F1123" i="14"/>
  <c r="I716" i="14"/>
  <c r="H716" i="14"/>
  <c r="F716" i="14"/>
  <c r="I715" i="14"/>
  <c r="H715" i="14"/>
  <c r="F715" i="14"/>
  <c r="I714" i="14"/>
  <c r="H714" i="14"/>
  <c r="F714" i="14"/>
  <c r="I1074" i="14"/>
  <c r="H1074" i="14"/>
  <c r="F1074" i="14"/>
  <c r="I1116" i="14"/>
  <c r="H1116" i="14"/>
  <c r="F1116" i="14"/>
  <c r="I1121" i="14"/>
  <c r="H1121" i="14"/>
  <c r="F1121" i="14"/>
  <c r="I713" i="14"/>
  <c r="H713" i="14"/>
  <c r="F713" i="14"/>
  <c r="I1105" i="14"/>
  <c r="H1105" i="14"/>
  <c r="F1105" i="14"/>
  <c r="I821" i="14"/>
  <c r="H821" i="14"/>
  <c r="F821" i="14"/>
  <c r="I1107" i="14"/>
  <c r="H1107" i="14"/>
  <c r="F1107" i="14"/>
  <c r="I712" i="14"/>
  <c r="H712" i="14"/>
  <c r="F712" i="14"/>
  <c r="I711" i="14"/>
  <c r="H711" i="14"/>
  <c r="F711" i="14"/>
  <c r="I1075" i="14"/>
  <c r="H1075" i="14"/>
  <c r="F1075" i="14"/>
  <c r="I1122" i="14"/>
  <c r="H1122" i="14"/>
  <c r="F1122" i="14"/>
  <c r="I1115" i="14"/>
  <c r="H1115" i="14"/>
  <c r="F1115" i="14"/>
  <c r="I1081" i="14"/>
  <c r="H1081" i="14"/>
  <c r="F1081" i="14"/>
  <c r="I1126" i="14"/>
  <c r="H1126" i="14"/>
  <c r="F1126" i="14"/>
  <c r="I823" i="14"/>
  <c r="H823" i="14"/>
  <c r="F823" i="14"/>
  <c r="I1109" i="14"/>
  <c r="H1109" i="14"/>
  <c r="F1109" i="14"/>
  <c r="I1111" i="14"/>
  <c r="H1111" i="14"/>
  <c r="F1111" i="14"/>
  <c r="I1110" i="14"/>
  <c r="H1110" i="14"/>
  <c r="F1110" i="14"/>
  <c r="I1083" i="14"/>
  <c r="H1083" i="14"/>
  <c r="F1083" i="14"/>
  <c r="I1077" i="14"/>
  <c r="H1077" i="14"/>
  <c r="F1077" i="14"/>
  <c r="I831" i="14"/>
  <c r="H831" i="14"/>
  <c r="F831" i="14"/>
  <c r="I1104" i="14"/>
  <c r="H1104" i="14"/>
  <c r="F1104" i="14"/>
  <c r="I706" i="14"/>
  <c r="H706" i="14"/>
  <c r="F706" i="14"/>
  <c r="I1098" i="14"/>
  <c r="H1098" i="14"/>
  <c r="F1098" i="14"/>
  <c r="I710" i="14"/>
  <c r="H710" i="14"/>
  <c r="F710" i="14"/>
  <c r="I1101" i="14"/>
  <c r="H1101" i="14"/>
  <c r="F1101" i="14"/>
  <c r="I708" i="14"/>
  <c r="H708" i="14"/>
  <c r="F708" i="14"/>
  <c r="I1093" i="14"/>
  <c r="H1093" i="14"/>
  <c r="F1093" i="14"/>
  <c r="I1125" i="14"/>
  <c r="H1125" i="14"/>
  <c r="F112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35" i="14"/>
  <c r="H1135" i="14"/>
  <c r="F1135" i="14"/>
  <c r="I689" i="14"/>
  <c r="H689" i="14"/>
  <c r="F689" i="14"/>
  <c r="I688" i="14"/>
  <c r="H688" i="14"/>
  <c r="F688" i="14"/>
  <c r="I687" i="14"/>
  <c r="H687" i="14"/>
  <c r="F687" i="14"/>
  <c r="I1131" i="14"/>
  <c r="H1131" i="14"/>
  <c r="F1131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37" i="14"/>
  <c r="H1137" i="14"/>
  <c r="F113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39" i="14"/>
  <c r="H1139" i="14"/>
  <c r="F1139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38" i="14"/>
  <c r="H1138" i="14"/>
  <c r="F1138" i="14"/>
  <c r="I666" i="14"/>
  <c r="H666" i="14"/>
  <c r="F666" i="14"/>
  <c r="I665" i="14"/>
  <c r="H665" i="14"/>
  <c r="F665" i="14"/>
  <c r="I1136" i="14"/>
  <c r="H1136" i="14"/>
  <c r="F1136" i="14"/>
  <c r="I664" i="14"/>
  <c r="H664" i="14"/>
  <c r="F664" i="14"/>
  <c r="I1132" i="14"/>
  <c r="H1132" i="14"/>
  <c r="F1132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34" i="14"/>
  <c r="H1134" i="14"/>
  <c r="F1134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33" i="14"/>
  <c r="H1133" i="14"/>
  <c r="F1133" i="14"/>
  <c r="I614" i="14"/>
  <c r="H614" i="14"/>
  <c r="F614" i="14"/>
  <c r="I1082" i="14"/>
  <c r="H1082" i="14"/>
  <c r="F1082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114" i="14"/>
  <c r="H1114" i="14"/>
  <c r="F1114" i="14"/>
  <c r="I602" i="14"/>
  <c r="H602" i="14"/>
  <c r="F602" i="14"/>
  <c r="I1079" i="14"/>
  <c r="H1079" i="14"/>
  <c r="F1079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86" i="14"/>
  <c r="H1086" i="14"/>
  <c r="F108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4" i="14"/>
  <c r="H824" i="14"/>
  <c r="F824" i="14"/>
  <c r="I586" i="14"/>
  <c r="H586" i="14"/>
  <c r="F586" i="14"/>
  <c r="I1119" i="14"/>
  <c r="H1119" i="14"/>
  <c r="F1119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108" i="14"/>
  <c r="H1108" i="14"/>
  <c r="F1108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8" i="14"/>
  <c r="H828" i="14"/>
  <c r="F828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30" i="14"/>
  <c r="H1130" i="14"/>
  <c r="F1130" i="14"/>
  <c r="I1094" i="14"/>
  <c r="H1094" i="14"/>
  <c r="F1094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96" i="14"/>
  <c r="H1096" i="14"/>
  <c r="F1096" i="14"/>
  <c r="I827" i="14"/>
  <c r="H827" i="14"/>
  <c r="F827" i="14"/>
  <c r="I529" i="14"/>
  <c r="H529" i="14"/>
  <c r="F529" i="14"/>
  <c r="I1089" i="14"/>
  <c r="H1089" i="14"/>
  <c r="F1089" i="14"/>
  <c r="I1090" i="14"/>
  <c r="H1090" i="14"/>
  <c r="F1090" i="14"/>
  <c r="I825" i="14"/>
  <c r="H825" i="14"/>
  <c r="F825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9" i="14"/>
  <c r="H829" i="14"/>
  <c r="F829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<sst xmlns="http://schemas.openxmlformats.org/spreadsheetml/2006/main" count="60728" uniqueCount="4205">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</sst>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  <xf numFmtId="0" fontId="0" fillId="0" borderId="9" xfId="0" applyBorder="1"/>
    <xf numFmtId="0" fontId="12" fillId="0" borderId="1" xfId="1" applyFill="1" applyBorder="1"/>
    <xf numFmtId="0" fontId="12" fillId="0" borderId="10" xfId="1" applyFill="1" applyBorder="1"/>
    <xf numFmtId="0" fontId="0" fillId="0" borderId="0" xfId="0" applyBorder="1" applyAlignment="1">
      <alignment horizontal="center" vertical="center"/>
    </xf>
    <xf numFmtId="0" fontId="12" fillId="0" borderId="1" xfId="1" applyFill="1" applyBorder="1" applyAlignment="1">
      <alignment horizontal="left" vertical="center"/>
    </xf>
    <xf numFmtId="0" fontId="12" fillId="0" borderId="1" xfId="1" applyBorder="1" applyAlignment="1">
      <alignment horizontal="left"/>
    </xf>
    <xf numFmtId="0" fontId="11" fillId="0" borderId="1" xfId="1" applyFont="1" applyBorder="1" applyAlignment="1">
      <alignment horizontal="left"/>
    </xf>
    <xf numFmtId="0" fontId="12" fillId="0" borderId="10" xfId="1" applyBorder="1" applyAlignment="1">
      <alignment horizontal="left"/>
    </xf>
    <xf numFmtId="0" fontId="12" fillId="0" borderId="1" xfId="1" applyFill="1" applyBorder="1" applyAlignment="1">
      <alignment horizontal="left"/>
    </xf>
    <xf numFmtId="0" fontId="12" fillId="0" borderId="11" xfId="1" applyBorder="1" applyAlignment="1">
      <alignment horizontal="left"/>
    </xf>
    <xf numFmtId="0" fontId="12" fillId="0" borderId="12" xfId="1" applyBorder="1" applyAlignment="1">
      <alignment horizontal="left"/>
    </xf>
    <xf numFmtId="0" fontId="12" fillId="0" borderId="13" xfId="1" applyBorder="1" applyAlignment="1">
      <alignment horizontal="left"/>
    </xf>
    <xf numFmtId="0" fontId="12" fillId="0" borderId="10" xfId="1" applyFill="1" applyBorder="1" applyAlignment="1">
      <alignment horizontal="left" vertical="center"/>
    </xf>
    <xf numFmtId="0" fontId="12" fillId="0" borderId="10" xfId="1" applyFill="1" applyBorder="1" applyAlignment="1">
      <alignment horizontal="left"/>
    </xf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8">
  <autoFilter ref="A1:D535" xr:uid="{00000000-000C-0000-FFFF-FFFF00000000}"/>
  <tableColumns count="4">
    <tableColumn id="1" xr3:uid="{00000000-0010-0000-0000-000001000000}" name="Employee" dataDxfId="147"/>
    <tableColumn id="2" xr3:uid="{00000000-0010-0000-0000-000002000000}" name="Employee ID" dataDxfId="146"/>
    <tableColumn id="3" xr3:uid="{00000000-0010-0000-0000-000003000000}" name="Position" dataDxfId="145"/>
    <tableColumn id="4" xr3:uid="{00000000-0010-0000-0000-000004000000}" name="Position ID" dataDxfId="14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3" headerRowBorderDxfId="142" tableBorderDxfId="141" totalsRowBorderDxfId="140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9"/>
    <tableColumn id="2" xr3:uid="{00000000-0010-0000-0100-000002000000}" name="کد سیستم" dataDxfId="138"/>
    <tableColumn id="3" xr3:uid="{00000000-0010-0000-0100-000003000000}" name="ID" dataDxfId="137"/>
    <tableColumn id="4" xr3:uid="{00000000-0010-0000-0100-000004000000}" name="Is It Used : 1 ~ 'YES'" dataDxfId="13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5" headerRowBorderDxfId="134" tableBorderDxfId="133" totalsRowBorderDxfId="132">
  <autoFilter ref="A1:B12" xr:uid="{00000000-0009-0000-0100-000006000000}"/>
  <tableColumns count="2">
    <tableColumn id="1" xr3:uid="{00000000-0010-0000-0200-000001000000}" name="Name" dataDxfId="131"/>
    <tableColumn id="2" xr3:uid="{00000000-0010-0000-0200-000002000000}" name="ID" dataDxfId="13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9">
  <autoFilter ref="A1:H29" xr:uid="{00000000-0009-0000-0100-000007000000}"/>
  <tableColumns count="8">
    <tableColumn id="1" xr3:uid="{00000000-0010-0000-0300-000001000000}" name="Name" dataDxfId="128"/>
    <tableColumn id="2" xr3:uid="{00000000-0010-0000-0300-000002000000}" name="ID" dataDxfId="127"/>
    <tableColumn id="3" xr3:uid="{00000000-0010-0000-0300-000003000000}" name="رئیس اجرایی" dataDxfId="126"/>
    <tableColumn id="6" xr3:uid="{00000000-0010-0000-0300-000006000000}" name="سمت رئیس اجرایی" dataDxfId="125">
      <calculatedColumnFormula>VLOOKUP(Table314[[#This Row],[رئیس اجرایی]],Table1[],3,0)</calculatedColumnFormula>
    </tableColumn>
    <tableColumn id="4" xr3:uid="{00000000-0010-0000-0300-000004000000}" name="سرپرست واحد اجرایی" dataDxfId="124"/>
    <tableColumn id="7" xr3:uid="{00000000-0010-0000-0300-000007000000}" name="سمت سرپرست اجرایی" dataDxfId="123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2"/>
    <tableColumn id="8" xr3:uid="{00000000-0010-0000-0300-000008000000}" name="سمت سرپرست اجرایی پی ام" dataDxfId="121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20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2" dataCellStyle="Normal 2"/>
    <tableColumn id="3" xr3:uid="{00000000-0010-0000-0400-000003000000}" name="کد سیستم" dataDxfId="1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9" headerRowBorderDxfId="118" tableBorderDxfId="117" totalsRowBorderDxfId="116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6"/>
    <tableColumn id="2" xr3:uid="{00000000-0010-0000-0500-000002000000}" name="نام سیستم" dataDxfId="5" dataCellStyle="Normal 2"/>
    <tableColumn id="3" xr3:uid="{00000000-0010-0000-0500-000003000000}" name="کد سیستم" dataDxfId="3" dataCellStyle="Normal 2"/>
    <tableColumn id="4" xr3:uid="{00000000-0010-0000-0500-000004000000}" name="نوع کار" dataDxfId="4"/>
    <tableColumn id="5" xr3:uid="{00000000-0010-0000-0500-000005000000}" name="نام کارشناس دفتر فنی" dataDxfId="115"/>
    <tableColumn id="6" xr3:uid="{00000000-0010-0000-0500-000006000000}" name="سمت کارشناس دفتر فنی" dataDxfId="114"/>
    <tableColumn id="7" xr3:uid="{00000000-0010-0000-0500-000007000000}" name="نام شخص کارشناس نظارت" dataDxfId="113"/>
    <tableColumn id="8" xr3:uid="{00000000-0010-0000-0500-000008000000}" name="سمت کارشناس نظارت" dataDxfId="112"/>
    <tableColumn id="9" xr3:uid="{00000000-0010-0000-0500-000009000000}" name="Is in Systems Sheet : 1 ~ 'Yes'" dataDxfId="11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62" totalsRowShown="0" headerRowDxfId="110" headerRowBorderDxfId="109" tableBorderDxfId="108" totalsRowBorderDxfId="107">
  <autoFilter ref="A1:I1162" xr:uid="{00000000-0009-0000-0100-00000B000000}"/>
  <tableColumns count="9">
    <tableColumn id="1" xr3:uid="{00000000-0010-0000-0600-000001000000}" name="ردیف" dataDxfId="106"/>
    <tableColumn id="2" xr3:uid="{00000000-0010-0000-0600-000002000000}" name="نام سیستم" dataDxfId="105" dataCellStyle="Normal 2"/>
    <tableColumn id="3" xr3:uid="{00000000-0010-0000-0600-000003000000}" name="کد سیستم" dataDxfId="104" dataCellStyle="Normal 2"/>
    <tableColumn id="4" xr3:uid="{00000000-0010-0000-0600-000004000000}" name="نوع کار" dataDxfId="103"/>
    <tableColumn id="5" xr3:uid="{00000000-0010-0000-0600-000005000000}" name="نام کارشناس دفتر فنی" dataDxfId="102"/>
    <tableColumn id="6" xr3:uid="{00000000-0010-0000-0600-000006000000}" name="سمت کارشناس دفتر فنی" dataDxfId="101"/>
    <tableColumn id="7" xr3:uid="{00000000-0010-0000-0600-000007000000}" name="نام شخص کارشناس نظارت" dataDxfId="100"/>
    <tableColumn id="8" xr3:uid="{00000000-0010-0000-0600-000008000000}" name="سمت کارشناس نظارت" dataDxfId="99"/>
    <tableColumn id="9" xr3:uid="{00000000-0010-0000-0600-000009000000}" name="Is in Systems Sheet : 1 ~ 'Yes'" dataDxfId="9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62" totalsRowShown="0" headerRowDxfId="97" headerRowBorderDxfId="96" tableBorderDxfId="95" totalsRowBorderDxfId="94">
  <autoFilter ref="A1:I1162" xr:uid="{00000000-0009-0000-0100-00000D000000}"/>
  <tableColumns count="9">
    <tableColumn id="1" xr3:uid="{00000000-0010-0000-0700-000001000000}" name="ردیف" dataDxfId="93"/>
    <tableColumn id="2" xr3:uid="{00000000-0010-0000-0700-000002000000}" name="نام سیستم" dataDxfId="92" dataCellStyle="Normal 2"/>
    <tableColumn id="3" xr3:uid="{00000000-0010-0000-0700-000003000000}" name="کد سیستم" dataDxfId="91" dataCellStyle="Normal 2"/>
    <tableColumn id="4" xr3:uid="{00000000-0010-0000-0700-000004000000}" name="نوع کار" dataDxfId="90"/>
    <tableColumn id="5" xr3:uid="{00000000-0010-0000-0700-000005000000}" name="نام کارشناس دفتر فنی" dataDxfId="89"/>
    <tableColumn id="6" xr3:uid="{00000000-0010-0000-0700-000006000000}" name="سمت کارشناس دفتر فنی" dataDxfId="88"/>
    <tableColumn id="7" xr3:uid="{00000000-0010-0000-0700-000007000000}" name="نام شخص کارشناس نظارت" dataDxfId="87"/>
    <tableColumn id="8" xr3:uid="{00000000-0010-0000-0700-000008000000}" name="سمت کارشناس نظارت" dataDxfId="86"/>
    <tableColumn id="9" xr3:uid="{00000000-0010-0000-0700-000009000000}" name="Is in Systems Sheet : 1 ~ 'Yes'" dataDxfId="85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64" totalsRowShown="0" headerRowDxfId="84" headerRowBorderDxfId="83" tableBorderDxfId="82" totalsRowBorderDxfId="81">
  <autoFilter ref="A1:I764" xr:uid="{00000000-0009-0000-0100-00000E000000}"/>
  <tableColumns count="9">
    <tableColumn id="1" xr3:uid="{00000000-0010-0000-0800-000001000000}" name="ردیف" dataDxfId="80"/>
    <tableColumn id="2" xr3:uid="{00000000-0010-0000-0800-000002000000}" name="نام سیستم" dataDxfId="79" dataCellStyle="Normal 2"/>
    <tableColumn id="3" xr3:uid="{00000000-0010-0000-0800-000003000000}" name="کد سیستم" dataDxfId="78" dataCellStyle="Normal 2"/>
    <tableColumn id="4" xr3:uid="{00000000-0010-0000-0800-000004000000}" name="نوع کار" dataDxfId="77"/>
    <tableColumn id="5" xr3:uid="{00000000-0010-0000-0800-000005000000}" name="نام کارشناس دفتر فنی" dataDxfId="76"/>
    <tableColumn id="6" xr3:uid="{00000000-0010-0000-0800-000006000000}" name="سمت کارشناس دفتر فنی" dataDxfId="75"/>
    <tableColumn id="7" xr3:uid="{00000000-0010-0000-0800-000007000000}" name="نام شخص کارشناس نظارت" dataDxfId="74"/>
    <tableColumn id="8" xr3:uid="{00000000-0010-0000-0800-000008000000}" name="سمت کارشناس نظارت" dataDxfId="73"/>
    <tableColumn id="9" xr3:uid="{00000000-0010-0000-0800-000009000000}" name="Is in Systems Sheet : 1 ~ 'Yes'" dataDxfId="72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74" totalsRowShown="0" headerRowDxfId="71" headerRowBorderDxfId="70" tableBorderDxfId="69" totalsRowBorderDxfId="68">
  <autoFilter ref="A1:I774" xr:uid="{00000000-000C-0000-FFFF-FFFF09000000}"/>
  <tableColumns count="9">
    <tableColumn id="1" xr3:uid="{00000000-0010-0000-0900-000001000000}" name="ردیف" dataDxfId="67"/>
    <tableColumn id="2" xr3:uid="{00000000-0010-0000-0900-000002000000}" name="نام سیستم" dataDxfId="66" dataCellStyle="Normal 2"/>
    <tableColumn id="3" xr3:uid="{00000000-0010-0000-0900-000003000000}" name="کد سیستم" dataDxfId="65" dataCellStyle="Normal 2"/>
    <tableColumn id="4" xr3:uid="{00000000-0010-0000-0900-000004000000}" name="نوع کار" dataDxfId="64"/>
    <tableColumn id="5" xr3:uid="{00000000-0010-0000-0900-000005000000}" name="نام کارشناس دفتر فنی" dataDxfId="63"/>
    <tableColumn id="6" xr3:uid="{00000000-0010-0000-0900-000006000000}" name="سمت کارشناس دفتر فنی" dataDxfId="62"/>
    <tableColumn id="7" xr3:uid="{00000000-0010-0000-0900-000007000000}" name="نام شخص کارشناس نظارت" dataDxfId="61"/>
    <tableColumn id="8" xr3:uid="{00000000-0010-0000-0900-000008000000}" name="سمت کارشناس نظارت" dataDxfId="60"/>
    <tableColumn id="9" xr3:uid="{00000000-0010-0000-0900-000009000000}" name="Is in Systems Sheet : 1 ~ 'Yes'" dataDxfId="59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55" totalsRowShown="0" headerRowDxfId="58" headerRowBorderDxfId="57" tableBorderDxfId="56" totalsRowBorderDxfId="55">
  <autoFilter ref="A1:I1155" xr:uid="{00000000-000C-0000-FFFF-FFFF0A000000}"/>
  <tableColumns count="9">
    <tableColumn id="1" xr3:uid="{00000000-0010-0000-0A00-000001000000}" name="ردیف" dataDxfId="54"/>
    <tableColumn id="2" xr3:uid="{00000000-0010-0000-0A00-000002000000}" name="نام سیستم" dataDxfId="53" dataCellStyle="Normal 2"/>
    <tableColumn id="3" xr3:uid="{00000000-0010-0000-0A00-000003000000}" name="کد سیستم" dataDxfId="52" dataCellStyle="Normal 2"/>
    <tableColumn id="4" xr3:uid="{00000000-0010-0000-0A00-000004000000}" name="نوع کار" dataDxfId="51"/>
    <tableColumn id="5" xr3:uid="{00000000-0010-0000-0A00-000005000000}" name="نام کارشناس دفتر فنی" dataDxfId="50"/>
    <tableColumn id="6" xr3:uid="{00000000-0010-0000-0A00-000006000000}" name="سمت کارشناس دفتر فنی" dataDxfId="49"/>
    <tableColumn id="7" xr3:uid="{00000000-0010-0000-0A00-000007000000}" name="نام شخص کارشناس نظارت" dataDxfId="48"/>
    <tableColumn id="8" xr3:uid="{00000000-0010-0000-0A00-000008000000}" name="سمت کارشناس نظارت" dataDxfId="47"/>
    <tableColumn id="9" xr3:uid="{00000000-0010-0000-0A00-000009000000}" name="Is in Systems Sheet : 1 ~ 'Yes'" dataDxfId="46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43" totalsRowShown="0" headerRowDxfId="45" headerRowBorderDxfId="44" tableBorderDxfId="43" totalsRowBorderDxfId="42">
  <autoFilter ref="A1:I1143" xr:uid="{00000000-0009-0000-0100-000008000000}"/>
  <tableColumns count="9">
    <tableColumn id="1" xr3:uid="{00000000-0010-0000-0B00-000001000000}" name="ردیف" dataDxfId="41"/>
    <tableColumn id="2" xr3:uid="{00000000-0010-0000-0B00-000002000000}" name="نام سیستم" dataDxfId="40" dataCellStyle="Normal 2"/>
    <tableColumn id="3" xr3:uid="{00000000-0010-0000-0B00-000003000000}" name="کد سیستم" dataDxfId="39" dataCellStyle="Normal 2"/>
    <tableColumn id="4" xr3:uid="{00000000-0010-0000-0B00-000004000000}" name="نوع کار" dataDxfId="38"/>
    <tableColumn id="5" xr3:uid="{00000000-0010-0000-0B00-000005000000}" name="نام کارشناس دفتر فنی" dataDxfId="37"/>
    <tableColumn id="6" xr3:uid="{00000000-0010-0000-0B00-000006000000}" name="سمت کارشناس دفتر فنی" dataDxfId="36"/>
    <tableColumn id="7" xr3:uid="{00000000-0010-0000-0B00-000007000000}" name="نام شخص کارشناس نظارت" dataDxfId="35"/>
    <tableColumn id="8" xr3:uid="{00000000-0010-0000-0B00-000008000000}" name="سمت کارشناس نظارت" dataDxfId="34"/>
    <tableColumn id="9" xr3:uid="{00000000-0010-0000-0B00-000009000000}" name="Is in Systems Sheet : 1 ~ 'Yes'" dataDxfId="33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103" totalsRowShown="0" headerRowDxfId="32" headerRowBorderDxfId="31" tableBorderDxfId="30" totalsRowBorderDxfId="29">
  <autoFilter ref="A1:I1103" xr:uid="{00000000-0009-0000-0100-000009000000}"/>
  <tableColumns count="9">
    <tableColumn id="1" xr3:uid="{00000000-0010-0000-0C00-000001000000}" name="ردیف" dataDxfId="28"/>
    <tableColumn id="2" xr3:uid="{00000000-0010-0000-0C00-000002000000}" name="نام سیستم" dataDxfId="27" dataCellStyle="Normal 2"/>
    <tableColumn id="3" xr3:uid="{00000000-0010-0000-0C00-000003000000}" name="کد سیستم" dataDxfId="26" dataCellStyle="Normal 2"/>
    <tableColumn id="4" xr3:uid="{00000000-0010-0000-0C00-000004000000}" name="نوع کار" dataDxfId="25"/>
    <tableColumn id="5" xr3:uid="{00000000-0010-0000-0C00-000005000000}" name="نام کارشناس دفتر فنی" dataDxfId="24"/>
    <tableColumn id="6" xr3:uid="{00000000-0010-0000-0C00-000006000000}" name="سمت کارشناس دفتر فنی" dataDxfId="23"/>
    <tableColumn id="7" xr3:uid="{00000000-0010-0000-0C00-000007000000}" name="نام شخص کارشناس نظارت" dataDxfId="22"/>
    <tableColumn id="8" xr3:uid="{00000000-0010-0000-0C00-000008000000}" name="سمت کارشناس نظارت" dataDxfId="21"/>
    <tableColumn id="9" xr3:uid="{00000000-0010-0000-0C00-000009000000}" name="Is in Systems Sheet : 1 ~ 'Yes'" dataDxfId="2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39" totalsRowShown="0" headerRowDxfId="19" headerRowBorderDxfId="18" tableBorderDxfId="17" totalsRowBorderDxfId="16">
  <autoFilter ref="A1:I1139" xr:uid="{00000000-0009-0000-0100-000004000000}"/>
  <sortState xmlns:xlrd2="http://schemas.microsoft.com/office/spreadsheetml/2017/richdata2" ref="A2:I1139">
    <sortCondition ref="B1:B1139"/>
  </sortState>
  <tableColumns count="9">
    <tableColumn id="1" xr3:uid="{00000000-0010-0000-0D00-000001000000}" name="ردیف" dataDxfId="15"/>
    <tableColumn id="2" xr3:uid="{00000000-0010-0000-0D00-000002000000}" name="نام سیستم" dataDxfId="14" dataCellStyle="Normal 2"/>
    <tableColumn id="3" xr3:uid="{00000000-0010-0000-0D00-000003000000}" name="کد سیستم" dataDxfId="13" dataCellStyle="Normal 2"/>
    <tableColumn id="4" xr3:uid="{00000000-0010-0000-0D00-000004000000}" name="نوع کار" dataDxfId="12"/>
    <tableColumn id="5" xr3:uid="{00000000-0010-0000-0D00-000005000000}" name="نام کارشناس دفتر فنی" dataDxfId="11"/>
    <tableColumn id="6" xr3:uid="{00000000-0010-0000-0D00-000006000000}" name="سمت کارشناس دفتر فنی" dataDxfId="10"/>
    <tableColumn id="7" xr3:uid="{00000000-0010-0000-0D00-000007000000}" name="نام شخص کارشناس نظارت" dataDxfId="9"/>
    <tableColumn id="8" xr3:uid="{00000000-0010-0000-0D00-000008000000}" name="سمت کارشناس نظارت" dataDxfId="8"/>
    <tableColumn id="9" xr3:uid="{00000000-0010-0000-0D00-000009000000}" name="Is in Systems Sheet : 1 ~ 'Yes'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29" t="s">
        <v>4095</v>
      </c>
      <c r="F1" s="29" t="s">
        <v>4093</v>
      </c>
      <c r="G1" s="30" t="s">
        <v>4096</v>
      </c>
      <c r="H1" s="30" t="s">
        <v>4094</v>
      </c>
      <c r="I1" s="31" t="s">
        <v>4098</v>
      </c>
      <c r="J1" s="31" t="s">
        <v>4097</v>
      </c>
      <c r="K1" s="32" t="s">
        <v>4100</v>
      </c>
      <c r="L1" s="32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2510</v>
      </c>
      <c r="C490" s="33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61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5" t="s">
        <v>4</v>
      </c>
      <c r="B2" s="35" t="s">
        <v>5</v>
      </c>
      <c r="C2" s="35" t="s">
        <v>6</v>
      </c>
      <c r="D2" s="35" t="s">
        <v>7</v>
      </c>
      <c r="E2"/>
    </row>
    <row r="3" spans="1:5" x14ac:dyDescent="0.25">
      <c r="A3" s="35" t="s">
        <v>8</v>
      </c>
      <c r="B3" s="35" t="s">
        <v>9</v>
      </c>
      <c r="C3" s="35" t="s">
        <v>10</v>
      </c>
      <c r="D3" s="35" t="s">
        <v>11</v>
      </c>
      <c r="E3"/>
    </row>
    <row r="4" spans="1:5" x14ac:dyDescent="0.25">
      <c r="A4" s="35" t="s">
        <v>12</v>
      </c>
      <c r="B4" s="35" t="s">
        <v>13</v>
      </c>
      <c r="C4" s="35" t="s">
        <v>14</v>
      </c>
      <c r="D4" s="35" t="s">
        <v>15</v>
      </c>
      <c r="E4"/>
    </row>
    <row r="5" spans="1:5" x14ac:dyDescent="0.25">
      <c r="A5" s="35" t="s">
        <v>16</v>
      </c>
      <c r="B5" s="35" t="s">
        <v>17</v>
      </c>
      <c r="C5" s="35" t="s">
        <v>18</v>
      </c>
      <c r="D5" s="35" t="s">
        <v>19</v>
      </c>
      <c r="E5"/>
    </row>
    <row r="6" spans="1:5" x14ac:dyDescent="0.25">
      <c r="A6" s="35" t="s">
        <v>20</v>
      </c>
      <c r="B6" s="35" t="s">
        <v>21</v>
      </c>
      <c r="C6" s="35" t="s">
        <v>22</v>
      </c>
      <c r="D6" s="35" t="s">
        <v>23</v>
      </c>
      <c r="E6"/>
    </row>
    <row r="7" spans="1:5" x14ac:dyDescent="0.25">
      <c r="A7" s="35" t="s">
        <v>24</v>
      </c>
      <c r="B7" s="35" t="s">
        <v>25</v>
      </c>
      <c r="C7" s="35" t="s">
        <v>26</v>
      </c>
      <c r="D7" s="35" t="s">
        <v>27</v>
      </c>
      <c r="E7"/>
    </row>
    <row r="8" spans="1:5" x14ac:dyDescent="0.25">
      <c r="A8" s="35" t="s">
        <v>29</v>
      </c>
      <c r="B8" s="35" t="s">
        <v>30</v>
      </c>
      <c r="C8" s="35" t="s">
        <v>31</v>
      </c>
      <c r="D8" s="35" t="s">
        <v>32</v>
      </c>
      <c r="E8"/>
    </row>
    <row r="9" spans="1:5" x14ac:dyDescent="0.25">
      <c r="A9" s="35" t="s">
        <v>33</v>
      </c>
      <c r="B9" s="35" t="s">
        <v>34</v>
      </c>
      <c r="C9" s="35" t="s">
        <v>35</v>
      </c>
      <c r="D9" s="35" t="s">
        <v>36</v>
      </c>
      <c r="E9"/>
    </row>
    <row r="10" spans="1:5" x14ac:dyDescent="0.25">
      <c r="A10" s="35" t="s">
        <v>38</v>
      </c>
      <c r="B10" s="35" t="s">
        <v>39</v>
      </c>
      <c r="C10" s="35" t="s">
        <v>40</v>
      </c>
      <c r="D10" s="35" t="s">
        <v>41</v>
      </c>
      <c r="E10"/>
    </row>
    <row r="11" spans="1:5" x14ac:dyDescent="0.25">
      <c r="A11" s="35" t="s">
        <v>42</v>
      </c>
      <c r="B11" s="35" t="s">
        <v>43</v>
      </c>
      <c r="C11" s="35" t="s">
        <v>44</v>
      </c>
      <c r="D11" s="35" t="s">
        <v>45</v>
      </c>
      <c r="E11"/>
    </row>
    <row r="12" spans="1:5" x14ac:dyDescent="0.25">
      <c r="A12" s="35" t="s">
        <v>46</v>
      </c>
      <c r="B12" s="35" t="s">
        <v>47</v>
      </c>
      <c r="C12" s="35" t="s">
        <v>4030</v>
      </c>
      <c r="D12" s="35" t="s">
        <v>48</v>
      </c>
      <c r="E12"/>
    </row>
    <row r="13" spans="1:5" x14ac:dyDescent="0.25">
      <c r="A13" s="35" t="s">
        <v>49</v>
      </c>
      <c r="B13" s="35" t="s">
        <v>50</v>
      </c>
      <c r="C13" s="35" t="s">
        <v>37</v>
      </c>
      <c r="D13" s="35" t="s">
        <v>51</v>
      </c>
      <c r="E13"/>
    </row>
    <row r="14" spans="1:5" x14ac:dyDescent="0.25">
      <c r="A14" s="35" t="s">
        <v>54</v>
      </c>
      <c r="B14" s="35" t="s">
        <v>55</v>
      </c>
      <c r="C14" s="35" t="s">
        <v>44</v>
      </c>
      <c r="D14" s="35" t="s">
        <v>56</v>
      </c>
      <c r="E14"/>
    </row>
    <row r="15" spans="1:5" x14ac:dyDescent="0.25">
      <c r="A15" s="35" t="s">
        <v>57</v>
      </c>
      <c r="B15" s="35" t="s">
        <v>58</v>
      </c>
      <c r="C15" s="35" t="s">
        <v>44</v>
      </c>
      <c r="D15" s="35" t="s">
        <v>59</v>
      </c>
      <c r="E15"/>
    </row>
    <row r="16" spans="1:5" x14ac:dyDescent="0.25">
      <c r="A16" s="35" t="s">
        <v>60</v>
      </c>
      <c r="B16" s="35" t="s">
        <v>61</v>
      </c>
      <c r="C16" s="35" t="s">
        <v>62</v>
      </c>
      <c r="D16" s="35" t="s">
        <v>63</v>
      </c>
      <c r="E16"/>
    </row>
    <row r="17" spans="1:5" x14ac:dyDescent="0.25">
      <c r="A17" s="35" t="s">
        <v>64</v>
      </c>
      <c r="B17" s="35" t="s">
        <v>65</v>
      </c>
      <c r="C17" s="35" t="s">
        <v>44</v>
      </c>
      <c r="D17" s="35" t="s">
        <v>66</v>
      </c>
      <c r="E17"/>
    </row>
    <row r="18" spans="1:5" x14ac:dyDescent="0.25">
      <c r="A18" s="35" t="s">
        <v>67</v>
      </c>
      <c r="B18" s="35" t="s">
        <v>68</v>
      </c>
      <c r="C18" s="35" t="s">
        <v>69</v>
      </c>
      <c r="D18" s="35" t="s">
        <v>70</v>
      </c>
      <c r="E18"/>
    </row>
    <row r="19" spans="1:5" x14ac:dyDescent="0.25">
      <c r="A19" s="35" t="s">
        <v>67</v>
      </c>
      <c r="B19" s="35" t="s">
        <v>68</v>
      </c>
      <c r="C19" s="35" t="s">
        <v>4031</v>
      </c>
      <c r="D19" s="35" t="s">
        <v>71</v>
      </c>
      <c r="E19"/>
    </row>
    <row r="20" spans="1:5" x14ac:dyDescent="0.25">
      <c r="A20" s="35" t="s">
        <v>72</v>
      </c>
      <c r="B20" s="35" t="s">
        <v>73</v>
      </c>
      <c r="C20" s="35" t="s">
        <v>74</v>
      </c>
      <c r="D20" s="35" t="s">
        <v>75</v>
      </c>
      <c r="E20"/>
    </row>
    <row r="21" spans="1:5" x14ac:dyDescent="0.25">
      <c r="A21" s="35" t="s">
        <v>76</v>
      </c>
      <c r="B21" s="35" t="s">
        <v>77</v>
      </c>
      <c r="C21" s="35" t="s">
        <v>78</v>
      </c>
      <c r="D21" s="35" t="s">
        <v>79</v>
      </c>
      <c r="E21"/>
    </row>
    <row r="22" spans="1:5" x14ac:dyDescent="0.25">
      <c r="A22" s="35" t="s">
        <v>82</v>
      </c>
      <c r="B22" s="35" t="s">
        <v>83</v>
      </c>
      <c r="C22" s="35" t="s">
        <v>3820</v>
      </c>
      <c r="D22" s="35" t="s">
        <v>84</v>
      </c>
      <c r="E22"/>
    </row>
    <row r="23" spans="1:5" x14ac:dyDescent="0.25">
      <c r="A23" s="35" t="s">
        <v>85</v>
      </c>
      <c r="B23" s="35" t="s">
        <v>86</v>
      </c>
      <c r="C23" s="35" t="s">
        <v>87</v>
      </c>
      <c r="D23" s="35" t="s">
        <v>88</v>
      </c>
      <c r="E23"/>
    </row>
    <row r="24" spans="1:5" x14ac:dyDescent="0.25">
      <c r="A24" s="35" t="s">
        <v>4110</v>
      </c>
      <c r="B24" s="35" t="s">
        <v>4111</v>
      </c>
      <c r="C24" s="35" t="s">
        <v>391</v>
      </c>
      <c r="D24" s="35" t="s">
        <v>392</v>
      </c>
      <c r="E24"/>
    </row>
    <row r="25" spans="1:5" x14ac:dyDescent="0.25">
      <c r="A25" s="35" t="s">
        <v>89</v>
      </c>
      <c r="B25" s="35" t="s">
        <v>90</v>
      </c>
      <c r="C25" s="35" t="s">
        <v>91</v>
      </c>
      <c r="D25" s="35" t="s">
        <v>92</v>
      </c>
      <c r="E25"/>
    </row>
    <row r="26" spans="1:5" x14ac:dyDescent="0.25">
      <c r="A26" s="35" t="s">
        <v>93</v>
      </c>
      <c r="B26" s="35" t="s">
        <v>94</v>
      </c>
      <c r="C26" s="35" t="s">
        <v>95</v>
      </c>
      <c r="D26" s="35" t="s">
        <v>96</v>
      </c>
      <c r="E26"/>
    </row>
    <row r="27" spans="1:5" x14ac:dyDescent="0.25">
      <c r="A27" s="35" t="s">
        <v>97</v>
      </c>
      <c r="B27" s="35" t="s">
        <v>98</v>
      </c>
      <c r="C27" s="35" t="s">
        <v>4127</v>
      </c>
      <c r="D27" s="35" t="s">
        <v>99</v>
      </c>
      <c r="E27"/>
    </row>
    <row r="28" spans="1:5" x14ac:dyDescent="0.25">
      <c r="A28" s="35" t="s">
        <v>100</v>
      </c>
      <c r="B28" s="35" t="s">
        <v>101</v>
      </c>
      <c r="C28" s="35" t="s">
        <v>91</v>
      </c>
      <c r="D28" s="35" t="s">
        <v>102</v>
      </c>
      <c r="E28"/>
    </row>
    <row r="29" spans="1:5" x14ac:dyDescent="0.25">
      <c r="A29" s="35" t="s">
        <v>103</v>
      </c>
      <c r="B29" s="35" t="s">
        <v>104</v>
      </c>
      <c r="C29" s="35" t="s">
        <v>105</v>
      </c>
      <c r="D29" s="35" t="s">
        <v>106</v>
      </c>
      <c r="E29"/>
    </row>
    <row r="30" spans="1:5" x14ac:dyDescent="0.25">
      <c r="A30" s="35" t="s">
        <v>107</v>
      </c>
      <c r="B30" s="35" t="s">
        <v>108</v>
      </c>
      <c r="C30" s="35" t="s">
        <v>3821</v>
      </c>
      <c r="D30" s="35" t="s">
        <v>109</v>
      </c>
      <c r="E30"/>
    </row>
    <row r="31" spans="1:5" x14ac:dyDescent="0.25">
      <c r="A31" s="35" t="s">
        <v>110</v>
      </c>
      <c r="B31" s="35" t="s">
        <v>111</v>
      </c>
      <c r="C31" s="35" t="s">
        <v>112</v>
      </c>
      <c r="D31" s="35" t="s">
        <v>113</v>
      </c>
      <c r="E31"/>
    </row>
    <row r="32" spans="1:5" x14ac:dyDescent="0.25">
      <c r="A32" s="35" t="s">
        <v>114</v>
      </c>
      <c r="B32" s="35" t="s">
        <v>115</v>
      </c>
      <c r="C32" s="35" t="s">
        <v>116</v>
      </c>
      <c r="D32" s="35" t="s">
        <v>117</v>
      </c>
      <c r="E32"/>
    </row>
    <row r="33" spans="1:5" x14ac:dyDescent="0.25">
      <c r="A33" s="35" t="s">
        <v>118</v>
      </c>
      <c r="B33" s="35" t="s">
        <v>119</v>
      </c>
      <c r="C33" s="35" t="s">
        <v>40</v>
      </c>
      <c r="D33" s="35" t="s">
        <v>120</v>
      </c>
      <c r="E33"/>
    </row>
    <row r="34" spans="1:5" x14ac:dyDescent="0.25">
      <c r="A34" s="35" t="s">
        <v>121</v>
      </c>
      <c r="B34" s="35" t="s">
        <v>122</v>
      </c>
      <c r="C34" s="35" t="s">
        <v>95</v>
      </c>
      <c r="D34" s="35" t="s">
        <v>123</v>
      </c>
      <c r="E34"/>
    </row>
    <row r="35" spans="1:5" x14ac:dyDescent="0.25">
      <c r="A35" s="35" t="s">
        <v>124</v>
      </c>
      <c r="B35" s="35" t="s">
        <v>125</v>
      </c>
      <c r="C35" s="35" t="s">
        <v>126</v>
      </c>
      <c r="D35" s="35" t="s">
        <v>127</v>
      </c>
      <c r="E35"/>
    </row>
    <row r="36" spans="1:5" x14ac:dyDescent="0.25">
      <c r="A36" s="35" t="s">
        <v>128</v>
      </c>
      <c r="B36" s="35" t="s">
        <v>129</v>
      </c>
      <c r="C36" s="35" t="s">
        <v>130</v>
      </c>
      <c r="D36" s="35" t="s">
        <v>131</v>
      </c>
      <c r="E36"/>
    </row>
    <row r="37" spans="1:5" x14ac:dyDescent="0.25">
      <c r="A37" s="35" t="s">
        <v>132</v>
      </c>
      <c r="B37" s="35" t="s">
        <v>133</v>
      </c>
      <c r="C37" s="35" t="s">
        <v>134</v>
      </c>
      <c r="D37" s="35" t="s">
        <v>135</v>
      </c>
      <c r="E37"/>
    </row>
    <row r="38" spans="1:5" x14ac:dyDescent="0.25">
      <c r="A38" s="35" t="s">
        <v>136</v>
      </c>
      <c r="B38" s="35" t="s">
        <v>137</v>
      </c>
      <c r="C38" s="35" t="s">
        <v>6</v>
      </c>
      <c r="D38" s="35" t="s">
        <v>138</v>
      </c>
      <c r="E38"/>
    </row>
    <row r="39" spans="1:5" x14ac:dyDescent="0.25">
      <c r="A39" s="35" t="s">
        <v>139</v>
      </c>
      <c r="B39" s="35" t="s">
        <v>140</v>
      </c>
      <c r="C39" s="35" t="s">
        <v>4053</v>
      </c>
      <c r="D39" s="35" t="s">
        <v>141</v>
      </c>
      <c r="E39"/>
    </row>
    <row r="40" spans="1:5" x14ac:dyDescent="0.25">
      <c r="A40" s="35" t="s">
        <v>143</v>
      </c>
      <c r="B40" s="35" t="s">
        <v>144</v>
      </c>
      <c r="C40" s="35" t="s">
        <v>145</v>
      </c>
      <c r="D40" s="35" t="s">
        <v>146</v>
      </c>
      <c r="E40"/>
    </row>
    <row r="41" spans="1:5" x14ac:dyDescent="0.25">
      <c r="A41" s="35" t="s">
        <v>147</v>
      </c>
      <c r="B41" s="35" t="s">
        <v>148</v>
      </c>
      <c r="C41" s="35" t="s">
        <v>4054</v>
      </c>
      <c r="D41" s="35" t="s">
        <v>149</v>
      </c>
      <c r="E41"/>
    </row>
    <row r="42" spans="1:5" x14ac:dyDescent="0.25">
      <c r="A42" s="35" t="s">
        <v>150</v>
      </c>
      <c r="B42" s="35" t="s">
        <v>151</v>
      </c>
      <c r="C42" s="35" t="s">
        <v>4128</v>
      </c>
      <c r="D42" s="35" t="s">
        <v>152</v>
      </c>
      <c r="E42"/>
    </row>
    <row r="43" spans="1:5" x14ac:dyDescent="0.25">
      <c r="A43" s="35" t="s">
        <v>153</v>
      </c>
      <c r="B43" s="35" t="s">
        <v>154</v>
      </c>
      <c r="C43" s="35" t="s">
        <v>4129</v>
      </c>
      <c r="D43" s="35" t="s">
        <v>155</v>
      </c>
      <c r="E43"/>
    </row>
    <row r="44" spans="1:5" x14ac:dyDescent="0.25">
      <c r="A44" s="35" t="s">
        <v>156</v>
      </c>
      <c r="B44" s="35" t="s">
        <v>157</v>
      </c>
      <c r="C44" s="35" t="s">
        <v>87</v>
      </c>
      <c r="D44" s="35" t="s">
        <v>158</v>
      </c>
      <c r="E44"/>
    </row>
    <row r="45" spans="1:5" x14ac:dyDescent="0.25">
      <c r="A45" s="35" t="s">
        <v>159</v>
      </c>
      <c r="B45" s="35" t="s">
        <v>160</v>
      </c>
      <c r="C45" s="35" t="s">
        <v>161</v>
      </c>
      <c r="D45" s="35" t="s">
        <v>162</v>
      </c>
      <c r="E45"/>
    </row>
    <row r="46" spans="1:5" x14ac:dyDescent="0.25">
      <c r="A46" s="35" t="s">
        <v>164</v>
      </c>
      <c r="B46" s="35" t="s">
        <v>165</v>
      </c>
      <c r="C46" s="35" t="s">
        <v>166</v>
      </c>
      <c r="D46" s="35" t="s">
        <v>167</v>
      </c>
      <c r="E46"/>
    </row>
    <row r="47" spans="1:5" x14ac:dyDescent="0.25">
      <c r="A47" s="35" t="s">
        <v>168</v>
      </c>
      <c r="B47" s="35" t="s">
        <v>169</v>
      </c>
      <c r="C47" s="35" t="s">
        <v>44</v>
      </c>
      <c r="D47" s="35" t="s">
        <v>170</v>
      </c>
      <c r="E47"/>
    </row>
    <row r="48" spans="1:5" x14ac:dyDescent="0.25">
      <c r="A48" s="35" t="s">
        <v>171</v>
      </c>
      <c r="B48" s="35" t="s">
        <v>172</v>
      </c>
      <c r="C48" s="35" t="s">
        <v>3823</v>
      </c>
      <c r="D48" s="35" t="s">
        <v>173</v>
      </c>
      <c r="E48"/>
    </row>
    <row r="49" spans="1:5" x14ac:dyDescent="0.25">
      <c r="A49" s="35" t="s">
        <v>174</v>
      </c>
      <c r="B49" s="35" t="s">
        <v>175</v>
      </c>
      <c r="C49" s="35" t="s">
        <v>176</v>
      </c>
      <c r="D49" s="35" t="s">
        <v>177</v>
      </c>
      <c r="E49"/>
    </row>
    <row r="50" spans="1:5" x14ac:dyDescent="0.25">
      <c r="A50" s="35" t="s">
        <v>178</v>
      </c>
      <c r="B50" s="35" t="s">
        <v>179</v>
      </c>
      <c r="C50" s="35" t="s">
        <v>37</v>
      </c>
      <c r="D50" s="35" t="s">
        <v>180</v>
      </c>
      <c r="E50"/>
    </row>
    <row r="51" spans="1:5" x14ac:dyDescent="0.25">
      <c r="A51" s="35" t="s">
        <v>181</v>
      </c>
      <c r="B51" s="35" t="s">
        <v>182</v>
      </c>
      <c r="C51" s="35" t="s">
        <v>183</v>
      </c>
      <c r="D51" s="35" t="s">
        <v>184</v>
      </c>
      <c r="E51"/>
    </row>
    <row r="52" spans="1:5" x14ac:dyDescent="0.25">
      <c r="A52" s="35" t="s">
        <v>185</v>
      </c>
      <c r="B52" s="35" t="s">
        <v>186</v>
      </c>
      <c r="C52" s="35" t="s">
        <v>187</v>
      </c>
      <c r="D52" s="35" t="s">
        <v>188</v>
      </c>
      <c r="E52"/>
    </row>
    <row r="53" spans="1:5" x14ac:dyDescent="0.25">
      <c r="A53" s="35" t="s">
        <v>189</v>
      </c>
      <c r="B53" s="35" t="s">
        <v>190</v>
      </c>
      <c r="C53" s="35" t="s">
        <v>166</v>
      </c>
      <c r="D53" s="35" t="s">
        <v>191</v>
      </c>
      <c r="E53"/>
    </row>
    <row r="54" spans="1:5" x14ac:dyDescent="0.25">
      <c r="A54" s="35" t="s">
        <v>189</v>
      </c>
      <c r="B54" s="35" t="s">
        <v>190</v>
      </c>
      <c r="C54" s="35" t="s">
        <v>37</v>
      </c>
      <c r="D54" s="35" t="s">
        <v>192</v>
      </c>
      <c r="E54"/>
    </row>
    <row r="55" spans="1:5" x14ac:dyDescent="0.25">
      <c r="A55" s="35" t="s">
        <v>194</v>
      </c>
      <c r="B55" s="35" t="s">
        <v>195</v>
      </c>
      <c r="C55" s="35" t="s">
        <v>44</v>
      </c>
      <c r="D55" s="35" t="s">
        <v>196</v>
      </c>
      <c r="E55"/>
    </row>
    <row r="56" spans="1:5" x14ac:dyDescent="0.25">
      <c r="A56" s="35" t="s">
        <v>197</v>
      </c>
      <c r="B56" s="35" t="s">
        <v>198</v>
      </c>
      <c r="C56" s="35" t="s">
        <v>95</v>
      </c>
      <c r="D56" s="35" t="s">
        <v>199</v>
      </c>
      <c r="E56"/>
    </row>
    <row r="57" spans="1:5" x14ac:dyDescent="0.25">
      <c r="A57" s="35" t="s">
        <v>197</v>
      </c>
      <c r="B57" s="35" t="s">
        <v>198</v>
      </c>
      <c r="C57" s="35" t="s">
        <v>6</v>
      </c>
      <c r="D57" s="35" t="s">
        <v>200</v>
      </c>
      <c r="E57"/>
    </row>
    <row r="58" spans="1:5" x14ac:dyDescent="0.25">
      <c r="A58" s="35" t="s">
        <v>197</v>
      </c>
      <c r="B58" s="35" t="s">
        <v>198</v>
      </c>
      <c r="C58" s="35" t="s">
        <v>4130</v>
      </c>
      <c r="D58" s="35" t="s">
        <v>201</v>
      </c>
      <c r="E58"/>
    </row>
    <row r="59" spans="1:5" x14ac:dyDescent="0.25">
      <c r="A59" s="35" t="s">
        <v>202</v>
      </c>
      <c r="B59" s="35" t="s">
        <v>203</v>
      </c>
      <c r="C59" s="35" t="s">
        <v>6</v>
      </c>
      <c r="D59" s="35" t="s">
        <v>204</v>
      </c>
      <c r="E59"/>
    </row>
    <row r="60" spans="1:5" x14ac:dyDescent="0.25">
      <c r="A60" s="35" t="s">
        <v>205</v>
      </c>
      <c r="B60" s="35" t="s">
        <v>206</v>
      </c>
      <c r="C60" s="35" t="s">
        <v>4131</v>
      </c>
      <c r="D60" s="35" t="s">
        <v>207</v>
      </c>
      <c r="E60"/>
    </row>
    <row r="61" spans="1:5" x14ac:dyDescent="0.25">
      <c r="A61" s="35" t="s">
        <v>4101</v>
      </c>
      <c r="B61" s="35" t="s">
        <v>4102</v>
      </c>
      <c r="C61" s="35" t="s">
        <v>542</v>
      </c>
      <c r="D61" s="35" t="s">
        <v>543</v>
      </c>
      <c r="E61"/>
    </row>
    <row r="62" spans="1:5" x14ac:dyDescent="0.25">
      <c r="A62" s="35" t="s">
        <v>208</v>
      </c>
      <c r="B62" s="35" t="s">
        <v>209</v>
      </c>
      <c r="C62" s="35" t="s">
        <v>44</v>
      </c>
      <c r="D62" s="35" t="s">
        <v>210</v>
      </c>
      <c r="E62"/>
    </row>
    <row r="63" spans="1:5" x14ac:dyDescent="0.25">
      <c r="A63" s="35" t="s">
        <v>211</v>
      </c>
      <c r="B63" s="35" t="s">
        <v>212</v>
      </c>
      <c r="C63" s="35" t="s">
        <v>4032</v>
      </c>
      <c r="D63" s="35" t="s">
        <v>213</v>
      </c>
      <c r="E63"/>
    </row>
    <row r="64" spans="1:5" x14ac:dyDescent="0.25">
      <c r="A64" s="35" t="s">
        <v>214</v>
      </c>
      <c r="B64" s="35" t="s">
        <v>215</v>
      </c>
      <c r="C64" s="35" t="s">
        <v>4055</v>
      </c>
      <c r="D64" s="35" t="s">
        <v>216</v>
      </c>
      <c r="E64"/>
    </row>
    <row r="65" spans="1:5" x14ac:dyDescent="0.25">
      <c r="A65" s="35" t="s">
        <v>217</v>
      </c>
      <c r="B65" s="35" t="s">
        <v>218</v>
      </c>
      <c r="C65" s="35" t="s">
        <v>3823</v>
      </c>
      <c r="D65" s="35" t="s">
        <v>219</v>
      </c>
      <c r="E65"/>
    </row>
    <row r="66" spans="1:5" x14ac:dyDescent="0.25">
      <c r="A66" s="35" t="s">
        <v>220</v>
      </c>
      <c r="B66" s="35" t="s">
        <v>221</v>
      </c>
      <c r="C66" s="35" t="s">
        <v>44</v>
      </c>
      <c r="D66" s="35" t="s">
        <v>222</v>
      </c>
      <c r="E66"/>
    </row>
    <row r="67" spans="1:5" x14ac:dyDescent="0.25">
      <c r="A67" s="35" t="s">
        <v>223</v>
      </c>
      <c r="B67" s="35" t="s">
        <v>224</v>
      </c>
      <c r="C67" s="35" t="s">
        <v>225</v>
      </c>
      <c r="D67" s="35" t="s">
        <v>226</v>
      </c>
      <c r="E67"/>
    </row>
    <row r="68" spans="1:5" x14ac:dyDescent="0.25">
      <c r="A68" s="35" t="s">
        <v>227</v>
      </c>
      <c r="B68" s="35" t="s">
        <v>228</v>
      </c>
      <c r="C68" s="35" t="s">
        <v>44</v>
      </c>
      <c r="D68" s="35" t="s">
        <v>229</v>
      </c>
      <c r="E68"/>
    </row>
    <row r="69" spans="1:5" x14ac:dyDescent="0.25">
      <c r="A69" s="35" t="s">
        <v>230</v>
      </c>
      <c r="B69" s="35" t="s">
        <v>231</v>
      </c>
      <c r="C69" s="35" t="s">
        <v>3824</v>
      </c>
      <c r="D69" s="35" t="s">
        <v>232</v>
      </c>
      <c r="E69"/>
    </row>
    <row r="70" spans="1:5" x14ac:dyDescent="0.25">
      <c r="A70" s="35" t="s">
        <v>233</v>
      </c>
      <c r="B70" s="35" t="s">
        <v>234</v>
      </c>
      <c r="C70" s="35" t="s">
        <v>44</v>
      </c>
      <c r="D70" s="35" t="s">
        <v>235</v>
      </c>
      <c r="E70"/>
    </row>
    <row r="71" spans="1:5" x14ac:dyDescent="0.25">
      <c r="A71" s="35" t="s">
        <v>236</v>
      </c>
      <c r="B71" s="35" t="s">
        <v>237</v>
      </c>
      <c r="C71" s="35" t="s">
        <v>44</v>
      </c>
      <c r="D71" s="35" t="s">
        <v>238</v>
      </c>
      <c r="E71"/>
    </row>
    <row r="72" spans="1:5" x14ac:dyDescent="0.25">
      <c r="A72" s="35" t="s">
        <v>239</v>
      </c>
      <c r="B72" s="35" t="s">
        <v>240</v>
      </c>
      <c r="C72" s="35" t="s">
        <v>3825</v>
      </c>
      <c r="D72" s="35" t="s">
        <v>241</v>
      </c>
      <c r="E72"/>
    </row>
    <row r="73" spans="1:5" x14ac:dyDescent="0.25">
      <c r="A73" s="35" t="s">
        <v>242</v>
      </c>
      <c r="B73" s="35" t="s">
        <v>243</v>
      </c>
      <c r="C73" s="35" t="s">
        <v>4033</v>
      </c>
      <c r="D73" s="35" t="s">
        <v>244</v>
      </c>
      <c r="E73"/>
    </row>
    <row r="74" spans="1:5" x14ac:dyDescent="0.25">
      <c r="A74" s="35" t="s">
        <v>245</v>
      </c>
      <c r="B74" s="35" t="s">
        <v>246</v>
      </c>
      <c r="C74" s="35" t="s">
        <v>4132</v>
      </c>
      <c r="D74" s="35" t="s">
        <v>247</v>
      </c>
      <c r="E74"/>
    </row>
    <row r="75" spans="1:5" x14ac:dyDescent="0.25">
      <c r="A75" s="35" t="s">
        <v>248</v>
      </c>
      <c r="B75" s="35" t="s">
        <v>249</v>
      </c>
      <c r="C75" s="35" t="s">
        <v>4133</v>
      </c>
      <c r="D75" s="35" t="s">
        <v>1330</v>
      </c>
      <c r="E75"/>
    </row>
    <row r="76" spans="1:5" x14ac:dyDescent="0.25">
      <c r="A76" s="35" t="s">
        <v>251</v>
      </c>
      <c r="B76" s="35" t="s">
        <v>252</v>
      </c>
      <c r="C76" s="35" t="s">
        <v>40</v>
      </c>
      <c r="D76" s="35" t="s">
        <v>253</v>
      </c>
      <c r="E76"/>
    </row>
    <row r="77" spans="1:5" x14ac:dyDescent="0.25">
      <c r="A77" s="35" t="s">
        <v>255</v>
      </c>
      <c r="B77" s="35" t="s">
        <v>256</v>
      </c>
      <c r="C77" s="35" t="s">
        <v>6</v>
      </c>
      <c r="D77" s="35" t="s">
        <v>257</v>
      </c>
      <c r="E77"/>
    </row>
    <row r="78" spans="1:5" x14ac:dyDescent="0.25">
      <c r="A78" s="35" t="s">
        <v>258</v>
      </c>
      <c r="B78" s="35" t="s">
        <v>259</v>
      </c>
      <c r="C78" s="35" t="s">
        <v>341</v>
      </c>
      <c r="D78" s="35" t="s">
        <v>342</v>
      </c>
      <c r="E78"/>
    </row>
    <row r="79" spans="1:5" x14ac:dyDescent="0.25">
      <c r="A79" s="35" t="s">
        <v>3826</v>
      </c>
      <c r="B79" s="35" t="s">
        <v>3827</v>
      </c>
      <c r="C79" s="35" t="s">
        <v>3828</v>
      </c>
      <c r="D79" s="35" t="s">
        <v>3829</v>
      </c>
      <c r="E79"/>
    </row>
    <row r="80" spans="1:5" x14ac:dyDescent="0.25">
      <c r="A80" s="35" t="s">
        <v>261</v>
      </c>
      <c r="B80" s="35" t="s">
        <v>262</v>
      </c>
      <c r="C80" s="35" t="s">
        <v>3830</v>
      </c>
      <c r="D80" s="35" t="s">
        <v>263</v>
      </c>
      <c r="E80"/>
    </row>
    <row r="81" spans="1:5" x14ac:dyDescent="0.25">
      <c r="A81" s="35" t="s">
        <v>264</v>
      </c>
      <c r="B81" s="35" t="s">
        <v>265</v>
      </c>
      <c r="C81" s="35" t="s">
        <v>266</v>
      </c>
      <c r="D81" s="35" t="s">
        <v>267</v>
      </c>
      <c r="E81"/>
    </row>
    <row r="82" spans="1:5" x14ac:dyDescent="0.25">
      <c r="A82" s="35" t="s">
        <v>268</v>
      </c>
      <c r="B82" s="35" t="s">
        <v>269</v>
      </c>
      <c r="C82" s="35" t="s">
        <v>112</v>
      </c>
      <c r="D82" s="35" t="s">
        <v>270</v>
      </c>
      <c r="E82"/>
    </row>
    <row r="83" spans="1:5" x14ac:dyDescent="0.25">
      <c r="A83" s="35" t="s">
        <v>271</v>
      </c>
      <c r="B83" s="35" t="s">
        <v>272</v>
      </c>
      <c r="C83" s="35" t="s">
        <v>273</v>
      </c>
      <c r="D83" s="35" t="s">
        <v>274</v>
      </c>
      <c r="E83"/>
    </row>
    <row r="84" spans="1:5" x14ac:dyDescent="0.25">
      <c r="A84" s="35" t="s">
        <v>4081</v>
      </c>
      <c r="B84" s="35" t="s">
        <v>4082</v>
      </c>
      <c r="C84" s="35" t="s">
        <v>4081</v>
      </c>
      <c r="D84" s="35" t="s">
        <v>4083</v>
      </c>
      <c r="E84"/>
    </row>
    <row r="85" spans="1:5" x14ac:dyDescent="0.25">
      <c r="A85" s="35" t="s">
        <v>275</v>
      </c>
      <c r="B85" s="35" t="s">
        <v>276</v>
      </c>
      <c r="C85" s="35" t="s">
        <v>95</v>
      </c>
      <c r="D85" s="35" t="s">
        <v>277</v>
      </c>
      <c r="E85"/>
    </row>
    <row r="86" spans="1:5" x14ac:dyDescent="0.25">
      <c r="A86" s="35" t="s">
        <v>278</v>
      </c>
      <c r="B86" s="35" t="s">
        <v>279</v>
      </c>
      <c r="C86" s="35" t="s">
        <v>91</v>
      </c>
      <c r="D86" s="35" t="s">
        <v>280</v>
      </c>
      <c r="E86"/>
    </row>
    <row r="87" spans="1:5" x14ac:dyDescent="0.25">
      <c r="A87" s="35" t="s">
        <v>281</v>
      </c>
      <c r="B87" s="35" t="s">
        <v>282</v>
      </c>
      <c r="C87" s="35" t="s">
        <v>283</v>
      </c>
      <c r="D87" s="35" t="s">
        <v>284</v>
      </c>
      <c r="E87"/>
    </row>
    <row r="88" spans="1:5" x14ac:dyDescent="0.25">
      <c r="A88" s="35" t="s">
        <v>285</v>
      </c>
      <c r="B88" s="35" t="s">
        <v>286</v>
      </c>
      <c r="C88" s="35" t="s">
        <v>4199</v>
      </c>
      <c r="D88" s="35" t="s">
        <v>650</v>
      </c>
      <c r="E88"/>
    </row>
    <row r="89" spans="1:5" x14ac:dyDescent="0.25">
      <c r="A89" s="35" t="s">
        <v>285</v>
      </c>
      <c r="B89" s="35" t="s">
        <v>286</v>
      </c>
      <c r="C89" s="35" t="s">
        <v>287</v>
      </c>
      <c r="D89" s="35" t="s">
        <v>288</v>
      </c>
      <c r="E89"/>
    </row>
    <row r="90" spans="1:5" x14ac:dyDescent="0.25">
      <c r="A90" s="35" t="s">
        <v>289</v>
      </c>
      <c r="B90" s="35" t="s">
        <v>290</v>
      </c>
      <c r="C90" s="35" t="s">
        <v>105</v>
      </c>
      <c r="D90" s="35" t="s">
        <v>291</v>
      </c>
      <c r="E90"/>
    </row>
    <row r="91" spans="1:5" x14ac:dyDescent="0.25">
      <c r="A91" s="35" t="s">
        <v>292</v>
      </c>
      <c r="B91" s="35" t="s">
        <v>293</v>
      </c>
      <c r="C91" s="35" t="s">
        <v>4200</v>
      </c>
      <c r="D91" s="35" t="s">
        <v>294</v>
      </c>
      <c r="E91"/>
    </row>
    <row r="92" spans="1:5" x14ac:dyDescent="0.25">
      <c r="A92" s="35" t="s">
        <v>295</v>
      </c>
      <c r="B92" s="35" t="s">
        <v>296</v>
      </c>
      <c r="C92" s="35" t="s">
        <v>297</v>
      </c>
      <c r="D92" s="35" t="s">
        <v>298</v>
      </c>
      <c r="E92"/>
    </row>
    <row r="93" spans="1:5" x14ac:dyDescent="0.25">
      <c r="A93" s="35" t="s">
        <v>3831</v>
      </c>
      <c r="B93" s="35" t="s">
        <v>299</v>
      </c>
      <c r="C93" s="35" t="s">
        <v>300</v>
      </c>
      <c r="D93" s="35" t="s">
        <v>301</v>
      </c>
      <c r="E93"/>
    </row>
    <row r="94" spans="1:5" x14ac:dyDescent="0.25">
      <c r="A94" s="35" t="s">
        <v>302</v>
      </c>
      <c r="B94" s="35" t="s">
        <v>303</v>
      </c>
      <c r="C94" s="35" t="s">
        <v>3822</v>
      </c>
      <c r="D94" s="35" t="s">
        <v>142</v>
      </c>
      <c r="E94"/>
    </row>
    <row r="95" spans="1:5" x14ac:dyDescent="0.25">
      <c r="A95" s="35" t="s">
        <v>306</v>
      </c>
      <c r="B95" s="35" t="s">
        <v>307</v>
      </c>
      <c r="C95" s="35" t="s">
        <v>193</v>
      </c>
      <c r="D95" s="35" t="s">
        <v>308</v>
      </c>
      <c r="E95"/>
    </row>
    <row r="96" spans="1:5" x14ac:dyDescent="0.25">
      <c r="A96" s="35" t="s">
        <v>309</v>
      </c>
      <c r="B96" s="35" t="s">
        <v>310</v>
      </c>
      <c r="C96" s="35" t="s">
        <v>311</v>
      </c>
      <c r="D96" s="35" t="s">
        <v>312</v>
      </c>
      <c r="E96"/>
    </row>
    <row r="97" spans="1:5" x14ac:dyDescent="0.25">
      <c r="A97" s="35" t="s">
        <v>4103</v>
      </c>
      <c r="B97" s="35" t="s">
        <v>4065</v>
      </c>
      <c r="C97" s="35" t="s">
        <v>4066</v>
      </c>
      <c r="D97" s="35" t="s">
        <v>1336</v>
      </c>
      <c r="E97"/>
    </row>
    <row r="98" spans="1:5" x14ac:dyDescent="0.25">
      <c r="A98" s="35" t="s">
        <v>313</v>
      </c>
      <c r="B98" s="35" t="s">
        <v>314</v>
      </c>
      <c r="C98" s="35" t="s">
        <v>44</v>
      </c>
      <c r="D98" s="35" t="s">
        <v>315</v>
      </c>
      <c r="E98"/>
    </row>
    <row r="99" spans="1:5" x14ac:dyDescent="0.25">
      <c r="A99" s="35" t="s">
        <v>316</v>
      </c>
      <c r="B99" s="35" t="s">
        <v>317</v>
      </c>
      <c r="C99" s="35" t="s">
        <v>78</v>
      </c>
      <c r="D99" s="35" t="s">
        <v>318</v>
      </c>
      <c r="E99"/>
    </row>
    <row r="100" spans="1:5" x14ac:dyDescent="0.25">
      <c r="A100" s="35" t="s">
        <v>319</v>
      </c>
      <c r="B100" s="35" t="s">
        <v>320</v>
      </c>
      <c r="C100" s="35" t="s">
        <v>6</v>
      </c>
      <c r="D100" s="35" t="s">
        <v>321</v>
      </c>
      <c r="E100"/>
    </row>
    <row r="101" spans="1:5" x14ac:dyDescent="0.25">
      <c r="A101" s="35" t="s">
        <v>322</v>
      </c>
      <c r="B101" s="35" t="s">
        <v>323</v>
      </c>
      <c r="C101" s="35" t="s">
        <v>37</v>
      </c>
      <c r="D101" s="35" t="s">
        <v>324</v>
      </c>
      <c r="E101"/>
    </row>
    <row r="102" spans="1:5" x14ac:dyDescent="0.25">
      <c r="A102" s="35" t="s">
        <v>325</v>
      </c>
      <c r="B102" s="35" t="s">
        <v>326</v>
      </c>
      <c r="C102" s="35" t="s">
        <v>78</v>
      </c>
      <c r="D102" s="35" t="s">
        <v>327</v>
      </c>
      <c r="E102"/>
    </row>
    <row r="103" spans="1:5" x14ac:dyDescent="0.25">
      <c r="A103" s="35" t="s">
        <v>328</v>
      </c>
      <c r="B103" s="35" t="s">
        <v>329</v>
      </c>
      <c r="C103" s="35" t="s">
        <v>4134</v>
      </c>
      <c r="D103" s="35" t="s">
        <v>4135</v>
      </c>
      <c r="E103"/>
    </row>
    <row r="104" spans="1:5" x14ac:dyDescent="0.25">
      <c r="A104" s="35" t="s">
        <v>331</v>
      </c>
      <c r="B104" s="35" t="s">
        <v>332</v>
      </c>
      <c r="C104" s="35" t="s">
        <v>333</v>
      </c>
      <c r="D104" s="35" t="s">
        <v>334</v>
      </c>
      <c r="E104"/>
    </row>
    <row r="105" spans="1:5" x14ac:dyDescent="0.25">
      <c r="A105" s="35" t="s">
        <v>335</v>
      </c>
      <c r="B105" s="35" t="s">
        <v>336</v>
      </c>
      <c r="C105" s="35" t="s">
        <v>337</v>
      </c>
      <c r="D105" s="35" t="s">
        <v>338</v>
      </c>
      <c r="E105"/>
    </row>
    <row r="106" spans="1:5" x14ac:dyDescent="0.25">
      <c r="A106" s="35" t="s">
        <v>339</v>
      </c>
      <c r="B106" s="35" t="s">
        <v>340</v>
      </c>
      <c r="C106" s="35" t="s">
        <v>706</v>
      </c>
      <c r="D106" s="35" t="s">
        <v>707</v>
      </c>
      <c r="E106"/>
    </row>
    <row r="107" spans="1:5" x14ac:dyDescent="0.25">
      <c r="A107" s="35" t="s">
        <v>343</v>
      </c>
      <c r="B107" s="35" t="s">
        <v>344</v>
      </c>
      <c r="C107" s="35" t="s">
        <v>311</v>
      </c>
      <c r="D107" s="35" t="s">
        <v>345</v>
      </c>
      <c r="E107"/>
    </row>
    <row r="108" spans="1:5" x14ac:dyDescent="0.25">
      <c r="A108" s="35" t="s">
        <v>3832</v>
      </c>
      <c r="B108" s="35" t="s">
        <v>3833</v>
      </c>
      <c r="C108" s="35" t="s">
        <v>3824</v>
      </c>
      <c r="D108" s="35" t="s">
        <v>254</v>
      </c>
      <c r="E108"/>
    </row>
    <row r="109" spans="1:5" x14ac:dyDescent="0.25">
      <c r="A109" s="35" t="s">
        <v>4067</v>
      </c>
      <c r="B109" s="35" t="s">
        <v>4068</v>
      </c>
      <c r="C109" s="35" t="s">
        <v>4069</v>
      </c>
      <c r="D109" s="35" t="s">
        <v>4070</v>
      </c>
      <c r="E109"/>
    </row>
    <row r="110" spans="1:5" x14ac:dyDescent="0.25">
      <c r="A110" s="35" t="s">
        <v>347</v>
      </c>
      <c r="B110" s="35" t="s">
        <v>348</v>
      </c>
      <c r="C110" s="35" t="s">
        <v>4057</v>
      </c>
      <c r="D110" s="35" t="s">
        <v>350</v>
      </c>
      <c r="E110"/>
    </row>
    <row r="111" spans="1:5" x14ac:dyDescent="0.25">
      <c r="A111" s="35" t="s">
        <v>347</v>
      </c>
      <c r="B111" s="35" t="s">
        <v>348</v>
      </c>
      <c r="C111" s="35" t="s">
        <v>4112</v>
      </c>
      <c r="D111" s="35" t="s">
        <v>4113</v>
      </c>
      <c r="E111"/>
    </row>
    <row r="112" spans="1:5" x14ac:dyDescent="0.25">
      <c r="A112" s="35" t="s">
        <v>351</v>
      </c>
      <c r="B112" s="35" t="s">
        <v>352</v>
      </c>
      <c r="C112" s="35" t="s">
        <v>4064</v>
      </c>
      <c r="D112" s="35" t="s">
        <v>353</v>
      </c>
      <c r="E112"/>
    </row>
    <row r="113" spans="1:5" x14ac:dyDescent="0.25">
      <c r="A113" s="35" t="s">
        <v>354</v>
      </c>
      <c r="B113" s="35" t="s">
        <v>355</v>
      </c>
      <c r="C113" s="35" t="s">
        <v>95</v>
      </c>
      <c r="D113" s="35" t="s">
        <v>356</v>
      </c>
      <c r="E113"/>
    </row>
    <row r="114" spans="1:5" x14ac:dyDescent="0.25">
      <c r="A114" s="35" t="s">
        <v>357</v>
      </c>
      <c r="B114" s="35" t="s">
        <v>358</v>
      </c>
      <c r="C114" s="35" t="s">
        <v>311</v>
      </c>
      <c r="D114" s="35" t="s">
        <v>359</v>
      </c>
      <c r="E114"/>
    </row>
    <row r="115" spans="1:5" x14ac:dyDescent="0.25">
      <c r="A115" s="35" t="s">
        <v>360</v>
      </c>
      <c r="B115" s="35" t="s">
        <v>361</v>
      </c>
      <c r="C115" s="35" t="s">
        <v>266</v>
      </c>
      <c r="D115" s="35" t="s">
        <v>362</v>
      </c>
      <c r="E115"/>
    </row>
    <row r="116" spans="1:5" x14ac:dyDescent="0.25">
      <c r="A116" s="35" t="s">
        <v>363</v>
      </c>
      <c r="B116" s="35" t="s">
        <v>364</v>
      </c>
      <c r="C116" s="35" t="s">
        <v>4136</v>
      </c>
      <c r="D116" s="35" t="s">
        <v>365</v>
      </c>
      <c r="E116"/>
    </row>
    <row r="117" spans="1:5" x14ac:dyDescent="0.25">
      <c r="A117" s="35" t="s">
        <v>366</v>
      </c>
      <c r="B117" s="35" t="s">
        <v>367</v>
      </c>
      <c r="C117" s="35" t="s">
        <v>368</v>
      </c>
      <c r="D117" s="35" t="s">
        <v>369</v>
      </c>
      <c r="E117"/>
    </row>
    <row r="118" spans="1:5" x14ac:dyDescent="0.25">
      <c r="A118" s="35" t="s">
        <v>370</v>
      </c>
      <c r="B118" s="35" t="s">
        <v>371</v>
      </c>
      <c r="C118" s="35" t="s">
        <v>44</v>
      </c>
      <c r="D118" s="35" t="s">
        <v>372</v>
      </c>
      <c r="E118"/>
    </row>
    <row r="119" spans="1:5" x14ac:dyDescent="0.25">
      <c r="A119" s="35" t="s">
        <v>373</v>
      </c>
      <c r="B119" s="35" t="s">
        <v>374</v>
      </c>
      <c r="C119" s="35" t="s">
        <v>6</v>
      </c>
      <c r="D119" s="35" t="s">
        <v>375</v>
      </c>
      <c r="E119"/>
    </row>
    <row r="120" spans="1:5" x14ac:dyDescent="0.25">
      <c r="A120" s="35" t="s">
        <v>376</v>
      </c>
      <c r="B120" s="35" t="s">
        <v>377</v>
      </c>
      <c r="C120" s="35" t="s">
        <v>378</v>
      </c>
      <c r="D120" s="35" t="s">
        <v>379</v>
      </c>
      <c r="E120"/>
    </row>
    <row r="121" spans="1:5" x14ac:dyDescent="0.25">
      <c r="A121" s="35" t="s">
        <v>380</v>
      </c>
      <c r="B121" s="35" t="s">
        <v>381</v>
      </c>
      <c r="C121" s="35" t="s">
        <v>166</v>
      </c>
      <c r="D121" s="35" t="s">
        <v>382</v>
      </c>
      <c r="E121"/>
    </row>
    <row r="122" spans="1:5" x14ac:dyDescent="0.25">
      <c r="A122" s="35" t="s">
        <v>385</v>
      </c>
      <c r="B122" s="35" t="s">
        <v>386</v>
      </c>
      <c r="C122" s="35" t="s">
        <v>387</v>
      </c>
      <c r="D122" s="35" t="s">
        <v>388</v>
      </c>
      <c r="E122"/>
    </row>
    <row r="123" spans="1:5" x14ac:dyDescent="0.25">
      <c r="A123" s="35" t="s">
        <v>389</v>
      </c>
      <c r="B123" s="35" t="s">
        <v>390</v>
      </c>
      <c r="C123" s="35" t="s">
        <v>819</v>
      </c>
      <c r="D123" s="35" t="s">
        <v>820</v>
      </c>
      <c r="E123"/>
    </row>
    <row r="124" spans="1:5" x14ac:dyDescent="0.25">
      <c r="A124" s="35" t="s">
        <v>393</v>
      </c>
      <c r="B124" s="35" t="s">
        <v>394</v>
      </c>
      <c r="C124" s="35" t="s">
        <v>395</v>
      </c>
      <c r="D124" s="35" t="s">
        <v>396</v>
      </c>
      <c r="E124"/>
    </row>
    <row r="125" spans="1:5" x14ac:dyDescent="0.25">
      <c r="A125" s="35" t="s">
        <v>397</v>
      </c>
      <c r="B125" s="35" t="s">
        <v>398</v>
      </c>
      <c r="C125" s="35" t="s">
        <v>399</v>
      </c>
      <c r="D125" s="35" t="s">
        <v>400</v>
      </c>
      <c r="E125"/>
    </row>
    <row r="126" spans="1:5" x14ac:dyDescent="0.25">
      <c r="A126" s="35" t="s">
        <v>401</v>
      </c>
      <c r="B126" s="35" t="s">
        <v>402</v>
      </c>
      <c r="C126" s="35" t="s">
        <v>403</v>
      </c>
      <c r="D126" s="35" t="s">
        <v>404</v>
      </c>
      <c r="E126"/>
    </row>
    <row r="127" spans="1:5" x14ac:dyDescent="0.25">
      <c r="A127" s="35" t="s">
        <v>405</v>
      </c>
      <c r="B127" s="35" t="s">
        <v>406</v>
      </c>
      <c r="C127" s="35" t="s">
        <v>78</v>
      </c>
      <c r="D127" s="35" t="s">
        <v>407</v>
      </c>
      <c r="E127"/>
    </row>
    <row r="128" spans="1:5" x14ac:dyDescent="0.25">
      <c r="A128" s="35" t="s">
        <v>408</v>
      </c>
      <c r="B128" s="35" t="s">
        <v>409</v>
      </c>
      <c r="C128" s="35" t="s">
        <v>4137</v>
      </c>
      <c r="D128" s="35" t="s">
        <v>410</v>
      </c>
      <c r="E128"/>
    </row>
    <row r="129" spans="1:5" x14ac:dyDescent="0.25">
      <c r="A129" s="35" t="s">
        <v>411</v>
      </c>
      <c r="B129" s="35" t="s">
        <v>412</v>
      </c>
      <c r="C129" s="35" t="s">
        <v>413</v>
      </c>
      <c r="D129" s="35" t="s">
        <v>414</v>
      </c>
      <c r="E129"/>
    </row>
    <row r="130" spans="1:5" x14ac:dyDescent="0.25">
      <c r="A130" s="35" t="s">
        <v>415</v>
      </c>
      <c r="B130" s="35" t="s">
        <v>416</v>
      </c>
      <c r="C130" s="35" t="s">
        <v>95</v>
      </c>
      <c r="D130" s="35" t="s">
        <v>417</v>
      </c>
      <c r="E130"/>
    </row>
    <row r="131" spans="1:5" x14ac:dyDescent="0.25">
      <c r="A131" s="35" t="s">
        <v>418</v>
      </c>
      <c r="B131" s="35" t="s">
        <v>419</v>
      </c>
      <c r="C131" s="35" t="s">
        <v>95</v>
      </c>
      <c r="D131" s="35" t="s">
        <v>420</v>
      </c>
      <c r="E131"/>
    </row>
    <row r="132" spans="1:5" x14ac:dyDescent="0.25">
      <c r="A132" s="35" t="s">
        <v>421</v>
      </c>
      <c r="B132" s="35" t="s">
        <v>422</v>
      </c>
      <c r="C132" s="35" t="s">
        <v>134</v>
      </c>
      <c r="D132" s="35" t="s">
        <v>423</v>
      </c>
      <c r="E132"/>
    </row>
    <row r="133" spans="1:5" x14ac:dyDescent="0.25">
      <c r="A133" s="35" t="s">
        <v>424</v>
      </c>
      <c r="B133" s="35" t="s">
        <v>425</v>
      </c>
      <c r="C133" s="35" t="s">
        <v>426</v>
      </c>
      <c r="D133" s="35" t="s">
        <v>427</v>
      </c>
      <c r="E133"/>
    </row>
    <row r="134" spans="1:5" x14ac:dyDescent="0.25">
      <c r="A134" s="35" t="s">
        <v>428</v>
      </c>
      <c r="B134" s="35" t="s">
        <v>429</v>
      </c>
      <c r="C134" s="35" t="s">
        <v>4034</v>
      </c>
      <c r="D134" s="35" t="s">
        <v>430</v>
      </c>
      <c r="E134"/>
    </row>
    <row r="135" spans="1:5" x14ac:dyDescent="0.25">
      <c r="A135" s="35" t="s">
        <v>431</v>
      </c>
      <c r="B135" s="35" t="s">
        <v>432</v>
      </c>
      <c r="C135" s="35" t="s">
        <v>3834</v>
      </c>
      <c r="D135" s="35" t="s">
        <v>433</v>
      </c>
      <c r="E135"/>
    </row>
    <row r="136" spans="1:5" x14ac:dyDescent="0.25">
      <c r="A136" s="35" t="s">
        <v>434</v>
      </c>
      <c r="B136" s="35" t="s">
        <v>435</v>
      </c>
      <c r="C136" s="35" t="s">
        <v>134</v>
      </c>
      <c r="D136" s="35" t="s">
        <v>436</v>
      </c>
      <c r="E136"/>
    </row>
    <row r="137" spans="1:5" x14ac:dyDescent="0.25">
      <c r="A137" s="35" t="s">
        <v>438</v>
      </c>
      <c r="B137" s="35" t="s">
        <v>439</v>
      </c>
      <c r="C137" s="35" t="s">
        <v>37</v>
      </c>
      <c r="D137" s="35" t="s">
        <v>440</v>
      </c>
      <c r="E137"/>
    </row>
    <row r="138" spans="1:5" x14ac:dyDescent="0.25">
      <c r="A138" s="35" t="s">
        <v>441</v>
      </c>
      <c r="B138" s="35" t="s">
        <v>442</v>
      </c>
      <c r="C138" s="35" t="s">
        <v>95</v>
      </c>
      <c r="D138" s="35" t="s">
        <v>443</v>
      </c>
      <c r="E138"/>
    </row>
    <row r="139" spans="1:5" x14ac:dyDescent="0.25">
      <c r="A139" s="35" t="s">
        <v>444</v>
      </c>
      <c r="B139" s="35" t="s">
        <v>445</v>
      </c>
      <c r="C139" s="35" t="s">
        <v>44</v>
      </c>
      <c r="D139" s="35" t="s">
        <v>446</v>
      </c>
      <c r="E139"/>
    </row>
    <row r="140" spans="1:5" x14ac:dyDescent="0.25">
      <c r="A140" s="35" t="s">
        <v>447</v>
      </c>
      <c r="B140" s="35" t="s">
        <v>448</v>
      </c>
      <c r="C140" s="35" t="s">
        <v>4058</v>
      </c>
      <c r="D140" s="35" t="s">
        <v>449</v>
      </c>
      <c r="E140"/>
    </row>
    <row r="141" spans="1:5" x14ac:dyDescent="0.25">
      <c r="A141" s="35" t="s">
        <v>450</v>
      </c>
      <c r="B141" s="35" t="s">
        <v>451</v>
      </c>
      <c r="C141" s="35" t="s">
        <v>193</v>
      </c>
      <c r="D141" s="35" t="s">
        <v>452</v>
      </c>
      <c r="E141"/>
    </row>
    <row r="142" spans="1:5" x14ac:dyDescent="0.25">
      <c r="A142" s="35" t="s">
        <v>453</v>
      </c>
      <c r="B142" s="35" t="s">
        <v>454</v>
      </c>
      <c r="C142" s="35" t="s">
        <v>14</v>
      </c>
      <c r="D142" s="35" t="s">
        <v>455</v>
      </c>
      <c r="E142"/>
    </row>
    <row r="143" spans="1:5" x14ac:dyDescent="0.25">
      <c r="A143" s="35" t="s">
        <v>456</v>
      </c>
      <c r="B143" s="35" t="s">
        <v>457</v>
      </c>
      <c r="C143" s="35" t="s">
        <v>6</v>
      </c>
      <c r="D143" s="35" t="s">
        <v>458</v>
      </c>
      <c r="E143"/>
    </row>
    <row r="144" spans="1:5" x14ac:dyDescent="0.25">
      <c r="A144" s="35" t="s">
        <v>459</v>
      </c>
      <c r="B144" s="35" t="s">
        <v>460</v>
      </c>
      <c r="C144" s="35" t="s">
        <v>349</v>
      </c>
      <c r="D144" s="35" t="s">
        <v>461</v>
      </c>
      <c r="E144"/>
    </row>
    <row r="145" spans="1:5" x14ac:dyDescent="0.25">
      <c r="A145" s="35" t="s">
        <v>462</v>
      </c>
      <c r="B145" s="35" t="s">
        <v>463</v>
      </c>
      <c r="C145" s="35" t="s">
        <v>464</v>
      </c>
      <c r="D145" s="35" t="s">
        <v>465</v>
      </c>
      <c r="E145"/>
    </row>
    <row r="146" spans="1:5" x14ac:dyDescent="0.25">
      <c r="A146" s="35" t="s">
        <v>466</v>
      </c>
      <c r="B146" s="35" t="s">
        <v>467</v>
      </c>
      <c r="C146" s="35" t="s">
        <v>44</v>
      </c>
      <c r="D146" s="35" t="s">
        <v>468</v>
      </c>
      <c r="E146"/>
    </row>
    <row r="147" spans="1:5" x14ac:dyDescent="0.25">
      <c r="A147" s="35" t="s">
        <v>469</v>
      </c>
      <c r="B147" s="35" t="s">
        <v>470</v>
      </c>
      <c r="C147" s="35" t="s">
        <v>78</v>
      </c>
      <c r="D147" s="35" t="s">
        <v>471</v>
      </c>
      <c r="E147"/>
    </row>
    <row r="148" spans="1:5" x14ac:dyDescent="0.25">
      <c r="A148" s="35" t="s">
        <v>472</v>
      </c>
      <c r="B148" s="35" t="s">
        <v>473</v>
      </c>
      <c r="C148" s="35" t="s">
        <v>311</v>
      </c>
      <c r="D148" s="35" t="s">
        <v>474</v>
      </c>
      <c r="E148"/>
    </row>
    <row r="149" spans="1:5" x14ac:dyDescent="0.25">
      <c r="A149" s="35" t="s">
        <v>475</v>
      </c>
      <c r="B149" s="35" t="s">
        <v>476</v>
      </c>
      <c r="C149" s="35" t="s">
        <v>40</v>
      </c>
      <c r="D149" s="35" t="s">
        <v>477</v>
      </c>
      <c r="E149"/>
    </row>
    <row r="150" spans="1:5" x14ac:dyDescent="0.25">
      <c r="A150" s="35" t="s">
        <v>478</v>
      </c>
      <c r="B150" s="35" t="s">
        <v>479</v>
      </c>
      <c r="C150" s="35" t="s">
        <v>37</v>
      </c>
      <c r="D150" s="35" t="s">
        <v>480</v>
      </c>
      <c r="E150"/>
    </row>
    <row r="151" spans="1:5" x14ac:dyDescent="0.25">
      <c r="A151" s="35" t="s">
        <v>481</v>
      </c>
      <c r="B151" s="35" t="s">
        <v>482</v>
      </c>
      <c r="C151" s="35" t="s">
        <v>4138</v>
      </c>
      <c r="D151" s="35" t="s">
        <v>1333</v>
      </c>
      <c r="E151"/>
    </row>
    <row r="152" spans="1:5" x14ac:dyDescent="0.25">
      <c r="A152" s="35" t="s">
        <v>483</v>
      </c>
      <c r="B152" s="35" t="s">
        <v>484</v>
      </c>
      <c r="C152" s="35" t="s">
        <v>37</v>
      </c>
      <c r="D152" s="35" t="s">
        <v>485</v>
      </c>
      <c r="E152"/>
    </row>
    <row r="153" spans="1:5" x14ac:dyDescent="0.25">
      <c r="A153" s="35" t="s">
        <v>486</v>
      </c>
      <c r="B153" s="35" t="s">
        <v>487</v>
      </c>
      <c r="C153" s="35" t="s">
        <v>4128</v>
      </c>
      <c r="D153" s="35" t="s">
        <v>488</v>
      </c>
      <c r="E153"/>
    </row>
    <row r="154" spans="1:5" x14ac:dyDescent="0.25">
      <c r="A154" s="35" t="s">
        <v>489</v>
      </c>
      <c r="B154" s="35" t="s">
        <v>490</v>
      </c>
      <c r="C154" s="35" t="s">
        <v>4139</v>
      </c>
      <c r="D154" s="35" t="s">
        <v>491</v>
      </c>
      <c r="E154"/>
    </row>
    <row r="155" spans="1:5" x14ac:dyDescent="0.25">
      <c r="A155" s="35" t="s">
        <v>492</v>
      </c>
      <c r="B155" s="35" t="s">
        <v>493</v>
      </c>
      <c r="C155" s="35" t="s">
        <v>3835</v>
      </c>
      <c r="D155" s="35" t="s">
        <v>494</v>
      </c>
      <c r="E155"/>
    </row>
    <row r="156" spans="1:5" x14ac:dyDescent="0.25">
      <c r="A156" s="35" t="s">
        <v>495</v>
      </c>
      <c r="B156" s="35" t="s">
        <v>496</v>
      </c>
      <c r="C156" s="35" t="s">
        <v>378</v>
      </c>
      <c r="D156" s="35" t="s">
        <v>497</v>
      </c>
      <c r="E156"/>
    </row>
    <row r="157" spans="1:5" x14ac:dyDescent="0.25">
      <c r="A157" s="35" t="s">
        <v>498</v>
      </c>
      <c r="B157" s="35" t="s">
        <v>499</v>
      </c>
      <c r="C157" s="35" t="s">
        <v>44</v>
      </c>
      <c r="D157" s="35" t="s">
        <v>500</v>
      </c>
      <c r="E157"/>
    </row>
    <row r="158" spans="1:5" x14ac:dyDescent="0.25">
      <c r="A158" s="35" t="s">
        <v>501</v>
      </c>
      <c r="B158" s="35" t="s">
        <v>502</v>
      </c>
      <c r="C158" s="35" t="s">
        <v>37</v>
      </c>
      <c r="D158" s="35" t="s">
        <v>503</v>
      </c>
      <c r="E158"/>
    </row>
    <row r="159" spans="1:5" x14ac:dyDescent="0.25">
      <c r="A159" s="35" t="s">
        <v>504</v>
      </c>
      <c r="B159" s="35" t="s">
        <v>505</v>
      </c>
      <c r="C159" s="35" t="s">
        <v>95</v>
      </c>
      <c r="D159" s="35" t="s">
        <v>506</v>
      </c>
      <c r="E159"/>
    </row>
    <row r="160" spans="1:5" x14ac:dyDescent="0.25">
      <c r="A160" s="35" t="s">
        <v>507</v>
      </c>
      <c r="B160" s="35" t="s">
        <v>508</v>
      </c>
      <c r="C160" s="35" t="s">
        <v>509</v>
      </c>
      <c r="D160" s="35" t="s">
        <v>510</v>
      </c>
      <c r="E160"/>
    </row>
    <row r="161" spans="1:5" x14ac:dyDescent="0.25">
      <c r="A161" s="35" t="s">
        <v>511</v>
      </c>
      <c r="B161" s="35" t="s">
        <v>512</v>
      </c>
      <c r="C161" s="35" t="s">
        <v>95</v>
      </c>
      <c r="D161" s="35" t="s">
        <v>513</v>
      </c>
      <c r="E161"/>
    </row>
    <row r="162" spans="1:5" x14ac:dyDescent="0.25">
      <c r="A162" s="35" t="s">
        <v>514</v>
      </c>
      <c r="B162" s="35" t="s">
        <v>515</v>
      </c>
      <c r="C162" s="35" t="s">
        <v>44</v>
      </c>
      <c r="D162" s="35" t="s">
        <v>516</v>
      </c>
      <c r="E162"/>
    </row>
    <row r="163" spans="1:5" x14ac:dyDescent="0.25">
      <c r="A163" s="35" t="s">
        <v>517</v>
      </c>
      <c r="B163" s="35" t="s">
        <v>518</v>
      </c>
      <c r="C163" s="35" t="s">
        <v>368</v>
      </c>
      <c r="D163" s="35" t="s">
        <v>519</v>
      </c>
      <c r="E163"/>
    </row>
    <row r="164" spans="1:5" x14ac:dyDescent="0.25">
      <c r="A164" s="35" t="s">
        <v>520</v>
      </c>
      <c r="B164" s="35" t="s">
        <v>521</v>
      </c>
      <c r="C164" s="35" t="s">
        <v>4140</v>
      </c>
      <c r="D164" s="35" t="s">
        <v>522</v>
      </c>
      <c r="E164"/>
    </row>
    <row r="165" spans="1:5" x14ac:dyDescent="0.25">
      <c r="A165" s="35" t="s">
        <v>523</v>
      </c>
      <c r="B165" s="35" t="s">
        <v>524</v>
      </c>
      <c r="C165" s="35" t="s">
        <v>14</v>
      </c>
      <c r="D165" s="35" t="s">
        <v>525</v>
      </c>
      <c r="E165"/>
    </row>
    <row r="166" spans="1:5" x14ac:dyDescent="0.25">
      <c r="A166" s="35" t="s">
        <v>526</v>
      </c>
      <c r="B166" s="35" t="s">
        <v>527</v>
      </c>
      <c r="C166" s="35" t="s">
        <v>166</v>
      </c>
      <c r="D166" s="35" t="s">
        <v>528</v>
      </c>
      <c r="E166"/>
    </row>
    <row r="167" spans="1:5" x14ac:dyDescent="0.25">
      <c r="A167" s="35" t="s">
        <v>529</v>
      </c>
      <c r="B167" s="35" t="s">
        <v>530</v>
      </c>
      <c r="C167" s="35" t="s">
        <v>4035</v>
      </c>
      <c r="D167" s="35" t="s">
        <v>531</v>
      </c>
      <c r="E167"/>
    </row>
    <row r="168" spans="1:5" x14ac:dyDescent="0.25">
      <c r="A168" s="35" t="s">
        <v>532</v>
      </c>
      <c r="B168" s="35" t="s">
        <v>533</v>
      </c>
      <c r="C168" s="35" t="s">
        <v>4201</v>
      </c>
      <c r="D168" s="35" t="s">
        <v>534</v>
      </c>
      <c r="E168"/>
    </row>
    <row r="169" spans="1:5" x14ac:dyDescent="0.25">
      <c r="A169" s="35" t="s">
        <v>535</v>
      </c>
      <c r="B169" s="35" t="s">
        <v>536</v>
      </c>
      <c r="C169" s="35" t="s">
        <v>6</v>
      </c>
      <c r="D169" s="35" t="s">
        <v>537</v>
      </c>
      <c r="E169"/>
    </row>
    <row r="170" spans="1:5" x14ac:dyDescent="0.25">
      <c r="A170" s="35" t="s">
        <v>538</v>
      </c>
      <c r="B170" s="35" t="s">
        <v>539</v>
      </c>
      <c r="C170" s="35" t="s">
        <v>540</v>
      </c>
      <c r="D170" s="35" t="s">
        <v>541</v>
      </c>
      <c r="E170"/>
    </row>
    <row r="171" spans="1:5" x14ac:dyDescent="0.25">
      <c r="A171" s="35" t="s">
        <v>544</v>
      </c>
      <c r="B171" s="35" t="s">
        <v>545</v>
      </c>
      <c r="C171" s="35" t="s">
        <v>4036</v>
      </c>
      <c r="D171" s="35" t="s">
        <v>546</v>
      </c>
      <c r="E171"/>
    </row>
    <row r="172" spans="1:5" x14ac:dyDescent="0.25">
      <c r="A172" s="35" t="s">
        <v>547</v>
      </c>
      <c r="B172" s="35" t="s">
        <v>548</v>
      </c>
      <c r="C172" s="35" t="s">
        <v>4141</v>
      </c>
      <c r="D172" s="35" t="s">
        <v>549</v>
      </c>
      <c r="E172"/>
    </row>
    <row r="173" spans="1:5" x14ac:dyDescent="0.25">
      <c r="A173" s="35" t="s">
        <v>3836</v>
      </c>
      <c r="B173" s="35" t="s">
        <v>3837</v>
      </c>
      <c r="C173" s="35" t="s">
        <v>3838</v>
      </c>
      <c r="D173" s="35" t="s">
        <v>1149</v>
      </c>
      <c r="E173"/>
    </row>
    <row r="174" spans="1:5" x14ac:dyDescent="0.25">
      <c r="A174" s="35" t="s">
        <v>550</v>
      </c>
      <c r="B174" s="35" t="s">
        <v>551</v>
      </c>
      <c r="C174" s="35" t="s">
        <v>552</v>
      </c>
      <c r="D174" s="35" t="s">
        <v>553</v>
      </c>
      <c r="E174"/>
    </row>
    <row r="175" spans="1:5" x14ac:dyDescent="0.25">
      <c r="A175" s="35" t="s">
        <v>554</v>
      </c>
      <c r="B175" s="35" t="s">
        <v>555</v>
      </c>
      <c r="C175" s="35" t="s">
        <v>556</v>
      </c>
      <c r="D175" s="35" t="s">
        <v>557</v>
      </c>
      <c r="E175"/>
    </row>
    <row r="176" spans="1:5" x14ac:dyDescent="0.25">
      <c r="A176" s="35" t="s">
        <v>558</v>
      </c>
      <c r="B176" s="35" t="s">
        <v>559</v>
      </c>
      <c r="C176" s="35" t="s">
        <v>560</v>
      </c>
      <c r="D176" s="35" t="s">
        <v>561</v>
      </c>
      <c r="E176"/>
    </row>
    <row r="177" spans="1:5" x14ac:dyDescent="0.25">
      <c r="A177" s="35" t="s">
        <v>562</v>
      </c>
      <c r="B177" s="35" t="s">
        <v>563</v>
      </c>
      <c r="C177" s="35" t="s">
        <v>564</v>
      </c>
      <c r="D177" s="35" t="s">
        <v>565</v>
      </c>
      <c r="E177"/>
    </row>
    <row r="178" spans="1:5" x14ac:dyDescent="0.25">
      <c r="A178" s="35" t="s">
        <v>566</v>
      </c>
      <c r="B178" s="35" t="s">
        <v>567</v>
      </c>
      <c r="C178" s="35" t="s">
        <v>568</v>
      </c>
      <c r="D178" s="35" t="s">
        <v>569</v>
      </c>
      <c r="E178"/>
    </row>
    <row r="179" spans="1:5" x14ac:dyDescent="0.25">
      <c r="A179" s="35" t="s">
        <v>570</v>
      </c>
      <c r="B179" s="35" t="s">
        <v>571</v>
      </c>
      <c r="C179" s="35" t="s">
        <v>572</v>
      </c>
      <c r="D179" s="35" t="s">
        <v>573</v>
      </c>
      <c r="E179"/>
    </row>
    <row r="180" spans="1:5" x14ac:dyDescent="0.25">
      <c r="A180" s="35" t="s">
        <v>574</v>
      </c>
      <c r="B180" s="35" t="s">
        <v>575</v>
      </c>
      <c r="C180" s="35" t="s">
        <v>44</v>
      </c>
      <c r="D180" s="35" t="s">
        <v>576</v>
      </c>
      <c r="E180"/>
    </row>
    <row r="181" spans="1:5" x14ac:dyDescent="0.25">
      <c r="A181" s="35" t="s">
        <v>577</v>
      </c>
      <c r="B181" s="35" t="s">
        <v>578</v>
      </c>
      <c r="C181" s="35" t="s">
        <v>579</v>
      </c>
      <c r="D181" s="35" t="s">
        <v>580</v>
      </c>
      <c r="E181"/>
    </row>
    <row r="182" spans="1:5" x14ac:dyDescent="0.25">
      <c r="A182" s="35" t="s">
        <v>581</v>
      </c>
      <c r="B182" s="35" t="s">
        <v>582</v>
      </c>
      <c r="C182" s="35" t="s">
        <v>78</v>
      </c>
      <c r="D182" s="35" t="s">
        <v>583</v>
      </c>
      <c r="E182"/>
    </row>
    <row r="183" spans="1:5" x14ac:dyDescent="0.25">
      <c r="A183" s="35" t="s">
        <v>584</v>
      </c>
      <c r="B183" s="35" t="s">
        <v>585</v>
      </c>
      <c r="C183" s="35" t="s">
        <v>4059</v>
      </c>
      <c r="D183" s="35" t="s">
        <v>586</v>
      </c>
      <c r="E183"/>
    </row>
    <row r="184" spans="1:5" x14ac:dyDescent="0.25">
      <c r="A184" s="35" t="s">
        <v>584</v>
      </c>
      <c r="B184" s="35" t="s">
        <v>585</v>
      </c>
      <c r="C184" s="35" t="s">
        <v>4060</v>
      </c>
      <c r="D184" s="35" t="s">
        <v>1218</v>
      </c>
      <c r="E184"/>
    </row>
    <row r="185" spans="1:5" x14ac:dyDescent="0.25">
      <c r="A185" s="35" t="s">
        <v>587</v>
      </c>
      <c r="B185" s="35" t="s">
        <v>588</v>
      </c>
      <c r="C185" s="35" t="s">
        <v>311</v>
      </c>
      <c r="D185" s="35" t="s">
        <v>589</v>
      </c>
      <c r="E185"/>
    </row>
    <row r="186" spans="1:5" x14ac:dyDescent="0.25">
      <c r="A186" s="35" t="s">
        <v>591</v>
      </c>
      <c r="B186" s="35" t="s">
        <v>592</v>
      </c>
      <c r="C186" s="35" t="s">
        <v>95</v>
      </c>
      <c r="D186" s="35" t="s">
        <v>593</v>
      </c>
      <c r="E186"/>
    </row>
    <row r="187" spans="1:5" x14ac:dyDescent="0.25">
      <c r="A187" s="35" t="s">
        <v>594</v>
      </c>
      <c r="B187" s="35" t="s">
        <v>595</v>
      </c>
      <c r="C187" s="35" t="s">
        <v>596</v>
      </c>
      <c r="D187" s="35" t="s">
        <v>597</v>
      </c>
      <c r="E187"/>
    </row>
    <row r="188" spans="1:5" x14ac:dyDescent="0.25">
      <c r="A188" s="35" t="s">
        <v>3839</v>
      </c>
      <c r="B188" s="35" t="s">
        <v>3840</v>
      </c>
      <c r="C188" s="35" t="s">
        <v>3841</v>
      </c>
      <c r="D188" s="35" t="s">
        <v>3842</v>
      </c>
      <c r="E188"/>
    </row>
    <row r="189" spans="1:5" x14ac:dyDescent="0.25">
      <c r="A189" s="35" t="s">
        <v>598</v>
      </c>
      <c r="B189" s="35" t="s">
        <v>599</v>
      </c>
      <c r="C189" s="35" t="s">
        <v>378</v>
      </c>
      <c r="D189" s="35" t="s">
        <v>600</v>
      </c>
      <c r="E189"/>
    </row>
    <row r="190" spans="1:5" x14ac:dyDescent="0.25">
      <c r="A190" s="35" t="s">
        <v>601</v>
      </c>
      <c r="B190" s="35" t="s">
        <v>602</v>
      </c>
      <c r="C190" s="35" t="s">
        <v>40</v>
      </c>
      <c r="D190" s="35" t="s">
        <v>603</v>
      </c>
      <c r="E190"/>
    </row>
    <row r="191" spans="1:5" x14ac:dyDescent="0.25">
      <c r="A191" s="35" t="s">
        <v>604</v>
      </c>
      <c r="B191" s="35" t="s">
        <v>605</v>
      </c>
      <c r="C191" s="35" t="s">
        <v>95</v>
      </c>
      <c r="D191" s="35" t="s">
        <v>606</v>
      </c>
      <c r="E191"/>
    </row>
    <row r="192" spans="1:5" x14ac:dyDescent="0.25">
      <c r="A192" s="35" t="s">
        <v>607</v>
      </c>
      <c r="B192" s="35" t="s">
        <v>608</v>
      </c>
      <c r="C192" s="35" t="s">
        <v>95</v>
      </c>
      <c r="D192" s="35" t="s">
        <v>609</v>
      </c>
      <c r="E192"/>
    </row>
    <row r="193" spans="1:5" x14ac:dyDescent="0.25">
      <c r="A193" s="35" t="s">
        <v>610</v>
      </c>
      <c r="B193" s="35" t="s">
        <v>611</v>
      </c>
      <c r="C193" s="35" t="s">
        <v>552</v>
      </c>
      <c r="D193" s="35" t="s">
        <v>612</v>
      </c>
      <c r="E193"/>
    </row>
    <row r="194" spans="1:5" x14ac:dyDescent="0.25">
      <c r="A194" s="35" t="s">
        <v>613</v>
      </c>
      <c r="B194" s="35" t="s">
        <v>614</v>
      </c>
      <c r="C194" s="35" t="s">
        <v>95</v>
      </c>
      <c r="D194" s="35" t="s">
        <v>615</v>
      </c>
      <c r="E194"/>
    </row>
    <row r="195" spans="1:5" x14ac:dyDescent="0.25">
      <c r="A195" s="35" t="s">
        <v>616</v>
      </c>
      <c r="B195" s="35" t="s">
        <v>617</v>
      </c>
      <c r="C195" s="35" t="s">
        <v>95</v>
      </c>
      <c r="D195" s="35" t="s">
        <v>618</v>
      </c>
      <c r="E195"/>
    </row>
    <row r="196" spans="1:5" x14ac:dyDescent="0.25">
      <c r="A196" s="35" t="s">
        <v>619</v>
      </c>
      <c r="B196" s="35" t="s">
        <v>620</v>
      </c>
      <c r="C196" s="35" t="s">
        <v>552</v>
      </c>
      <c r="D196" s="35" t="s">
        <v>621</v>
      </c>
      <c r="E196"/>
    </row>
    <row r="197" spans="1:5" x14ac:dyDescent="0.25">
      <c r="A197" s="35" t="s">
        <v>622</v>
      </c>
      <c r="B197" s="35" t="s">
        <v>623</v>
      </c>
      <c r="C197" s="35" t="s">
        <v>40</v>
      </c>
      <c r="D197" s="35" t="s">
        <v>624</v>
      </c>
      <c r="E197"/>
    </row>
    <row r="198" spans="1:5" x14ac:dyDescent="0.25">
      <c r="A198" s="35" t="s">
        <v>625</v>
      </c>
      <c r="B198" s="35" t="s">
        <v>626</v>
      </c>
      <c r="C198" s="35" t="s">
        <v>37</v>
      </c>
      <c r="D198" s="35" t="s">
        <v>627</v>
      </c>
      <c r="E198"/>
    </row>
    <row r="199" spans="1:5" x14ac:dyDescent="0.25">
      <c r="A199" s="35" t="s">
        <v>628</v>
      </c>
      <c r="B199" s="35" t="s">
        <v>629</v>
      </c>
      <c r="C199" s="35" t="s">
        <v>349</v>
      </c>
      <c r="D199" s="35" t="s">
        <v>630</v>
      </c>
      <c r="E199"/>
    </row>
    <row r="200" spans="1:5" x14ac:dyDescent="0.25">
      <c r="A200" s="35" t="s">
        <v>631</v>
      </c>
      <c r="B200" s="35" t="s">
        <v>632</v>
      </c>
      <c r="C200" s="35" t="s">
        <v>91</v>
      </c>
      <c r="D200" s="35" t="s">
        <v>633</v>
      </c>
      <c r="E200"/>
    </row>
    <row r="201" spans="1:5" x14ac:dyDescent="0.25">
      <c r="A201" s="35" t="s">
        <v>634</v>
      </c>
      <c r="B201" s="35" t="s">
        <v>3887</v>
      </c>
      <c r="C201" s="35" t="s">
        <v>80</v>
      </c>
      <c r="D201" s="35" t="s">
        <v>81</v>
      </c>
      <c r="E201"/>
    </row>
    <row r="202" spans="1:5" x14ac:dyDescent="0.25">
      <c r="A202" s="35" t="s">
        <v>637</v>
      </c>
      <c r="B202" s="35" t="s">
        <v>638</v>
      </c>
      <c r="C202" s="35" t="s">
        <v>426</v>
      </c>
      <c r="D202" s="35" t="s">
        <v>639</v>
      </c>
      <c r="E202"/>
    </row>
    <row r="203" spans="1:5" x14ac:dyDescent="0.25">
      <c r="A203" s="35" t="s">
        <v>640</v>
      </c>
      <c r="B203" s="35" t="s">
        <v>641</v>
      </c>
      <c r="C203" s="35" t="s">
        <v>642</v>
      </c>
      <c r="D203" s="35" t="s">
        <v>643</v>
      </c>
      <c r="E203"/>
    </row>
    <row r="204" spans="1:5" x14ac:dyDescent="0.25">
      <c r="A204" s="35" t="s">
        <v>644</v>
      </c>
      <c r="B204" s="35" t="s">
        <v>645</v>
      </c>
      <c r="C204" s="35" t="s">
        <v>6</v>
      </c>
      <c r="D204" s="35" t="s">
        <v>646</v>
      </c>
      <c r="E204"/>
    </row>
    <row r="205" spans="1:5" x14ac:dyDescent="0.25">
      <c r="A205" s="35" t="s">
        <v>647</v>
      </c>
      <c r="B205" s="35" t="s">
        <v>648</v>
      </c>
      <c r="C205" s="35" t="s">
        <v>4142</v>
      </c>
      <c r="D205" s="35" t="s">
        <v>649</v>
      </c>
      <c r="E205"/>
    </row>
    <row r="206" spans="1:5" x14ac:dyDescent="0.25">
      <c r="A206" s="35" t="s">
        <v>4084</v>
      </c>
      <c r="B206" s="35" t="s">
        <v>4085</v>
      </c>
      <c r="C206" s="35" t="s">
        <v>145</v>
      </c>
      <c r="D206" s="35" t="s">
        <v>163</v>
      </c>
      <c r="E206"/>
    </row>
    <row r="207" spans="1:5" x14ac:dyDescent="0.25">
      <c r="A207" s="35" t="s">
        <v>651</v>
      </c>
      <c r="B207" s="35" t="s">
        <v>652</v>
      </c>
      <c r="C207" s="35" t="s">
        <v>4041</v>
      </c>
      <c r="D207" s="35" t="s">
        <v>983</v>
      </c>
      <c r="E207"/>
    </row>
    <row r="208" spans="1:5" x14ac:dyDescent="0.25">
      <c r="A208" s="35" t="s">
        <v>655</v>
      </c>
      <c r="B208" s="35" t="s">
        <v>656</v>
      </c>
      <c r="C208" s="35" t="s">
        <v>78</v>
      </c>
      <c r="D208" s="35" t="s">
        <v>657</v>
      </c>
      <c r="E208"/>
    </row>
    <row r="209" spans="1:5" x14ac:dyDescent="0.25">
      <c r="A209" s="35" t="s">
        <v>658</v>
      </c>
      <c r="B209" s="35" t="s">
        <v>659</v>
      </c>
      <c r="C209" s="35" t="s">
        <v>91</v>
      </c>
      <c r="D209" s="35" t="s">
        <v>660</v>
      </c>
      <c r="E209"/>
    </row>
    <row r="210" spans="1:5" x14ac:dyDescent="0.25">
      <c r="A210" s="35" t="s">
        <v>661</v>
      </c>
      <c r="B210" s="35" t="s">
        <v>662</v>
      </c>
      <c r="C210" s="35" t="s">
        <v>552</v>
      </c>
      <c r="D210" s="35" t="s">
        <v>663</v>
      </c>
      <c r="E210"/>
    </row>
    <row r="211" spans="1:5" x14ac:dyDescent="0.25">
      <c r="A211" s="35" t="s">
        <v>664</v>
      </c>
      <c r="B211" s="35" t="s">
        <v>665</v>
      </c>
      <c r="C211" s="35" t="s">
        <v>6</v>
      </c>
      <c r="D211" s="35" t="s">
        <v>666</v>
      </c>
      <c r="E211"/>
    </row>
    <row r="212" spans="1:5" x14ac:dyDescent="0.25">
      <c r="A212" s="35" t="s">
        <v>667</v>
      </c>
      <c r="B212" s="35" t="s">
        <v>668</v>
      </c>
      <c r="C212" s="35" t="s">
        <v>564</v>
      </c>
      <c r="D212" s="35" t="s">
        <v>669</v>
      </c>
      <c r="E212"/>
    </row>
    <row r="213" spans="1:5" x14ac:dyDescent="0.25">
      <c r="A213" s="35" t="s">
        <v>670</v>
      </c>
      <c r="B213" s="35" t="s">
        <v>671</v>
      </c>
      <c r="C213" s="35" t="s">
        <v>78</v>
      </c>
      <c r="D213" s="35" t="s">
        <v>672</v>
      </c>
      <c r="E213"/>
    </row>
    <row r="214" spans="1:5" x14ac:dyDescent="0.25">
      <c r="A214" s="35" t="s">
        <v>673</v>
      </c>
      <c r="B214" s="35" t="s">
        <v>674</v>
      </c>
      <c r="C214" s="35" t="s">
        <v>44</v>
      </c>
      <c r="D214" s="35" t="s">
        <v>675</v>
      </c>
      <c r="E214"/>
    </row>
    <row r="215" spans="1:5" x14ac:dyDescent="0.25">
      <c r="A215" s="35" t="s">
        <v>676</v>
      </c>
      <c r="B215" s="35" t="s">
        <v>677</v>
      </c>
      <c r="C215" s="35" t="s">
        <v>3843</v>
      </c>
      <c r="D215" s="35" t="s">
        <v>678</v>
      </c>
      <c r="E215"/>
    </row>
    <row r="216" spans="1:5" x14ac:dyDescent="0.25">
      <c r="A216" s="35" t="s">
        <v>3844</v>
      </c>
      <c r="B216" s="35" t="s">
        <v>679</v>
      </c>
      <c r="C216" s="35" t="s">
        <v>3845</v>
      </c>
      <c r="D216" s="35" t="s">
        <v>680</v>
      </c>
      <c r="E216"/>
    </row>
    <row r="217" spans="1:5" x14ac:dyDescent="0.25">
      <c r="A217" s="35" t="s">
        <v>681</v>
      </c>
      <c r="B217" s="35" t="s">
        <v>682</v>
      </c>
      <c r="C217" s="35" t="s">
        <v>383</v>
      </c>
      <c r="D217" s="35" t="s">
        <v>384</v>
      </c>
      <c r="E217"/>
    </row>
    <row r="218" spans="1:5" x14ac:dyDescent="0.25">
      <c r="A218" s="35" t="s">
        <v>684</v>
      </c>
      <c r="B218" s="35" t="s">
        <v>685</v>
      </c>
      <c r="C218" s="35" t="s">
        <v>95</v>
      </c>
      <c r="D218" s="35" t="s">
        <v>686</v>
      </c>
      <c r="E218"/>
    </row>
    <row r="219" spans="1:5" x14ac:dyDescent="0.25">
      <c r="A219" s="35" t="s">
        <v>687</v>
      </c>
      <c r="B219" s="35" t="s">
        <v>688</v>
      </c>
      <c r="C219" s="35" t="s">
        <v>689</v>
      </c>
      <c r="D219" s="35" t="s">
        <v>690</v>
      </c>
      <c r="E219"/>
    </row>
    <row r="220" spans="1:5" x14ac:dyDescent="0.25">
      <c r="A220" s="35" t="s">
        <v>691</v>
      </c>
      <c r="B220" s="35" t="s">
        <v>692</v>
      </c>
      <c r="C220" s="35" t="s">
        <v>166</v>
      </c>
      <c r="D220" s="35" t="s">
        <v>693</v>
      </c>
      <c r="E220"/>
    </row>
    <row r="221" spans="1:5" x14ac:dyDescent="0.25">
      <c r="A221" s="35" t="s">
        <v>694</v>
      </c>
      <c r="B221" s="35" t="s">
        <v>695</v>
      </c>
      <c r="C221" s="35" t="s">
        <v>368</v>
      </c>
      <c r="D221" s="35" t="s">
        <v>696</v>
      </c>
      <c r="E221"/>
    </row>
    <row r="222" spans="1:5" x14ac:dyDescent="0.25">
      <c r="A222" s="35" t="s">
        <v>697</v>
      </c>
      <c r="B222" s="35" t="s">
        <v>698</v>
      </c>
      <c r="C222" s="35" t="s">
        <v>78</v>
      </c>
      <c r="D222" s="35" t="s">
        <v>699</v>
      </c>
      <c r="E222"/>
    </row>
    <row r="223" spans="1:5" x14ac:dyDescent="0.25">
      <c r="A223" s="35" t="s">
        <v>700</v>
      </c>
      <c r="B223" s="35" t="s">
        <v>701</v>
      </c>
      <c r="C223" s="35" t="s">
        <v>95</v>
      </c>
      <c r="D223" s="35" t="s">
        <v>702</v>
      </c>
      <c r="E223"/>
    </row>
    <row r="224" spans="1:5" x14ac:dyDescent="0.25">
      <c r="A224" s="35" t="s">
        <v>703</v>
      </c>
      <c r="B224" s="35" t="s">
        <v>704</v>
      </c>
      <c r="C224" s="35" t="s">
        <v>44</v>
      </c>
      <c r="D224" s="35" t="s">
        <v>705</v>
      </c>
      <c r="E224"/>
    </row>
    <row r="225" spans="1:5" x14ac:dyDescent="0.25">
      <c r="A225" s="35" t="s">
        <v>708</v>
      </c>
      <c r="B225" s="35" t="s">
        <v>709</v>
      </c>
      <c r="C225" s="35" t="s">
        <v>3846</v>
      </c>
      <c r="D225" s="35" t="s">
        <v>710</v>
      </c>
      <c r="E225"/>
    </row>
    <row r="226" spans="1:5" x14ac:dyDescent="0.25">
      <c r="A226" s="35" t="s">
        <v>711</v>
      </c>
      <c r="B226" s="35" t="s">
        <v>712</v>
      </c>
      <c r="C226" s="35" t="s">
        <v>4143</v>
      </c>
      <c r="D226" s="35" t="s">
        <v>713</v>
      </c>
      <c r="E226"/>
    </row>
    <row r="227" spans="1:5" x14ac:dyDescent="0.25">
      <c r="A227" s="35" t="s">
        <v>714</v>
      </c>
      <c r="B227" s="35" t="s">
        <v>715</v>
      </c>
      <c r="C227" s="35" t="s">
        <v>105</v>
      </c>
      <c r="D227" s="35" t="s">
        <v>716</v>
      </c>
      <c r="E227"/>
    </row>
    <row r="228" spans="1:5" x14ac:dyDescent="0.25">
      <c r="A228" s="35" t="s">
        <v>717</v>
      </c>
      <c r="B228" s="35" t="s">
        <v>718</v>
      </c>
      <c r="C228" s="35" t="s">
        <v>134</v>
      </c>
      <c r="D228" s="35" t="s">
        <v>719</v>
      </c>
      <c r="E228"/>
    </row>
    <row r="229" spans="1:5" x14ac:dyDescent="0.25">
      <c r="A229" s="35" t="s">
        <v>720</v>
      </c>
      <c r="B229" s="35" t="s">
        <v>721</v>
      </c>
      <c r="C229" s="35" t="s">
        <v>3830</v>
      </c>
      <c r="D229" s="35" t="s">
        <v>722</v>
      </c>
      <c r="E229"/>
    </row>
    <row r="230" spans="1:5" x14ac:dyDescent="0.25">
      <c r="A230" s="35" t="s">
        <v>723</v>
      </c>
      <c r="B230" s="35" t="s">
        <v>724</v>
      </c>
      <c r="C230" s="35" t="s">
        <v>725</v>
      </c>
      <c r="D230" s="35" t="s">
        <v>726</v>
      </c>
      <c r="E230"/>
    </row>
    <row r="231" spans="1:5" x14ac:dyDescent="0.25">
      <c r="A231" s="35" t="s">
        <v>727</v>
      </c>
      <c r="B231" s="35" t="s">
        <v>728</v>
      </c>
      <c r="C231" s="35" t="s">
        <v>349</v>
      </c>
      <c r="D231" s="35" t="s">
        <v>729</v>
      </c>
      <c r="E231"/>
    </row>
    <row r="232" spans="1:5" x14ac:dyDescent="0.25">
      <c r="A232" s="35" t="s">
        <v>730</v>
      </c>
      <c r="B232" s="35" t="s">
        <v>731</v>
      </c>
      <c r="C232" s="35" t="s">
        <v>4038</v>
      </c>
      <c r="D232" s="35" t="s">
        <v>732</v>
      </c>
      <c r="E232"/>
    </row>
    <row r="233" spans="1:5" x14ac:dyDescent="0.25">
      <c r="A233" s="35" t="s">
        <v>733</v>
      </c>
      <c r="B233" s="35" t="s">
        <v>734</v>
      </c>
      <c r="C233" s="35" t="s">
        <v>735</v>
      </c>
      <c r="D233" s="35" t="s">
        <v>736</v>
      </c>
      <c r="E233"/>
    </row>
    <row r="234" spans="1:5" x14ac:dyDescent="0.25">
      <c r="A234" s="35" t="s">
        <v>737</v>
      </c>
      <c r="B234" s="35" t="s">
        <v>738</v>
      </c>
      <c r="C234" s="35" t="s">
        <v>426</v>
      </c>
      <c r="D234" s="35" t="s">
        <v>739</v>
      </c>
      <c r="E234"/>
    </row>
    <row r="235" spans="1:5" x14ac:dyDescent="0.25">
      <c r="A235" s="35" t="s">
        <v>740</v>
      </c>
      <c r="B235" s="35" t="s">
        <v>741</v>
      </c>
      <c r="C235" s="35" t="s">
        <v>564</v>
      </c>
      <c r="D235" s="35" t="s">
        <v>742</v>
      </c>
      <c r="E235"/>
    </row>
    <row r="236" spans="1:5" x14ac:dyDescent="0.25">
      <c r="A236" s="35" t="s">
        <v>743</v>
      </c>
      <c r="B236" s="35" t="s">
        <v>744</v>
      </c>
      <c r="C236" s="35" t="s">
        <v>426</v>
      </c>
      <c r="D236" s="35" t="s">
        <v>745</v>
      </c>
      <c r="E236"/>
    </row>
    <row r="237" spans="1:5" x14ac:dyDescent="0.25">
      <c r="A237" s="35" t="s">
        <v>3847</v>
      </c>
      <c r="B237" s="35" t="s">
        <v>3848</v>
      </c>
      <c r="C237" s="35" t="s">
        <v>1148</v>
      </c>
      <c r="D237" s="35" t="s">
        <v>3849</v>
      </c>
      <c r="E237"/>
    </row>
    <row r="238" spans="1:5" x14ac:dyDescent="0.25">
      <c r="A238" s="35" t="s">
        <v>746</v>
      </c>
      <c r="B238" s="35" t="s">
        <v>747</v>
      </c>
      <c r="C238" s="35" t="s">
        <v>266</v>
      </c>
      <c r="D238" s="35" t="s">
        <v>748</v>
      </c>
      <c r="E238"/>
    </row>
    <row r="239" spans="1:5" x14ac:dyDescent="0.25">
      <c r="A239" s="35" t="s">
        <v>749</v>
      </c>
      <c r="B239" s="35" t="s">
        <v>750</v>
      </c>
      <c r="C239" s="35" t="s">
        <v>751</v>
      </c>
      <c r="D239" s="35" t="s">
        <v>752</v>
      </c>
      <c r="E239"/>
    </row>
    <row r="240" spans="1:5" x14ac:dyDescent="0.25">
      <c r="A240" s="35" t="s">
        <v>753</v>
      </c>
      <c r="B240" s="35" t="s">
        <v>754</v>
      </c>
      <c r="C240" s="35" t="s">
        <v>6</v>
      </c>
      <c r="D240" s="35" t="s">
        <v>755</v>
      </c>
      <c r="E240"/>
    </row>
    <row r="241" spans="1:5" x14ac:dyDescent="0.25">
      <c r="A241" s="35" t="s">
        <v>756</v>
      </c>
      <c r="B241" s="35" t="s">
        <v>757</v>
      </c>
      <c r="C241" s="35" t="s">
        <v>311</v>
      </c>
      <c r="D241" s="35" t="s">
        <v>758</v>
      </c>
      <c r="E241"/>
    </row>
    <row r="242" spans="1:5" x14ac:dyDescent="0.25">
      <c r="A242" s="35" t="s">
        <v>759</v>
      </c>
      <c r="B242" s="35" t="s">
        <v>760</v>
      </c>
      <c r="C242" s="35" t="s">
        <v>37</v>
      </c>
      <c r="D242" s="35" t="s">
        <v>761</v>
      </c>
      <c r="E242"/>
    </row>
    <row r="243" spans="1:5" x14ac:dyDescent="0.25">
      <c r="A243" s="35" t="s">
        <v>762</v>
      </c>
      <c r="B243" s="35" t="s">
        <v>763</v>
      </c>
      <c r="C243" s="35" t="s">
        <v>4144</v>
      </c>
      <c r="D243" s="35" t="s">
        <v>764</v>
      </c>
      <c r="E243"/>
    </row>
    <row r="244" spans="1:5" x14ac:dyDescent="0.25">
      <c r="A244" s="35" t="s">
        <v>765</v>
      </c>
      <c r="B244" s="35" t="s">
        <v>766</v>
      </c>
      <c r="C244" s="35" t="s">
        <v>311</v>
      </c>
      <c r="D244" s="35" t="s">
        <v>767</v>
      </c>
      <c r="E244"/>
    </row>
    <row r="245" spans="1:5" x14ac:dyDescent="0.25">
      <c r="A245" s="35" t="s">
        <v>768</v>
      </c>
      <c r="B245" s="35" t="s">
        <v>769</v>
      </c>
      <c r="C245" s="35" t="s">
        <v>4039</v>
      </c>
      <c r="D245" s="35" t="s">
        <v>770</v>
      </c>
      <c r="E245"/>
    </row>
    <row r="246" spans="1:5" x14ac:dyDescent="0.25">
      <c r="A246" s="35" t="s">
        <v>771</v>
      </c>
      <c r="B246" s="35" t="s">
        <v>772</v>
      </c>
      <c r="C246" s="35" t="s">
        <v>773</v>
      </c>
      <c r="D246" s="35" t="s">
        <v>774</v>
      </c>
      <c r="E246"/>
    </row>
    <row r="247" spans="1:5" x14ac:dyDescent="0.25">
      <c r="A247" s="35" t="s">
        <v>775</v>
      </c>
      <c r="B247" s="35" t="s">
        <v>776</v>
      </c>
      <c r="C247" s="35" t="s">
        <v>37</v>
      </c>
      <c r="D247" s="35" t="s">
        <v>777</v>
      </c>
      <c r="E247"/>
    </row>
    <row r="248" spans="1:5" x14ac:dyDescent="0.25">
      <c r="A248" s="35" t="s">
        <v>778</v>
      </c>
      <c r="B248" s="35" t="s">
        <v>779</v>
      </c>
      <c r="C248" s="35" t="s">
        <v>105</v>
      </c>
      <c r="D248" s="35" t="s">
        <v>780</v>
      </c>
      <c r="E248"/>
    </row>
    <row r="249" spans="1:5" x14ac:dyDescent="0.25">
      <c r="A249" s="35" t="s">
        <v>781</v>
      </c>
      <c r="B249" s="35" t="s">
        <v>782</v>
      </c>
      <c r="C249" s="35" t="s">
        <v>40</v>
      </c>
      <c r="D249" s="35" t="s">
        <v>783</v>
      </c>
      <c r="E249"/>
    </row>
    <row r="250" spans="1:5" x14ac:dyDescent="0.25">
      <c r="A250" s="35" t="s">
        <v>784</v>
      </c>
      <c r="B250" s="35" t="s">
        <v>785</v>
      </c>
      <c r="C250" s="35" t="s">
        <v>311</v>
      </c>
      <c r="D250" s="35" t="s">
        <v>786</v>
      </c>
      <c r="E250"/>
    </row>
    <row r="251" spans="1:5" x14ac:dyDescent="0.25">
      <c r="A251" s="35" t="s">
        <v>3850</v>
      </c>
      <c r="B251" s="35" t="s">
        <v>3851</v>
      </c>
      <c r="C251" s="35" t="s">
        <v>3834</v>
      </c>
      <c r="D251" s="35" t="s">
        <v>3852</v>
      </c>
      <c r="E251"/>
    </row>
    <row r="252" spans="1:5" x14ac:dyDescent="0.25">
      <c r="A252" s="35" t="s">
        <v>787</v>
      </c>
      <c r="B252" s="35" t="s">
        <v>788</v>
      </c>
      <c r="C252" s="35" t="s">
        <v>161</v>
      </c>
      <c r="D252" s="35" t="s">
        <v>789</v>
      </c>
      <c r="E252"/>
    </row>
    <row r="253" spans="1:5" x14ac:dyDescent="0.25">
      <c r="A253" s="35" t="s">
        <v>790</v>
      </c>
      <c r="B253" s="35" t="s">
        <v>791</v>
      </c>
      <c r="C253" s="35" t="s">
        <v>166</v>
      </c>
      <c r="D253" s="35" t="s">
        <v>792</v>
      </c>
      <c r="E253"/>
    </row>
    <row r="254" spans="1:5" x14ac:dyDescent="0.25">
      <c r="A254" s="35" t="s">
        <v>793</v>
      </c>
      <c r="B254" s="35" t="s">
        <v>794</v>
      </c>
      <c r="C254" s="35" t="s">
        <v>795</v>
      </c>
      <c r="D254" s="35" t="s">
        <v>796</v>
      </c>
      <c r="E254"/>
    </row>
    <row r="255" spans="1:5" x14ac:dyDescent="0.25">
      <c r="A255" s="35" t="s">
        <v>797</v>
      </c>
      <c r="B255" s="35" t="s">
        <v>798</v>
      </c>
      <c r="C255" s="35" t="s">
        <v>37</v>
      </c>
      <c r="D255" s="35" t="s">
        <v>799</v>
      </c>
      <c r="E255"/>
    </row>
    <row r="256" spans="1:5" x14ac:dyDescent="0.25">
      <c r="A256" s="35" t="s">
        <v>800</v>
      </c>
      <c r="B256" s="35" t="s">
        <v>801</v>
      </c>
      <c r="C256" s="35" t="s">
        <v>552</v>
      </c>
      <c r="D256" s="35" t="s">
        <v>802</v>
      </c>
      <c r="E256"/>
    </row>
    <row r="257" spans="1:5" x14ac:dyDescent="0.25">
      <c r="A257" s="35" t="s">
        <v>803</v>
      </c>
      <c r="B257" s="35" t="s">
        <v>804</v>
      </c>
      <c r="C257" s="35" t="s">
        <v>311</v>
      </c>
      <c r="D257" s="35" t="s">
        <v>806</v>
      </c>
      <c r="E257"/>
    </row>
    <row r="258" spans="1:5" x14ac:dyDescent="0.25">
      <c r="A258" s="35" t="s">
        <v>803</v>
      </c>
      <c r="B258" s="35" t="s">
        <v>804</v>
      </c>
      <c r="C258" s="35" t="s">
        <v>95</v>
      </c>
      <c r="D258" s="35" t="s">
        <v>805</v>
      </c>
      <c r="E258"/>
    </row>
    <row r="259" spans="1:5" x14ac:dyDescent="0.25">
      <c r="A259" s="35" t="s">
        <v>807</v>
      </c>
      <c r="B259" s="35" t="s">
        <v>808</v>
      </c>
      <c r="C259" s="35" t="s">
        <v>44</v>
      </c>
      <c r="D259" s="35" t="s">
        <v>809</v>
      </c>
      <c r="E259"/>
    </row>
    <row r="260" spans="1:5" x14ac:dyDescent="0.25">
      <c r="A260" s="35" t="s">
        <v>810</v>
      </c>
      <c r="B260" s="35" t="s">
        <v>811</v>
      </c>
      <c r="C260" s="35" t="s">
        <v>95</v>
      </c>
      <c r="D260" s="35" t="s">
        <v>812</v>
      </c>
      <c r="E260"/>
    </row>
    <row r="261" spans="1:5" x14ac:dyDescent="0.25">
      <c r="A261" s="35" t="s">
        <v>813</v>
      </c>
      <c r="B261" s="35" t="s">
        <v>814</v>
      </c>
      <c r="C261" s="35" t="s">
        <v>653</v>
      </c>
      <c r="D261" s="35" t="s">
        <v>815</v>
      </c>
      <c r="E261"/>
    </row>
    <row r="262" spans="1:5" x14ac:dyDescent="0.25">
      <c r="A262" s="35" t="s">
        <v>3853</v>
      </c>
      <c r="B262" s="35" t="s">
        <v>3854</v>
      </c>
      <c r="C262" s="35" t="s">
        <v>1148</v>
      </c>
      <c r="D262" s="35" t="s">
        <v>3855</v>
      </c>
      <c r="E262"/>
    </row>
    <row r="263" spans="1:5" x14ac:dyDescent="0.25">
      <c r="A263" s="35" t="s">
        <v>816</v>
      </c>
      <c r="B263" s="35" t="s">
        <v>817</v>
      </c>
      <c r="C263" s="35" t="s">
        <v>3830</v>
      </c>
      <c r="D263" s="35" t="s">
        <v>818</v>
      </c>
      <c r="E263"/>
    </row>
    <row r="264" spans="1:5" x14ac:dyDescent="0.25">
      <c r="A264" s="35" t="s">
        <v>4114</v>
      </c>
      <c r="B264" s="35" t="s">
        <v>4115</v>
      </c>
      <c r="C264" s="35" t="s">
        <v>304</v>
      </c>
      <c r="D264" s="35" t="s">
        <v>305</v>
      </c>
      <c r="E264"/>
    </row>
    <row r="265" spans="1:5" x14ac:dyDescent="0.25">
      <c r="A265" s="35" t="s">
        <v>821</v>
      </c>
      <c r="B265" s="35" t="s">
        <v>822</v>
      </c>
      <c r="C265" s="35" t="s">
        <v>91</v>
      </c>
      <c r="D265" s="35" t="s">
        <v>823</v>
      </c>
      <c r="E265"/>
    </row>
    <row r="266" spans="1:5" x14ac:dyDescent="0.25">
      <c r="A266" s="35" t="s">
        <v>824</v>
      </c>
      <c r="B266" s="35" t="s">
        <v>825</v>
      </c>
      <c r="C266" s="35" t="s">
        <v>751</v>
      </c>
      <c r="D266" s="35" t="s">
        <v>826</v>
      </c>
      <c r="E266"/>
    </row>
    <row r="267" spans="1:5" x14ac:dyDescent="0.25">
      <c r="A267" s="35" t="s">
        <v>827</v>
      </c>
      <c r="B267" s="35" t="s">
        <v>828</v>
      </c>
      <c r="C267" s="35" t="s">
        <v>44</v>
      </c>
      <c r="D267" s="35" t="s">
        <v>829</v>
      </c>
      <c r="E267"/>
    </row>
    <row r="268" spans="1:5" x14ac:dyDescent="0.25">
      <c r="A268" s="35" t="s">
        <v>830</v>
      </c>
      <c r="B268" s="35" t="s">
        <v>831</v>
      </c>
      <c r="C268" s="35" t="s">
        <v>311</v>
      </c>
      <c r="D268" s="35" t="s">
        <v>832</v>
      </c>
      <c r="E268"/>
    </row>
    <row r="269" spans="1:5" x14ac:dyDescent="0.25">
      <c r="A269" s="35" t="s">
        <v>833</v>
      </c>
      <c r="B269" s="35" t="s">
        <v>834</v>
      </c>
      <c r="C269" s="35" t="s">
        <v>835</v>
      </c>
      <c r="D269" s="35" t="s">
        <v>836</v>
      </c>
      <c r="E269"/>
    </row>
    <row r="270" spans="1:5" x14ac:dyDescent="0.25">
      <c r="A270" s="35" t="s">
        <v>837</v>
      </c>
      <c r="B270" s="35" t="s">
        <v>838</v>
      </c>
      <c r="C270" s="35" t="s">
        <v>337</v>
      </c>
      <c r="D270" s="35" t="s">
        <v>839</v>
      </c>
      <c r="E270"/>
    </row>
    <row r="271" spans="1:5" x14ac:dyDescent="0.25">
      <c r="A271" s="35" t="s">
        <v>840</v>
      </c>
      <c r="B271" s="35" t="s">
        <v>841</v>
      </c>
      <c r="C271" s="35" t="s">
        <v>842</v>
      </c>
      <c r="D271" s="35" t="s">
        <v>843</v>
      </c>
      <c r="E271"/>
    </row>
    <row r="272" spans="1:5" x14ac:dyDescent="0.25">
      <c r="A272" s="35" t="s">
        <v>844</v>
      </c>
      <c r="B272" s="35" t="s">
        <v>845</v>
      </c>
      <c r="C272" s="35" t="s">
        <v>846</v>
      </c>
      <c r="D272" s="35" t="s">
        <v>847</v>
      </c>
      <c r="E272"/>
    </row>
    <row r="273" spans="1:5" x14ac:dyDescent="0.25">
      <c r="A273" s="35" t="s">
        <v>848</v>
      </c>
      <c r="B273" s="35" t="s">
        <v>849</v>
      </c>
      <c r="C273" s="35" t="s">
        <v>378</v>
      </c>
      <c r="D273" s="35" t="s">
        <v>850</v>
      </c>
      <c r="E273"/>
    </row>
    <row r="274" spans="1:5" x14ac:dyDescent="0.25">
      <c r="A274" s="35" t="s">
        <v>851</v>
      </c>
      <c r="B274" s="35" t="s">
        <v>852</v>
      </c>
      <c r="C274" s="35" t="s">
        <v>44</v>
      </c>
      <c r="D274" s="35" t="s">
        <v>853</v>
      </c>
      <c r="E274"/>
    </row>
    <row r="275" spans="1:5" x14ac:dyDescent="0.25">
      <c r="A275" s="35" t="s">
        <v>854</v>
      </c>
      <c r="B275" s="35" t="s">
        <v>855</v>
      </c>
      <c r="C275" s="35" t="s">
        <v>78</v>
      </c>
      <c r="D275" s="35" t="s">
        <v>856</v>
      </c>
      <c r="E275"/>
    </row>
    <row r="276" spans="1:5" x14ac:dyDescent="0.25">
      <c r="A276" s="35" t="s">
        <v>857</v>
      </c>
      <c r="B276" s="35" t="s">
        <v>858</v>
      </c>
      <c r="C276" s="35" t="s">
        <v>112</v>
      </c>
      <c r="D276" s="35" t="s">
        <v>859</v>
      </c>
      <c r="E276"/>
    </row>
    <row r="277" spans="1:5" x14ac:dyDescent="0.25">
      <c r="A277" s="35" t="s">
        <v>860</v>
      </c>
      <c r="B277" s="35" t="s">
        <v>861</v>
      </c>
      <c r="C277" s="35" t="s">
        <v>311</v>
      </c>
      <c r="D277" s="35" t="s">
        <v>862</v>
      </c>
      <c r="E277"/>
    </row>
    <row r="278" spans="1:5" x14ac:dyDescent="0.25">
      <c r="A278" s="35" t="s">
        <v>863</v>
      </c>
      <c r="B278" s="35" t="s">
        <v>864</v>
      </c>
      <c r="C278" s="35" t="s">
        <v>44</v>
      </c>
      <c r="D278" s="35" t="s">
        <v>865</v>
      </c>
      <c r="E278"/>
    </row>
    <row r="279" spans="1:5" x14ac:dyDescent="0.25">
      <c r="A279" s="35" t="s">
        <v>866</v>
      </c>
      <c r="B279" s="35" t="s">
        <v>867</v>
      </c>
      <c r="C279" s="35" t="s">
        <v>311</v>
      </c>
      <c r="D279" s="35" t="s">
        <v>868</v>
      </c>
      <c r="E279"/>
    </row>
    <row r="280" spans="1:5" x14ac:dyDescent="0.25">
      <c r="A280" s="35" t="s">
        <v>869</v>
      </c>
      <c r="B280" s="35" t="s">
        <v>870</v>
      </c>
      <c r="C280" s="35" t="s">
        <v>40</v>
      </c>
      <c r="D280" s="35" t="s">
        <v>871</v>
      </c>
      <c r="E280"/>
    </row>
    <row r="281" spans="1:5" x14ac:dyDescent="0.25">
      <c r="A281" s="35" t="s">
        <v>872</v>
      </c>
      <c r="B281" s="35" t="s">
        <v>873</v>
      </c>
      <c r="C281" s="35" t="s">
        <v>44</v>
      </c>
      <c r="D281" s="35" t="s">
        <v>874</v>
      </c>
      <c r="E281"/>
    </row>
    <row r="282" spans="1:5" x14ac:dyDescent="0.25">
      <c r="A282" s="35" t="s">
        <v>875</v>
      </c>
      <c r="B282" s="35" t="s">
        <v>876</v>
      </c>
      <c r="C282" s="35" t="s">
        <v>52</v>
      </c>
      <c r="D282" s="35" t="s">
        <v>53</v>
      </c>
      <c r="E282"/>
    </row>
    <row r="283" spans="1:5" x14ac:dyDescent="0.25">
      <c r="A283" s="35" t="s">
        <v>875</v>
      </c>
      <c r="B283" s="35" t="s">
        <v>876</v>
      </c>
      <c r="C283" s="35" t="s">
        <v>4145</v>
      </c>
      <c r="D283" s="35" t="s">
        <v>877</v>
      </c>
      <c r="E283"/>
    </row>
    <row r="284" spans="1:5" x14ac:dyDescent="0.25">
      <c r="A284" s="35" t="s">
        <v>878</v>
      </c>
      <c r="B284" s="35" t="s">
        <v>879</v>
      </c>
      <c r="C284" s="35" t="s">
        <v>4040</v>
      </c>
      <c r="D284" s="35" t="s">
        <v>880</v>
      </c>
      <c r="E284"/>
    </row>
    <row r="285" spans="1:5" x14ac:dyDescent="0.25">
      <c r="A285" s="35" t="s">
        <v>878</v>
      </c>
      <c r="B285" s="35" t="s">
        <v>879</v>
      </c>
      <c r="C285" s="35" t="s">
        <v>4037</v>
      </c>
      <c r="D285" s="35" t="s">
        <v>654</v>
      </c>
      <c r="E285"/>
    </row>
    <row r="286" spans="1:5" x14ac:dyDescent="0.25">
      <c r="A286" s="35" t="s">
        <v>881</v>
      </c>
      <c r="B286" s="35" t="s">
        <v>882</v>
      </c>
      <c r="C286" s="35" t="s">
        <v>842</v>
      </c>
      <c r="D286" s="35" t="s">
        <v>883</v>
      </c>
      <c r="E286"/>
    </row>
    <row r="287" spans="1:5" x14ac:dyDescent="0.25">
      <c r="A287" s="35" t="s">
        <v>3856</v>
      </c>
      <c r="B287" s="35" t="s">
        <v>3857</v>
      </c>
      <c r="C287" s="35" t="s">
        <v>3824</v>
      </c>
      <c r="D287" s="35" t="s">
        <v>1150</v>
      </c>
      <c r="E287"/>
    </row>
    <row r="288" spans="1:5" x14ac:dyDescent="0.25">
      <c r="A288" s="35" t="s">
        <v>884</v>
      </c>
      <c r="B288" s="35" t="s">
        <v>885</v>
      </c>
      <c r="C288" s="35" t="s">
        <v>6</v>
      </c>
      <c r="D288" s="35" t="s">
        <v>886</v>
      </c>
      <c r="E288"/>
    </row>
    <row r="289" spans="1:5" x14ac:dyDescent="0.25">
      <c r="A289" s="35" t="s">
        <v>887</v>
      </c>
      <c r="B289" s="35" t="s">
        <v>888</v>
      </c>
      <c r="C289" s="35" t="s">
        <v>87</v>
      </c>
      <c r="D289" s="35" t="s">
        <v>889</v>
      </c>
      <c r="E289"/>
    </row>
    <row r="290" spans="1:5" x14ac:dyDescent="0.25">
      <c r="A290" s="35" t="s">
        <v>891</v>
      </c>
      <c r="B290" s="35" t="s">
        <v>892</v>
      </c>
      <c r="C290" s="35" t="s">
        <v>311</v>
      </c>
      <c r="D290" s="35" t="s">
        <v>893</v>
      </c>
      <c r="E290"/>
    </row>
    <row r="291" spans="1:5" x14ac:dyDescent="0.25">
      <c r="A291" s="35" t="s">
        <v>894</v>
      </c>
      <c r="B291" s="35" t="s">
        <v>895</v>
      </c>
      <c r="C291" s="35" t="s">
        <v>368</v>
      </c>
      <c r="D291" s="35" t="s">
        <v>896</v>
      </c>
      <c r="E291"/>
    </row>
    <row r="292" spans="1:5" x14ac:dyDescent="0.25">
      <c r="A292" s="35" t="s">
        <v>897</v>
      </c>
      <c r="B292" s="35" t="s">
        <v>898</v>
      </c>
      <c r="C292" s="35" t="s">
        <v>44</v>
      </c>
      <c r="D292" s="35" t="s">
        <v>899</v>
      </c>
      <c r="E292"/>
    </row>
    <row r="293" spans="1:5" x14ac:dyDescent="0.25">
      <c r="A293" s="35" t="s">
        <v>900</v>
      </c>
      <c r="B293" s="35" t="s">
        <v>901</v>
      </c>
      <c r="C293" s="35" t="s">
        <v>95</v>
      </c>
      <c r="D293" s="35" t="s">
        <v>902</v>
      </c>
      <c r="E293"/>
    </row>
    <row r="294" spans="1:5" x14ac:dyDescent="0.25">
      <c r="A294" s="35" t="s">
        <v>4120</v>
      </c>
      <c r="B294" s="35" t="s">
        <v>4121</v>
      </c>
      <c r="C294" s="35" t="s">
        <v>4122</v>
      </c>
      <c r="D294" s="35" t="s">
        <v>4123</v>
      </c>
      <c r="E294"/>
    </row>
    <row r="295" spans="1:5" x14ac:dyDescent="0.25">
      <c r="A295" s="35" t="s">
        <v>903</v>
      </c>
      <c r="B295" s="35" t="s">
        <v>904</v>
      </c>
      <c r="C295" s="35" t="s">
        <v>134</v>
      </c>
      <c r="D295" s="35" t="s">
        <v>905</v>
      </c>
      <c r="E295"/>
    </row>
    <row r="296" spans="1:5" x14ac:dyDescent="0.25">
      <c r="A296" s="35" t="s">
        <v>4086</v>
      </c>
      <c r="B296" s="35" t="s">
        <v>4087</v>
      </c>
      <c r="C296" s="35" t="s">
        <v>4086</v>
      </c>
      <c r="D296" s="35" t="s">
        <v>4088</v>
      </c>
      <c r="E296"/>
    </row>
    <row r="297" spans="1:5" x14ac:dyDescent="0.25">
      <c r="A297" s="35" t="s">
        <v>906</v>
      </c>
      <c r="B297" s="35" t="s">
        <v>907</v>
      </c>
      <c r="C297" s="35" t="s">
        <v>908</v>
      </c>
      <c r="D297" s="35" t="s">
        <v>909</v>
      </c>
      <c r="E297"/>
    </row>
    <row r="298" spans="1:5" x14ac:dyDescent="0.25">
      <c r="A298" s="35" t="s">
        <v>910</v>
      </c>
      <c r="B298" s="35" t="s">
        <v>911</v>
      </c>
      <c r="C298" s="35" t="s">
        <v>95</v>
      </c>
      <c r="D298" s="35" t="s">
        <v>912</v>
      </c>
      <c r="E298"/>
    </row>
    <row r="299" spans="1:5" x14ac:dyDescent="0.25">
      <c r="A299" s="35" t="s">
        <v>3858</v>
      </c>
      <c r="B299" s="35" t="s">
        <v>3859</v>
      </c>
      <c r="C299" s="35" t="s">
        <v>4116</v>
      </c>
      <c r="D299" s="35" t="s">
        <v>3860</v>
      </c>
      <c r="E299"/>
    </row>
    <row r="300" spans="1:5" x14ac:dyDescent="0.25">
      <c r="A300" s="35" t="s">
        <v>913</v>
      </c>
      <c r="B300" s="35" t="s">
        <v>914</v>
      </c>
      <c r="C300" s="35" t="s">
        <v>78</v>
      </c>
      <c r="D300" s="35" t="s">
        <v>915</v>
      </c>
      <c r="E300"/>
    </row>
    <row r="301" spans="1:5" x14ac:dyDescent="0.25">
      <c r="A301" s="35" t="s">
        <v>916</v>
      </c>
      <c r="B301" s="35" t="s">
        <v>917</v>
      </c>
      <c r="C301" s="35" t="s">
        <v>44</v>
      </c>
      <c r="D301" s="35" t="s">
        <v>918</v>
      </c>
      <c r="E301"/>
    </row>
    <row r="302" spans="1:5" x14ac:dyDescent="0.25">
      <c r="A302" s="35" t="s">
        <v>919</v>
      </c>
      <c r="B302" s="35" t="s">
        <v>920</v>
      </c>
      <c r="C302" s="35" t="s">
        <v>44</v>
      </c>
      <c r="D302" s="35" t="s">
        <v>921</v>
      </c>
      <c r="E302"/>
    </row>
    <row r="303" spans="1:5" x14ac:dyDescent="0.25">
      <c r="A303" s="35" t="s">
        <v>922</v>
      </c>
      <c r="B303" s="35" t="s">
        <v>923</v>
      </c>
      <c r="C303" s="35" t="s">
        <v>44</v>
      </c>
      <c r="D303" s="35" t="s">
        <v>924</v>
      </c>
      <c r="E303"/>
    </row>
    <row r="304" spans="1:5" x14ac:dyDescent="0.25">
      <c r="A304" s="35" t="s">
        <v>925</v>
      </c>
      <c r="B304" s="35" t="s">
        <v>926</v>
      </c>
      <c r="C304" s="35" t="s">
        <v>95</v>
      </c>
      <c r="D304" s="35" t="s">
        <v>927</v>
      </c>
      <c r="E304"/>
    </row>
    <row r="305" spans="1:5" x14ac:dyDescent="0.25">
      <c r="A305" s="35" t="s">
        <v>928</v>
      </c>
      <c r="B305" s="35" t="s">
        <v>929</v>
      </c>
      <c r="C305" s="35" t="s">
        <v>161</v>
      </c>
      <c r="D305" s="35" t="s">
        <v>930</v>
      </c>
      <c r="E305"/>
    </row>
    <row r="306" spans="1:5" x14ac:dyDescent="0.25">
      <c r="A306" s="35" t="s">
        <v>931</v>
      </c>
      <c r="B306" s="35" t="s">
        <v>932</v>
      </c>
      <c r="C306" s="35" t="s">
        <v>74</v>
      </c>
      <c r="D306" s="35" t="s">
        <v>933</v>
      </c>
      <c r="E306"/>
    </row>
    <row r="307" spans="1:5" x14ac:dyDescent="0.25">
      <c r="A307" s="35" t="s">
        <v>934</v>
      </c>
      <c r="B307" s="35" t="s">
        <v>935</v>
      </c>
      <c r="C307" s="35" t="s">
        <v>4146</v>
      </c>
      <c r="D307" s="35" t="s">
        <v>936</v>
      </c>
      <c r="E307"/>
    </row>
    <row r="308" spans="1:5" x14ac:dyDescent="0.25">
      <c r="A308" s="35" t="s">
        <v>937</v>
      </c>
      <c r="B308" s="35" t="s">
        <v>938</v>
      </c>
      <c r="C308" s="35" t="s">
        <v>3825</v>
      </c>
      <c r="D308" s="35" t="s">
        <v>939</v>
      </c>
      <c r="E308"/>
    </row>
    <row r="309" spans="1:5" x14ac:dyDescent="0.25">
      <c r="A309" s="35" t="s">
        <v>940</v>
      </c>
      <c r="B309" s="35" t="s">
        <v>941</v>
      </c>
      <c r="C309" s="35" t="s">
        <v>942</v>
      </c>
      <c r="D309" s="35" t="s">
        <v>943</v>
      </c>
      <c r="E309"/>
    </row>
    <row r="310" spans="1:5" x14ac:dyDescent="0.25">
      <c r="A310" s="35" t="s">
        <v>944</v>
      </c>
      <c r="B310" s="35" t="s">
        <v>945</v>
      </c>
      <c r="C310" s="35" t="s">
        <v>273</v>
      </c>
      <c r="D310" s="35" t="s">
        <v>946</v>
      </c>
      <c r="E310"/>
    </row>
    <row r="311" spans="1:5" x14ac:dyDescent="0.25">
      <c r="A311" s="35" t="s">
        <v>944</v>
      </c>
      <c r="B311" s="35" t="s">
        <v>945</v>
      </c>
      <c r="C311" s="35" t="s">
        <v>4147</v>
      </c>
      <c r="D311" s="35" t="s">
        <v>947</v>
      </c>
      <c r="E311"/>
    </row>
    <row r="312" spans="1:5" x14ac:dyDescent="0.25">
      <c r="A312" s="35" t="s">
        <v>948</v>
      </c>
      <c r="B312" s="35" t="s">
        <v>949</v>
      </c>
      <c r="C312" s="35" t="s">
        <v>3861</v>
      </c>
      <c r="D312" s="35" t="s">
        <v>950</v>
      </c>
      <c r="E312"/>
    </row>
    <row r="313" spans="1:5" x14ac:dyDescent="0.25">
      <c r="A313" s="35" t="s">
        <v>951</v>
      </c>
      <c r="B313" s="35" t="s">
        <v>952</v>
      </c>
      <c r="C313" s="35" t="s">
        <v>44</v>
      </c>
      <c r="D313" s="35" t="s">
        <v>953</v>
      </c>
      <c r="E313"/>
    </row>
    <row r="314" spans="1:5" x14ac:dyDescent="0.25">
      <c r="A314" s="35" t="s">
        <v>954</v>
      </c>
      <c r="B314" s="35" t="s">
        <v>955</v>
      </c>
      <c r="C314" s="35" t="s">
        <v>134</v>
      </c>
      <c r="D314" s="35" t="s">
        <v>956</v>
      </c>
      <c r="E314"/>
    </row>
    <row r="315" spans="1:5" x14ac:dyDescent="0.25">
      <c r="A315" s="35" t="s">
        <v>957</v>
      </c>
      <c r="B315" s="35" t="s">
        <v>958</v>
      </c>
      <c r="C315" s="35" t="s">
        <v>91</v>
      </c>
      <c r="D315" s="35" t="s">
        <v>959</v>
      </c>
      <c r="E315"/>
    </row>
    <row r="316" spans="1:5" x14ac:dyDescent="0.25">
      <c r="A316" s="35" t="s">
        <v>960</v>
      </c>
      <c r="B316" s="35" t="s">
        <v>961</v>
      </c>
      <c r="C316" s="35" t="s">
        <v>6</v>
      </c>
      <c r="D316" s="35" t="s">
        <v>962</v>
      </c>
      <c r="E316"/>
    </row>
    <row r="317" spans="1:5" x14ac:dyDescent="0.25">
      <c r="A317" s="35" t="s">
        <v>963</v>
      </c>
      <c r="B317" s="35" t="s">
        <v>964</v>
      </c>
      <c r="C317" s="35" t="s">
        <v>95</v>
      </c>
      <c r="D317" s="35" t="s">
        <v>965</v>
      </c>
      <c r="E317"/>
    </row>
    <row r="318" spans="1:5" x14ac:dyDescent="0.25">
      <c r="A318" s="35" t="s">
        <v>966</v>
      </c>
      <c r="B318" s="35" t="s">
        <v>967</v>
      </c>
      <c r="C318" s="35" t="s">
        <v>273</v>
      </c>
      <c r="D318" s="35" t="s">
        <v>968</v>
      </c>
      <c r="E318"/>
    </row>
    <row r="319" spans="1:5" x14ac:dyDescent="0.25">
      <c r="A319" s="35" t="s">
        <v>3862</v>
      </c>
      <c r="B319" s="35" t="s">
        <v>3863</v>
      </c>
      <c r="C319" s="35" t="s">
        <v>1148</v>
      </c>
      <c r="D319" s="35" t="s">
        <v>3864</v>
      </c>
      <c r="E319"/>
    </row>
    <row r="320" spans="1:5" x14ac:dyDescent="0.25">
      <c r="A320" s="35" t="s">
        <v>969</v>
      </c>
      <c r="B320" s="35" t="s">
        <v>970</v>
      </c>
      <c r="C320" s="35" t="s">
        <v>6</v>
      </c>
      <c r="D320" s="35" t="s">
        <v>971</v>
      </c>
      <c r="E320"/>
    </row>
    <row r="321" spans="1:5" x14ac:dyDescent="0.25">
      <c r="A321" s="35" t="s">
        <v>972</v>
      </c>
      <c r="B321" s="35" t="s">
        <v>973</v>
      </c>
      <c r="C321" s="35" t="s">
        <v>552</v>
      </c>
      <c r="D321" s="35" t="s">
        <v>974</v>
      </c>
      <c r="E321"/>
    </row>
    <row r="322" spans="1:5" x14ac:dyDescent="0.25">
      <c r="A322" s="35" t="s">
        <v>975</v>
      </c>
      <c r="B322" s="35" t="s">
        <v>976</v>
      </c>
      <c r="C322" s="35" t="s">
        <v>166</v>
      </c>
      <c r="D322" s="35" t="s">
        <v>977</v>
      </c>
      <c r="E322"/>
    </row>
    <row r="323" spans="1:5" x14ac:dyDescent="0.25">
      <c r="A323" s="35" t="s">
        <v>978</v>
      </c>
      <c r="B323" s="35" t="s">
        <v>979</v>
      </c>
      <c r="C323" s="35" t="s">
        <v>337</v>
      </c>
      <c r="D323" s="35" t="s">
        <v>980</v>
      </c>
      <c r="E323"/>
    </row>
    <row r="324" spans="1:5" x14ac:dyDescent="0.25">
      <c r="A324" s="35" t="s">
        <v>981</v>
      </c>
      <c r="B324" s="35" t="s">
        <v>982</v>
      </c>
      <c r="C324" s="35" t="s">
        <v>4125</v>
      </c>
      <c r="D324" s="35" t="s">
        <v>1522</v>
      </c>
      <c r="E324"/>
    </row>
    <row r="325" spans="1:5" x14ac:dyDescent="0.25">
      <c r="A325" s="35" t="s">
        <v>984</v>
      </c>
      <c r="B325" s="35" t="s">
        <v>985</v>
      </c>
      <c r="C325" s="35" t="s">
        <v>986</v>
      </c>
      <c r="D325" s="35" t="s">
        <v>987</v>
      </c>
      <c r="E325"/>
    </row>
    <row r="326" spans="1:5" x14ac:dyDescent="0.25">
      <c r="A326" s="35" t="s">
        <v>988</v>
      </c>
      <c r="B326" s="35" t="s">
        <v>989</v>
      </c>
      <c r="C326" s="35" t="s">
        <v>990</v>
      </c>
      <c r="D326" s="35" t="s">
        <v>991</v>
      </c>
      <c r="E326"/>
    </row>
    <row r="327" spans="1:5" x14ac:dyDescent="0.25">
      <c r="A327" s="35" t="s">
        <v>992</v>
      </c>
      <c r="B327" s="35" t="s">
        <v>993</v>
      </c>
      <c r="C327" s="35" t="s">
        <v>6</v>
      </c>
      <c r="D327" s="35" t="s">
        <v>994</v>
      </c>
      <c r="E327"/>
    </row>
    <row r="328" spans="1:5" x14ac:dyDescent="0.25">
      <c r="A328" s="35" t="s">
        <v>995</v>
      </c>
      <c r="B328" s="35" t="s">
        <v>996</v>
      </c>
      <c r="C328" s="35" t="s">
        <v>91</v>
      </c>
      <c r="D328" s="35" t="s">
        <v>997</v>
      </c>
      <c r="E328"/>
    </row>
    <row r="329" spans="1:5" x14ac:dyDescent="0.25">
      <c r="A329" s="35" t="s">
        <v>998</v>
      </c>
      <c r="B329" s="35" t="s">
        <v>999</v>
      </c>
      <c r="C329" s="35" t="s">
        <v>1000</v>
      </c>
      <c r="D329" s="35" t="s">
        <v>1001</v>
      </c>
      <c r="E329"/>
    </row>
    <row r="330" spans="1:5" x14ac:dyDescent="0.25">
      <c r="A330" s="35" t="s">
        <v>1002</v>
      </c>
      <c r="B330" s="35" t="s">
        <v>1003</v>
      </c>
      <c r="C330" s="35" t="s">
        <v>44</v>
      </c>
      <c r="D330" s="35" t="s">
        <v>1004</v>
      </c>
      <c r="E330"/>
    </row>
    <row r="331" spans="1:5" x14ac:dyDescent="0.25">
      <c r="A331" s="35" t="s">
        <v>1005</v>
      </c>
      <c r="B331" s="35" t="s">
        <v>1006</v>
      </c>
      <c r="C331" s="35" t="s">
        <v>311</v>
      </c>
      <c r="D331" s="35" t="s">
        <v>1007</v>
      </c>
      <c r="E331"/>
    </row>
    <row r="332" spans="1:5" x14ac:dyDescent="0.25">
      <c r="A332" s="35" t="s">
        <v>1008</v>
      </c>
      <c r="B332" s="35" t="s">
        <v>1009</v>
      </c>
      <c r="C332" s="35" t="s">
        <v>40</v>
      </c>
      <c r="D332" s="35" t="s">
        <v>1010</v>
      </c>
      <c r="E332"/>
    </row>
    <row r="333" spans="1:5" x14ac:dyDescent="0.25">
      <c r="A333" s="35" t="s">
        <v>1011</v>
      </c>
      <c r="B333" s="35" t="s">
        <v>1012</v>
      </c>
      <c r="C333" s="35" t="s">
        <v>1013</v>
      </c>
      <c r="D333" s="35" t="s">
        <v>1014</v>
      </c>
      <c r="E333"/>
    </row>
    <row r="334" spans="1:5" x14ac:dyDescent="0.25">
      <c r="A334" s="35" t="s">
        <v>1015</v>
      </c>
      <c r="B334" s="35" t="s">
        <v>1016</v>
      </c>
      <c r="C334" s="35" t="s">
        <v>40</v>
      </c>
      <c r="D334" s="35" t="s">
        <v>1017</v>
      </c>
      <c r="E334"/>
    </row>
    <row r="335" spans="1:5" x14ac:dyDescent="0.25">
      <c r="A335" s="35" t="s">
        <v>3865</v>
      </c>
      <c r="B335" s="35" t="s">
        <v>3866</v>
      </c>
      <c r="C335" s="35" t="s">
        <v>1148</v>
      </c>
      <c r="D335" s="35" t="s">
        <v>3867</v>
      </c>
      <c r="E335"/>
    </row>
    <row r="336" spans="1:5" x14ac:dyDescent="0.25">
      <c r="A336" s="35" t="s">
        <v>1018</v>
      </c>
      <c r="B336" s="35" t="s">
        <v>1019</v>
      </c>
      <c r="C336" s="35" t="s">
        <v>311</v>
      </c>
      <c r="D336" s="35" t="s">
        <v>1020</v>
      </c>
      <c r="E336"/>
    </row>
    <row r="337" spans="1:5" x14ac:dyDescent="0.25">
      <c r="A337" s="35" t="s">
        <v>1021</v>
      </c>
      <c r="B337" s="35" t="s">
        <v>1022</v>
      </c>
      <c r="C337" s="35" t="s">
        <v>1023</v>
      </c>
      <c r="D337" s="35" t="s">
        <v>1024</v>
      </c>
      <c r="E337"/>
    </row>
    <row r="338" spans="1:5" x14ac:dyDescent="0.25">
      <c r="A338" s="35" t="s">
        <v>1025</v>
      </c>
      <c r="B338" s="35" t="s">
        <v>1026</v>
      </c>
      <c r="C338" s="35" t="s">
        <v>378</v>
      </c>
      <c r="D338" s="35" t="s">
        <v>1027</v>
      </c>
      <c r="E338"/>
    </row>
    <row r="339" spans="1:5" x14ac:dyDescent="0.25">
      <c r="A339" s="35" t="s">
        <v>3868</v>
      </c>
      <c r="B339" s="35" t="s">
        <v>3869</v>
      </c>
      <c r="C339" s="35" t="s">
        <v>3870</v>
      </c>
      <c r="D339" s="35" t="s">
        <v>3871</v>
      </c>
      <c r="E339"/>
    </row>
    <row r="340" spans="1:5" x14ac:dyDescent="0.25">
      <c r="A340" s="35" t="s">
        <v>1028</v>
      </c>
      <c r="B340" s="35" t="s">
        <v>1029</v>
      </c>
      <c r="C340" s="35" t="s">
        <v>552</v>
      </c>
      <c r="D340" s="35" t="s">
        <v>1030</v>
      </c>
      <c r="E340"/>
    </row>
    <row r="341" spans="1:5" x14ac:dyDescent="0.25">
      <c r="A341" s="35" t="s">
        <v>1031</v>
      </c>
      <c r="B341" s="35" t="s">
        <v>1032</v>
      </c>
      <c r="C341" s="35" t="s">
        <v>78</v>
      </c>
      <c r="D341" s="35" t="s">
        <v>1033</v>
      </c>
      <c r="E341"/>
    </row>
    <row r="342" spans="1:5" x14ac:dyDescent="0.25">
      <c r="A342" s="35" t="s">
        <v>1034</v>
      </c>
      <c r="B342" s="35" t="s">
        <v>1035</v>
      </c>
      <c r="C342" s="35" t="s">
        <v>37</v>
      </c>
      <c r="D342" s="35" t="s">
        <v>1036</v>
      </c>
      <c r="E342"/>
    </row>
    <row r="343" spans="1:5" x14ac:dyDescent="0.25">
      <c r="A343" s="35" t="s">
        <v>1037</v>
      </c>
      <c r="B343" s="35" t="s">
        <v>1038</v>
      </c>
      <c r="C343" s="35" t="s">
        <v>6</v>
      </c>
      <c r="D343" s="35" t="s">
        <v>1039</v>
      </c>
      <c r="E343"/>
    </row>
    <row r="344" spans="1:5" x14ac:dyDescent="0.25">
      <c r="A344" s="35" t="s">
        <v>1040</v>
      </c>
      <c r="B344" s="35" t="s">
        <v>1041</v>
      </c>
      <c r="C344" s="35" t="s">
        <v>44</v>
      </c>
      <c r="D344" s="35" t="s">
        <v>1042</v>
      </c>
      <c r="E344"/>
    </row>
    <row r="345" spans="1:5" x14ac:dyDescent="0.25">
      <c r="A345" s="35" t="s">
        <v>1043</v>
      </c>
      <c r="B345" s="35" t="s">
        <v>1044</v>
      </c>
      <c r="C345" s="35" t="s">
        <v>635</v>
      </c>
      <c r="D345" s="35" t="s">
        <v>636</v>
      </c>
      <c r="E345"/>
    </row>
    <row r="346" spans="1:5" x14ac:dyDescent="0.25">
      <c r="A346" s="35" t="s">
        <v>1043</v>
      </c>
      <c r="B346" s="35" t="s">
        <v>1044</v>
      </c>
      <c r="C346" s="35" t="s">
        <v>1460</v>
      </c>
      <c r="D346" s="35" t="s">
        <v>1461</v>
      </c>
      <c r="E346"/>
    </row>
    <row r="347" spans="1:5" x14ac:dyDescent="0.25">
      <c r="A347" s="35" t="s">
        <v>1043</v>
      </c>
      <c r="B347" s="35" t="s">
        <v>1044</v>
      </c>
      <c r="C347" s="35" t="s">
        <v>4056</v>
      </c>
      <c r="D347" s="35" t="s">
        <v>260</v>
      </c>
      <c r="E347"/>
    </row>
    <row r="348" spans="1:5" x14ac:dyDescent="0.25">
      <c r="A348" s="35" t="s">
        <v>1045</v>
      </c>
      <c r="B348" s="35" t="s">
        <v>1046</v>
      </c>
      <c r="C348" s="35" t="s">
        <v>751</v>
      </c>
      <c r="D348" s="35" t="s">
        <v>1047</v>
      </c>
      <c r="E348"/>
    </row>
    <row r="349" spans="1:5" x14ac:dyDescent="0.25">
      <c r="A349" s="35" t="s">
        <v>1048</v>
      </c>
      <c r="B349" s="35" t="s">
        <v>1049</v>
      </c>
      <c r="C349" s="35" t="s">
        <v>560</v>
      </c>
      <c r="D349" s="35" t="s">
        <v>1050</v>
      </c>
      <c r="E349"/>
    </row>
    <row r="350" spans="1:5" x14ac:dyDescent="0.25">
      <c r="A350" s="35" t="s">
        <v>1051</v>
      </c>
      <c r="B350" s="35" t="s">
        <v>1052</v>
      </c>
      <c r="C350" s="35" t="s">
        <v>552</v>
      </c>
      <c r="D350" s="35" t="s">
        <v>1053</v>
      </c>
      <c r="E350"/>
    </row>
    <row r="351" spans="1:5" x14ac:dyDescent="0.25">
      <c r="A351" s="35" t="s">
        <v>1055</v>
      </c>
      <c r="B351" s="35" t="s">
        <v>1056</v>
      </c>
      <c r="C351" s="35" t="s">
        <v>3834</v>
      </c>
      <c r="D351" s="35" t="s">
        <v>1057</v>
      </c>
      <c r="E351"/>
    </row>
    <row r="352" spans="1:5" x14ac:dyDescent="0.25">
      <c r="A352" s="35" t="s">
        <v>1058</v>
      </c>
      <c r="B352" s="35" t="s">
        <v>1059</v>
      </c>
      <c r="C352" s="35" t="s">
        <v>44</v>
      </c>
      <c r="D352" s="35" t="s">
        <v>1060</v>
      </c>
      <c r="E352"/>
    </row>
    <row r="353" spans="1:5" x14ac:dyDescent="0.25">
      <c r="A353" s="35" t="s">
        <v>1061</v>
      </c>
      <c r="B353" s="35" t="s">
        <v>1062</v>
      </c>
      <c r="C353" s="35" t="s">
        <v>44</v>
      </c>
      <c r="D353" s="35" t="s">
        <v>1063</v>
      </c>
      <c r="E353"/>
    </row>
    <row r="354" spans="1:5" x14ac:dyDescent="0.25">
      <c r="A354" s="35" t="s">
        <v>1064</v>
      </c>
      <c r="B354" s="35" t="s">
        <v>1065</v>
      </c>
      <c r="C354" s="35" t="s">
        <v>560</v>
      </c>
      <c r="D354" s="35" t="s">
        <v>1066</v>
      </c>
      <c r="E354"/>
    </row>
    <row r="355" spans="1:5" x14ac:dyDescent="0.25">
      <c r="A355" s="35" t="s">
        <v>4071</v>
      </c>
      <c r="B355" s="35" t="s">
        <v>4072</v>
      </c>
      <c r="C355" s="35" t="s">
        <v>4073</v>
      </c>
      <c r="D355" s="35" t="s">
        <v>4074</v>
      </c>
      <c r="E355"/>
    </row>
    <row r="356" spans="1:5" x14ac:dyDescent="0.25">
      <c r="A356" s="35" t="s">
        <v>1068</v>
      </c>
      <c r="B356" s="35" t="s">
        <v>1069</v>
      </c>
      <c r="C356" s="35" t="s">
        <v>4061</v>
      </c>
      <c r="D356" s="35" t="s">
        <v>1070</v>
      </c>
      <c r="E356"/>
    </row>
    <row r="357" spans="1:5" x14ac:dyDescent="0.25">
      <c r="A357" s="35" t="s">
        <v>1071</v>
      </c>
      <c r="B357" s="35" t="s">
        <v>1072</v>
      </c>
      <c r="C357" s="35" t="s">
        <v>4148</v>
      </c>
      <c r="D357" s="35" t="s">
        <v>1073</v>
      </c>
      <c r="E357"/>
    </row>
    <row r="358" spans="1:5" x14ac:dyDescent="0.25">
      <c r="A358" s="35" t="s">
        <v>1074</v>
      </c>
      <c r="B358" s="35" t="s">
        <v>1075</v>
      </c>
      <c r="C358" s="35" t="s">
        <v>44</v>
      </c>
      <c r="D358" s="35" t="s">
        <v>1076</v>
      </c>
      <c r="E358"/>
    </row>
    <row r="359" spans="1:5" x14ac:dyDescent="0.25">
      <c r="A359" s="35" t="s">
        <v>1077</v>
      </c>
      <c r="B359" s="35" t="s">
        <v>1078</v>
      </c>
      <c r="C359" s="35" t="s">
        <v>564</v>
      </c>
      <c r="D359" s="35" t="s">
        <v>1079</v>
      </c>
      <c r="E359"/>
    </row>
    <row r="360" spans="1:5" x14ac:dyDescent="0.25">
      <c r="A360" s="35" t="s">
        <v>1080</v>
      </c>
      <c r="B360" s="35" t="s">
        <v>1081</v>
      </c>
      <c r="C360" s="35" t="s">
        <v>311</v>
      </c>
      <c r="D360" s="35" t="s">
        <v>1082</v>
      </c>
      <c r="E360"/>
    </row>
    <row r="361" spans="1:5" x14ac:dyDescent="0.25">
      <c r="A361" s="35" t="s">
        <v>1083</v>
      </c>
      <c r="B361" s="35" t="s">
        <v>1084</v>
      </c>
      <c r="C361" s="35" t="s">
        <v>37</v>
      </c>
      <c r="D361" s="35" t="s">
        <v>1085</v>
      </c>
      <c r="E361"/>
    </row>
    <row r="362" spans="1:5" x14ac:dyDescent="0.25">
      <c r="A362" s="35" t="s">
        <v>1086</v>
      </c>
      <c r="B362" s="35" t="s">
        <v>1087</v>
      </c>
      <c r="C362" s="35" t="s">
        <v>95</v>
      </c>
      <c r="D362" s="35" t="s">
        <v>1088</v>
      </c>
      <c r="E362"/>
    </row>
    <row r="363" spans="1:5" x14ac:dyDescent="0.25">
      <c r="A363" s="35" t="s">
        <v>1089</v>
      </c>
      <c r="B363" s="35" t="s">
        <v>1090</v>
      </c>
      <c r="C363" s="35" t="s">
        <v>44</v>
      </c>
      <c r="D363" s="35" t="s">
        <v>1091</v>
      </c>
      <c r="E363"/>
    </row>
    <row r="364" spans="1:5" x14ac:dyDescent="0.25">
      <c r="A364" s="35" t="s">
        <v>1092</v>
      </c>
      <c r="B364" s="35" t="s">
        <v>1093</v>
      </c>
      <c r="C364" s="35" t="s">
        <v>1094</v>
      </c>
      <c r="D364" s="35" t="s">
        <v>1095</v>
      </c>
      <c r="E364"/>
    </row>
    <row r="365" spans="1:5" x14ac:dyDescent="0.25">
      <c r="A365" s="35" t="s">
        <v>1096</v>
      </c>
      <c r="B365" s="35" t="s">
        <v>1097</v>
      </c>
      <c r="C365" s="35" t="s">
        <v>95</v>
      </c>
      <c r="D365" s="35" t="s">
        <v>1098</v>
      </c>
      <c r="E365"/>
    </row>
    <row r="366" spans="1:5" x14ac:dyDescent="0.25">
      <c r="A366" s="35" t="s">
        <v>1099</v>
      </c>
      <c r="B366" s="35" t="s">
        <v>1100</v>
      </c>
      <c r="C366" s="35" t="s">
        <v>4149</v>
      </c>
      <c r="D366" s="35" t="s">
        <v>1101</v>
      </c>
      <c r="E366"/>
    </row>
    <row r="367" spans="1:5" x14ac:dyDescent="0.25">
      <c r="A367" s="35" t="s">
        <v>1102</v>
      </c>
      <c r="B367" s="35" t="s">
        <v>1103</v>
      </c>
      <c r="C367" s="35" t="s">
        <v>4202</v>
      </c>
      <c r="D367" s="35" t="s">
        <v>1104</v>
      </c>
      <c r="E367"/>
    </row>
    <row r="368" spans="1:5" x14ac:dyDescent="0.25">
      <c r="A368" s="35" t="s">
        <v>1105</v>
      </c>
      <c r="B368" s="35" t="s">
        <v>1106</v>
      </c>
      <c r="C368" s="35" t="s">
        <v>87</v>
      </c>
      <c r="D368" s="35" t="s">
        <v>1107</v>
      </c>
      <c r="E368"/>
    </row>
    <row r="369" spans="1:5" x14ac:dyDescent="0.25">
      <c r="A369" s="35" t="s">
        <v>3872</v>
      </c>
      <c r="B369" s="35" t="s">
        <v>3873</v>
      </c>
      <c r="C369" s="35" t="s">
        <v>1148</v>
      </c>
      <c r="D369" s="35" t="s">
        <v>3874</v>
      </c>
      <c r="E369"/>
    </row>
    <row r="370" spans="1:5" x14ac:dyDescent="0.25">
      <c r="A370" s="35" t="s">
        <v>1108</v>
      </c>
      <c r="B370" s="35" t="s">
        <v>1109</v>
      </c>
      <c r="C370" s="35" t="s">
        <v>311</v>
      </c>
      <c r="D370" s="35" t="s">
        <v>1110</v>
      </c>
      <c r="E370"/>
    </row>
    <row r="371" spans="1:5" x14ac:dyDescent="0.25">
      <c r="A371" s="35" t="s">
        <v>1111</v>
      </c>
      <c r="B371" s="35" t="s">
        <v>1112</v>
      </c>
      <c r="C371" s="35" t="s">
        <v>95</v>
      </c>
      <c r="D371" s="35" t="s">
        <v>1113</v>
      </c>
      <c r="E371"/>
    </row>
    <row r="372" spans="1:5" x14ac:dyDescent="0.25">
      <c r="A372" s="35" t="s">
        <v>1114</v>
      </c>
      <c r="B372" s="35" t="s">
        <v>1115</v>
      </c>
      <c r="C372" s="35" t="s">
        <v>37</v>
      </c>
      <c r="D372" s="35" t="s">
        <v>1116</v>
      </c>
      <c r="E372"/>
    </row>
    <row r="373" spans="1:5" x14ac:dyDescent="0.25">
      <c r="A373" s="35" t="s">
        <v>1117</v>
      </c>
      <c r="B373" s="35" t="s">
        <v>1118</v>
      </c>
      <c r="C373" s="35" t="s">
        <v>44</v>
      </c>
      <c r="D373" s="35" t="s">
        <v>1119</v>
      </c>
      <c r="E373"/>
    </row>
    <row r="374" spans="1:5" x14ac:dyDescent="0.25">
      <c r="A374" s="35" t="s">
        <v>1120</v>
      </c>
      <c r="B374" s="35" t="s">
        <v>1121</v>
      </c>
      <c r="C374" s="35" t="s">
        <v>4042</v>
      </c>
      <c r="D374" s="35" t="s">
        <v>1122</v>
      </c>
      <c r="E374"/>
    </row>
    <row r="375" spans="1:5" x14ac:dyDescent="0.25">
      <c r="A375" s="35" t="s">
        <v>1123</v>
      </c>
      <c r="B375" s="35" t="s">
        <v>1124</v>
      </c>
      <c r="C375" s="35" t="s">
        <v>349</v>
      </c>
      <c r="D375" s="35" t="s">
        <v>1125</v>
      </c>
      <c r="E375"/>
    </row>
    <row r="376" spans="1:5" x14ac:dyDescent="0.25">
      <c r="A376" s="35" t="s">
        <v>1126</v>
      </c>
      <c r="B376" s="35" t="s">
        <v>1127</v>
      </c>
      <c r="C376" s="35" t="s">
        <v>4117</v>
      </c>
      <c r="D376" s="35" t="s">
        <v>1128</v>
      </c>
      <c r="E376"/>
    </row>
    <row r="377" spans="1:5" x14ac:dyDescent="0.25">
      <c r="A377" s="35" t="s">
        <v>1129</v>
      </c>
      <c r="B377" s="35" t="s">
        <v>1130</v>
      </c>
      <c r="C377" s="35" t="s">
        <v>4150</v>
      </c>
      <c r="D377" s="35" t="s">
        <v>1131</v>
      </c>
      <c r="E377"/>
    </row>
    <row r="378" spans="1:5" x14ac:dyDescent="0.25">
      <c r="A378" s="35" t="s">
        <v>1132</v>
      </c>
      <c r="B378" s="35" t="s">
        <v>1133</v>
      </c>
      <c r="C378" s="35" t="s">
        <v>1134</v>
      </c>
      <c r="D378" s="35" t="s">
        <v>1135</v>
      </c>
      <c r="E378"/>
    </row>
    <row r="379" spans="1:5" x14ac:dyDescent="0.25">
      <c r="A379" s="35" t="s">
        <v>1136</v>
      </c>
      <c r="B379" s="35" t="s">
        <v>1137</v>
      </c>
      <c r="C379" s="35" t="s">
        <v>91</v>
      </c>
      <c r="D379" s="35" t="s">
        <v>1138</v>
      </c>
      <c r="E379"/>
    </row>
    <row r="380" spans="1:5" x14ac:dyDescent="0.25">
      <c r="A380" s="35" t="s">
        <v>1139</v>
      </c>
      <c r="B380" s="35" t="s">
        <v>1140</v>
      </c>
      <c r="C380" s="35" t="s">
        <v>349</v>
      </c>
      <c r="D380" s="35" t="s">
        <v>1141</v>
      </c>
      <c r="E380"/>
    </row>
    <row r="381" spans="1:5" x14ac:dyDescent="0.25">
      <c r="A381" s="35" t="s">
        <v>1142</v>
      </c>
      <c r="B381" s="35" t="s">
        <v>1143</v>
      </c>
      <c r="C381" s="35" t="s">
        <v>1144</v>
      </c>
      <c r="D381" s="35" t="s">
        <v>1145</v>
      </c>
      <c r="E381"/>
    </row>
    <row r="382" spans="1:5" x14ac:dyDescent="0.25">
      <c r="A382" s="35" t="s">
        <v>3875</v>
      </c>
      <c r="B382" s="35" t="s">
        <v>3876</v>
      </c>
      <c r="C382" s="35" t="s">
        <v>3824</v>
      </c>
      <c r="D382" s="35" t="s">
        <v>3877</v>
      </c>
      <c r="E382"/>
    </row>
    <row r="383" spans="1:5" x14ac:dyDescent="0.25">
      <c r="A383" s="35" t="s">
        <v>4089</v>
      </c>
      <c r="B383" s="35" t="s">
        <v>4090</v>
      </c>
      <c r="C383" s="35" t="s">
        <v>145</v>
      </c>
      <c r="D383" s="35" t="s">
        <v>1054</v>
      </c>
      <c r="E383"/>
    </row>
    <row r="384" spans="1:5" x14ac:dyDescent="0.25">
      <c r="A384" s="35" t="s">
        <v>1146</v>
      </c>
      <c r="B384" s="35" t="s">
        <v>1147</v>
      </c>
      <c r="C384" s="35" t="s">
        <v>1151</v>
      </c>
      <c r="D384" s="35" t="s">
        <v>1152</v>
      </c>
      <c r="E384"/>
    </row>
    <row r="385" spans="1:5" x14ac:dyDescent="0.25">
      <c r="A385" s="35" t="s">
        <v>1153</v>
      </c>
      <c r="B385" s="35" t="s">
        <v>1154</v>
      </c>
      <c r="C385" s="35" t="s">
        <v>74</v>
      </c>
      <c r="D385" s="35" t="s">
        <v>1155</v>
      </c>
      <c r="E385"/>
    </row>
    <row r="386" spans="1:5" x14ac:dyDescent="0.25">
      <c r="A386" s="35" t="s">
        <v>1156</v>
      </c>
      <c r="B386" s="35" t="s">
        <v>1157</v>
      </c>
      <c r="C386" s="35" t="s">
        <v>44</v>
      </c>
      <c r="D386" s="35" t="s">
        <v>1158</v>
      </c>
      <c r="E386"/>
    </row>
    <row r="387" spans="1:5" x14ac:dyDescent="0.25">
      <c r="A387" s="35" t="s">
        <v>1159</v>
      </c>
      <c r="B387" s="35" t="s">
        <v>1160</v>
      </c>
      <c r="C387" s="35" t="s">
        <v>44</v>
      </c>
      <c r="D387" s="35" t="s">
        <v>1161</v>
      </c>
      <c r="E387"/>
    </row>
    <row r="388" spans="1:5" x14ac:dyDescent="0.25">
      <c r="A388" s="35" t="s">
        <v>1162</v>
      </c>
      <c r="B388" s="35" t="s">
        <v>1163</v>
      </c>
      <c r="C388" s="35" t="s">
        <v>6</v>
      </c>
      <c r="D388" s="35" t="s">
        <v>1164</v>
      </c>
      <c r="E388"/>
    </row>
    <row r="389" spans="1:5" x14ac:dyDescent="0.25">
      <c r="A389" s="35" t="s">
        <v>1165</v>
      </c>
      <c r="B389" s="35" t="s">
        <v>1166</v>
      </c>
      <c r="C389" s="35" t="s">
        <v>6</v>
      </c>
      <c r="D389" s="35" t="s">
        <v>1167</v>
      </c>
      <c r="E389"/>
    </row>
    <row r="390" spans="1:5" x14ac:dyDescent="0.25">
      <c r="A390" s="35" t="s">
        <v>1168</v>
      </c>
      <c r="B390" s="35" t="s">
        <v>1169</v>
      </c>
      <c r="C390" s="35" t="s">
        <v>1170</v>
      </c>
      <c r="D390" s="35" t="s">
        <v>1171</v>
      </c>
      <c r="E390"/>
    </row>
    <row r="391" spans="1:5" x14ac:dyDescent="0.25">
      <c r="A391" s="35" t="s">
        <v>1172</v>
      </c>
      <c r="B391" s="35" t="s">
        <v>1173</v>
      </c>
      <c r="C391" s="35" t="s">
        <v>31</v>
      </c>
      <c r="D391" s="35" t="s">
        <v>1174</v>
      </c>
      <c r="E391"/>
    </row>
    <row r="392" spans="1:5" x14ac:dyDescent="0.25">
      <c r="A392" s="35" t="s">
        <v>1175</v>
      </c>
      <c r="B392" s="35" t="s">
        <v>1176</v>
      </c>
      <c r="C392" s="35" t="s">
        <v>273</v>
      </c>
      <c r="D392" s="35" t="s">
        <v>1177</v>
      </c>
      <c r="E392"/>
    </row>
    <row r="393" spans="1:5" x14ac:dyDescent="0.25">
      <c r="A393" s="35" t="s">
        <v>1178</v>
      </c>
      <c r="B393" s="35" t="s">
        <v>1179</v>
      </c>
      <c r="C393" s="35" t="s">
        <v>44</v>
      </c>
      <c r="D393" s="35" t="s">
        <v>1180</v>
      </c>
      <c r="E393"/>
    </row>
    <row r="394" spans="1:5" x14ac:dyDescent="0.25">
      <c r="A394" s="35" t="s">
        <v>1181</v>
      </c>
      <c r="B394" s="35" t="s">
        <v>1182</v>
      </c>
      <c r="C394" s="35" t="s">
        <v>44</v>
      </c>
      <c r="D394" s="35" t="s">
        <v>1183</v>
      </c>
      <c r="E394"/>
    </row>
    <row r="395" spans="1:5" x14ac:dyDescent="0.25">
      <c r="A395" s="35" t="s">
        <v>1184</v>
      </c>
      <c r="B395" s="35" t="s">
        <v>1185</v>
      </c>
      <c r="C395" s="35" t="s">
        <v>44</v>
      </c>
      <c r="D395" s="35" t="s">
        <v>1186</v>
      </c>
      <c r="E395"/>
    </row>
    <row r="396" spans="1:5" x14ac:dyDescent="0.25">
      <c r="A396" s="35" t="s">
        <v>1187</v>
      </c>
      <c r="B396" s="35" t="s">
        <v>1188</v>
      </c>
      <c r="C396" s="35" t="s">
        <v>95</v>
      </c>
      <c r="D396" s="35" t="s">
        <v>1189</v>
      </c>
      <c r="E396"/>
    </row>
    <row r="397" spans="1:5" x14ac:dyDescent="0.25">
      <c r="A397" s="35" t="s">
        <v>1190</v>
      </c>
      <c r="B397" s="35" t="s">
        <v>1191</v>
      </c>
      <c r="C397" s="35" t="s">
        <v>4151</v>
      </c>
      <c r="D397" s="35" t="s">
        <v>1443</v>
      </c>
      <c r="E397"/>
    </row>
    <row r="398" spans="1:5" x14ac:dyDescent="0.25">
      <c r="A398" s="35" t="s">
        <v>1192</v>
      </c>
      <c r="B398" s="35" t="s">
        <v>1193</v>
      </c>
      <c r="C398" s="35" t="s">
        <v>1194</v>
      </c>
      <c r="D398" s="35" t="s">
        <v>1195</v>
      </c>
      <c r="E398"/>
    </row>
    <row r="399" spans="1:5" x14ac:dyDescent="0.25">
      <c r="A399" s="35" t="s">
        <v>1196</v>
      </c>
      <c r="B399" s="35" t="s">
        <v>1197</v>
      </c>
      <c r="C399" s="35" t="s">
        <v>3878</v>
      </c>
      <c r="D399" s="35" t="s">
        <v>1198</v>
      </c>
      <c r="E399"/>
    </row>
    <row r="400" spans="1:5" x14ac:dyDescent="0.25">
      <c r="A400" s="35" t="s">
        <v>1196</v>
      </c>
      <c r="B400" s="35" t="s">
        <v>1197</v>
      </c>
      <c r="C400" s="35" t="s">
        <v>1199</v>
      </c>
      <c r="D400" s="35" t="s">
        <v>1200</v>
      </c>
      <c r="E400"/>
    </row>
    <row r="401" spans="1:5" x14ac:dyDescent="0.25">
      <c r="A401" s="35" t="s">
        <v>1201</v>
      </c>
      <c r="B401" s="35" t="s">
        <v>1202</v>
      </c>
      <c r="C401" s="35" t="s">
        <v>4203</v>
      </c>
      <c r="D401" s="35" t="s">
        <v>1203</v>
      </c>
      <c r="E401"/>
    </row>
    <row r="402" spans="1:5" x14ac:dyDescent="0.25">
      <c r="A402" s="35" t="s">
        <v>1204</v>
      </c>
      <c r="B402" s="35" t="s">
        <v>1205</v>
      </c>
      <c r="C402" s="35" t="s">
        <v>134</v>
      </c>
      <c r="D402" s="35" t="s">
        <v>1206</v>
      </c>
      <c r="E402"/>
    </row>
    <row r="403" spans="1:5" x14ac:dyDescent="0.25">
      <c r="A403" s="35" t="s">
        <v>1207</v>
      </c>
      <c r="B403" s="35" t="s">
        <v>1208</v>
      </c>
      <c r="C403" s="35" t="s">
        <v>4152</v>
      </c>
      <c r="D403" s="35" t="s">
        <v>1209</v>
      </c>
      <c r="E403"/>
    </row>
    <row r="404" spans="1:5" x14ac:dyDescent="0.25">
      <c r="A404" s="35" t="s">
        <v>1210</v>
      </c>
      <c r="B404" s="35" t="s">
        <v>1211</v>
      </c>
      <c r="C404" s="35" t="s">
        <v>14</v>
      </c>
      <c r="D404" s="35" t="s">
        <v>1212</v>
      </c>
      <c r="E404"/>
    </row>
    <row r="405" spans="1:5" x14ac:dyDescent="0.25">
      <c r="A405" s="35" t="s">
        <v>1213</v>
      </c>
      <c r="B405" s="35" t="s">
        <v>1214</v>
      </c>
      <c r="C405" s="35" t="s">
        <v>44</v>
      </c>
      <c r="D405" s="35" t="s">
        <v>1215</v>
      </c>
      <c r="E405"/>
    </row>
    <row r="406" spans="1:5" x14ac:dyDescent="0.25">
      <c r="A406" s="35" t="s">
        <v>4104</v>
      </c>
      <c r="B406" s="35" t="s">
        <v>4105</v>
      </c>
      <c r="C406" s="35" t="s">
        <v>4106</v>
      </c>
      <c r="D406" s="35" t="s">
        <v>4107</v>
      </c>
      <c r="E406"/>
    </row>
    <row r="407" spans="1:5" x14ac:dyDescent="0.25">
      <c r="A407" s="35" t="s">
        <v>1216</v>
      </c>
      <c r="B407" s="35" t="s">
        <v>1217</v>
      </c>
      <c r="C407" s="35" t="s">
        <v>1314</v>
      </c>
      <c r="D407" s="35" t="s">
        <v>1315</v>
      </c>
      <c r="E407"/>
    </row>
    <row r="408" spans="1:5" x14ac:dyDescent="0.25">
      <c r="A408" s="35" t="s">
        <v>1219</v>
      </c>
      <c r="B408" s="35" t="s">
        <v>1220</v>
      </c>
      <c r="C408" s="35" t="s">
        <v>87</v>
      </c>
      <c r="D408" s="35" t="s">
        <v>1221</v>
      </c>
      <c r="E408"/>
    </row>
    <row r="409" spans="1:5" x14ac:dyDescent="0.25">
      <c r="A409" s="35" t="s">
        <v>1222</v>
      </c>
      <c r="B409" s="35" t="s">
        <v>1223</v>
      </c>
      <c r="C409" s="35" t="s">
        <v>1224</v>
      </c>
      <c r="D409" s="35" t="s">
        <v>1225</v>
      </c>
      <c r="E409"/>
    </row>
    <row r="410" spans="1:5" x14ac:dyDescent="0.25">
      <c r="A410" s="35" t="s">
        <v>1222</v>
      </c>
      <c r="B410" s="35" t="s">
        <v>1223</v>
      </c>
      <c r="C410" s="35" t="s">
        <v>44</v>
      </c>
      <c r="D410" s="35" t="s">
        <v>1226</v>
      </c>
      <c r="E410"/>
    </row>
    <row r="411" spans="1:5" x14ac:dyDescent="0.25">
      <c r="A411" s="35" t="s">
        <v>3879</v>
      </c>
      <c r="B411" s="35" t="s">
        <v>3880</v>
      </c>
      <c r="C411" s="35" t="s">
        <v>1148</v>
      </c>
      <c r="D411" s="35" t="s">
        <v>3881</v>
      </c>
      <c r="E411"/>
    </row>
    <row r="412" spans="1:5" x14ac:dyDescent="0.25">
      <c r="A412" s="35" t="s">
        <v>1227</v>
      </c>
      <c r="B412" s="35" t="s">
        <v>1228</v>
      </c>
      <c r="C412" s="35" t="s">
        <v>552</v>
      </c>
      <c r="D412" s="35" t="s">
        <v>1229</v>
      </c>
      <c r="E412"/>
    </row>
    <row r="413" spans="1:5" x14ac:dyDescent="0.25">
      <c r="A413" s="35" t="s">
        <v>1230</v>
      </c>
      <c r="B413" s="35" t="s">
        <v>1231</v>
      </c>
      <c r="C413" s="35" t="s">
        <v>4126</v>
      </c>
      <c r="D413" s="35" t="s">
        <v>1232</v>
      </c>
      <c r="E413"/>
    </row>
    <row r="414" spans="1:5" x14ac:dyDescent="0.25">
      <c r="A414" s="35" t="s">
        <v>1233</v>
      </c>
      <c r="B414" s="35" t="s">
        <v>1234</v>
      </c>
      <c r="C414" s="35" t="s">
        <v>37</v>
      </c>
      <c r="D414" s="35" t="s">
        <v>1235</v>
      </c>
      <c r="E414"/>
    </row>
    <row r="415" spans="1:5" x14ac:dyDescent="0.25">
      <c r="A415" s="35" t="s">
        <v>1236</v>
      </c>
      <c r="B415" s="35" t="s">
        <v>1237</v>
      </c>
      <c r="C415" s="35" t="s">
        <v>40</v>
      </c>
      <c r="D415" s="35" t="s">
        <v>1238</v>
      </c>
      <c r="E415"/>
    </row>
    <row r="416" spans="1:5" x14ac:dyDescent="0.25">
      <c r="A416" s="35" t="s">
        <v>1239</v>
      </c>
      <c r="B416" s="35" t="s">
        <v>1240</v>
      </c>
      <c r="C416" s="35" t="s">
        <v>44</v>
      </c>
      <c r="D416" s="35" t="s">
        <v>1241</v>
      </c>
      <c r="E416"/>
    </row>
    <row r="417" spans="1:5" x14ac:dyDescent="0.25">
      <c r="A417" s="35" t="s">
        <v>1242</v>
      </c>
      <c r="B417" s="35" t="s">
        <v>1243</v>
      </c>
      <c r="C417" s="35" t="s">
        <v>4062</v>
      </c>
      <c r="D417" s="35" t="s">
        <v>1249</v>
      </c>
      <c r="E417"/>
    </row>
    <row r="418" spans="1:5" x14ac:dyDescent="0.25">
      <c r="A418" s="35" t="s">
        <v>1244</v>
      </c>
      <c r="B418" s="35" t="s">
        <v>1245</v>
      </c>
      <c r="C418" s="35" t="s">
        <v>145</v>
      </c>
      <c r="D418" s="35" t="s">
        <v>346</v>
      </c>
      <c r="E418"/>
    </row>
    <row r="419" spans="1:5" x14ac:dyDescent="0.25">
      <c r="A419" s="35" t="s">
        <v>1246</v>
      </c>
      <c r="B419" s="35" t="s">
        <v>1247</v>
      </c>
      <c r="C419" s="35" t="s">
        <v>44</v>
      </c>
      <c r="D419" s="35" t="s">
        <v>1248</v>
      </c>
      <c r="E419"/>
    </row>
    <row r="420" spans="1:5" x14ac:dyDescent="0.25">
      <c r="A420" s="35" t="s">
        <v>1250</v>
      </c>
      <c r="B420" s="35" t="s">
        <v>1251</v>
      </c>
      <c r="C420" s="35" t="s">
        <v>4043</v>
      </c>
      <c r="D420" s="35" t="s">
        <v>1252</v>
      </c>
      <c r="E420"/>
    </row>
    <row r="421" spans="1:5" x14ac:dyDescent="0.25">
      <c r="A421" s="35" t="s">
        <v>1253</v>
      </c>
      <c r="B421" s="35" t="s">
        <v>1254</v>
      </c>
      <c r="C421" s="35" t="s">
        <v>6</v>
      </c>
      <c r="D421" s="35" t="s">
        <v>1255</v>
      </c>
      <c r="E421"/>
    </row>
    <row r="422" spans="1:5" x14ac:dyDescent="0.25">
      <c r="A422" s="35" t="s">
        <v>1256</v>
      </c>
      <c r="B422" s="35" t="s">
        <v>1257</v>
      </c>
      <c r="C422" s="35" t="s">
        <v>552</v>
      </c>
      <c r="D422" s="35" t="s">
        <v>1258</v>
      </c>
      <c r="E422"/>
    </row>
    <row r="423" spans="1:5" x14ac:dyDescent="0.25">
      <c r="A423" s="35" t="s">
        <v>1259</v>
      </c>
      <c r="B423" s="35" t="s">
        <v>1260</v>
      </c>
      <c r="C423" s="35" t="s">
        <v>95</v>
      </c>
      <c r="D423" s="35" t="s">
        <v>1261</v>
      </c>
      <c r="E423"/>
    </row>
    <row r="424" spans="1:5" x14ac:dyDescent="0.25">
      <c r="A424" s="35" t="s">
        <v>1262</v>
      </c>
      <c r="B424" s="35" t="s">
        <v>1263</v>
      </c>
      <c r="C424" s="35" t="s">
        <v>6</v>
      </c>
      <c r="D424" s="35" t="s">
        <v>1264</v>
      </c>
      <c r="E424"/>
    </row>
    <row r="425" spans="1:5" x14ac:dyDescent="0.25">
      <c r="A425" s="35" t="s">
        <v>1265</v>
      </c>
      <c r="B425" s="35" t="s">
        <v>1266</v>
      </c>
      <c r="C425" s="35" t="s">
        <v>426</v>
      </c>
      <c r="D425" s="35" t="s">
        <v>1267</v>
      </c>
      <c r="E425"/>
    </row>
    <row r="426" spans="1:5" x14ac:dyDescent="0.25">
      <c r="A426" s="35" t="s">
        <v>1268</v>
      </c>
      <c r="B426" s="35" t="s">
        <v>1269</v>
      </c>
      <c r="C426" s="35" t="s">
        <v>266</v>
      </c>
      <c r="D426" s="35" t="s">
        <v>1270</v>
      </c>
      <c r="E426"/>
    </row>
    <row r="427" spans="1:5" x14ac:dyDescent="0.25">
      <c r="A427" s="35" t="s">
        <v>1271</v>
      </c>
      <c r="B427" s="35" t="s">
        <v>1272</v>
      </c>
      <c r="C427" s="35" t="s">
        <v>653</v>
      </c>
      <c r="D427" s="35" t="s">
        <v>1273</v>
      </c>
      <c r="E427"/>
    </row>
    <row r="428" spans="1:5" x14ac:dyDescent="0.25">
      <c r="A428" s="35" t="s">
        <v>1274</v>
      </c>
      <c r="B428" s="35" t="s">
        <v>1275</v>
      </c>
      <c r="C428" s="35" t="s">
        <v>44</v>
      </c>
      <c r="D428" s="35" t="s">
        <v>1276</v>
      </c>
      <c r="E428"/>
    </row>
    <row r="429" spans="1:5" x14ac:dyDescent="0.25">
      <c r="A429" s="35" t="s">
        <v>1277</v>
      </c>
      <c r="B429" s="35" t="s">
        <v>1278</v>
      </c>
      <c r="C429" s="35" t="s">
        <v>44</v>
      </c>
      <c r="D429" s="35" t="s">
        <v>1279</v>
      </c>
      <c r="E429"/>
    </row>
    <row r="430" spans="1:5" x14ac:dyDescent="0.25">
      <c r="A430" s="35" t="s">
        <v>1280</v>
      </c>
      <c r="B430" s="35" t="s">
        <v>1281</v>
      </c>
      <c r="C430" s="35" t="s">
        <v>4153</v>
      </c>
      <c r="D430" s="35" t="s">
        <v>250</v>
      </c>
      <c r="E430"/>
    </row>
    <row r="431" spans="1:5" x14ac:dyDescent="0.25">
      <c r="A431" s="35" t="s">
        <v>1280</v>
      </c>
      <c r="B431" s="35" t="s">
        <v>1281</v>
      </c>
      <c r="C431" s="35" t="s">
        <v>6</v>
      </c>
      <c r="D431" s="35" t="s">
        <v>1282</v>
      </c>
      <c r="E431"/>
    </row>
    <row r="432" spans="1:5" x14ac:dyDescent="0.25">
      <c r="A432" s="35" t="s">
        <v>1283</v>
      </c>
      <c r="B432" s="35" t="s">
        <v>1284</v>
      </c>
      <c r="C432" s="35" t="s">
        <v>44</v>
      </c>
      <c r="D432" s="35" t="s">
        <v>1285</v>
      </c>
      <c r="E432"/>
    </row>
    <row r="433" spans="1:5" x14ac:dyDescent="0.25">
      <c r="A433" s="35" t="s">
        <v>1286</v>
      </c>
      <c r="B433" s="35" t="s">
        <v>1287</v>
      </c>
      <c r="C433" s="35" t="s">
        <v>1288</v>
      </c>
      <c r="D433" s="35" t="s">
        <v>1289</v>
      </c>
      <c r="E433"/>
    </row>
    <row r="434" spans="1:5" x14ac:dyDescent="0.25">
      <c r="A434" s="35" t="s">
        <v>1290</v>
      </c>
      <c r="B434" s="35" t="s">
        <v>1291</v>
      </c>
      <c r="C434" s="35" t="s">
        <v>95</v>
      </c>
      <c r="D434" s="35" t="s">
        <v>1292</v>
      </c>
      <c r="E434"/>
    </row>
    <row r="435" spans="1:5" x14ac:dyDescent="0.25">
      <c r="A435" s="35" t="s">
        <v>1293</v>
      </c>
      <c r="B435" s="35" t="s">
        <v>1294</v>
      </c>
      <c r="C435" s="35" t="s">
        <v>4154</v>
      </c>
      <c r="D435" s="35" t="s">
        <v>1295</v>
      </c>
      <c r="E435"/>
    </row>
    <row r="436" spans="1:5" x14ac:dyDescent="0.25">
      <c r="A436" s="35" t="s">
        <v>1296</v>
      </c>
      <c r="B436" s="35" t="s">
        <v>1297</v>
      </c>
      <c r="C436" s="35" t="s">
        <v>426</v>
      </c>
      <c r="D436" s="35" t="s">
        <v>1298</v>
      </c>
      <c r="E436"/>
    </row>
    <row r="437" spans="1:5" x14ac:dyDescent="0.25">
      <c r="A437" s="35" t="s">
        <v>1299</v>
      </c>
      <c r="B437" s="35" t="s">
        <v>1300</v>
      </c>
      <c r="C437" s="35" t="s">
        <v>74</v>
      </c>
      <c r="D437" s="35" t="s">
        <v>1301</v>
      </c>
      <c r="E437"/>
    </row>
    <row r="438" spans="1:5" x14ac:dyDescent="0.25">
      <c r="A438" s="35" t="s">
        <v>1302</v>
      </c>
      <c r="B438" s="35" t="s">
        <v>1303</v>
      </c>
      <c r="C438" s="35" t="s">
        <v>1304</v>
      </c>
      <c r="D438" s="35" t="s">
        <v>1305</v>
      </c>
      <c r="E438"/>
    </row>
    <row r="439" spans="1:5" x14ac:dyDescent="0.25">
      <c r="A439" s="35" t="s">
        <v>1306</v>
      </c>
      <c r="B439" s="35" t="s">
        <v>1307</v>
      </c>
      <c r="C439" s="35" t="s">
        <v>37</v>
      </c>
      <c r="D439" s="35" t="s">
        <v>437</v>
      </c>
      <c r="E439"/>
    </row>
    <row r="440" spans="1:5" x14ac:dyDescent="0.25">
      <c r="A440" s="35" t="s">
        <v>1308</v>
      </c>
      <c r="B440" s="35" t="s">
        <v>1309</v>
      </c>
      <c r="C440" s="35" t="s">
        <v>134</v>
      </c>
      <c r="D440" s="35" t="s">
        <v>1310</v>
      </c>
      <c r="E440"/>
    </row>
    <row r="441" spans="1:5" x14ac:dyDescent="0.25">
      <c r="A441" s="35" t="s">
        <v>1311</v>
      </c>
      <c r="B441" s="35" t="s">
        <v>1312</v>
      </c>
      <c r="C441" s="35" t="s">
        <v>3841</v>
      </c>
      <c r="D441" s="35" t="s">
        <v>1313</v>
      </c>
      <c r="E441"/>
    </row>
    <row r="442" spans="1:5" x14ac:dyDescent="0.25">
      <c r="A442" s="35" t="s">
        <v>3882</v>
      </c>
      <c r="B442" s="35" t="s">
        <v>3883</v>
      </c>
      <c r="C442" s="35" t="s">
        <v>3884</v>
      </c>
      <c r="D442" s="35" t="s">
        <v>3885</v>
      </c>
      <c r="E442"/>
    </row>
    <row r="443" spans="1:5" x14ac:dyDescent="0.25">
      <c r="A443" s="35" t="s">
        <v>1316</v>
      </c>
      <c r="B443" s="35" t="s">
        <v>1317</v>
      </c>
      <c r="C443" s="35" t="s">
        <v>40</v>
      </c>
      <c r="D443" s="35" t="s">
        <v>1318</v>
      </c>
      <c r="E443"/>
    </row>
    <row r="444" spans="1:5" x14ac:dyDescent="0.25">
      <c r="A444" s="35" t="s">
        <v>1319</v>
      </c>
      <c r="B444" s="35" t="s">
        <v>1320</v>
      </c>
      <c r="C444" s="35" t="s">
        <v>44</v>
      </c>
      <c r="D444" s="35" t="s">
        <v>1321</v>
      </c>
      <c r="E444"/>
    </row>
    <row r="445" spans="1:5" x14ac:dyDescent="0.25">
      <c r="A445" s="35" t="s">
        <v>4075</v>
      </c>
      <c r="B445" s="35" t="s">
        <v>4076</v>
      </c>
      <c r="C445" s="35" t="s">
        <v>4077</v>
      </c>
      <c r="D445" s="35" t="s">
        <v>4078</v>
      </c>
      <c r="E445"/>
    </row>
    <row r="446" spans="1:5" x14ac:dyDescent="0.25">
      <c r="A446" s="35" t="s">
        <v>1322</v>
      </c>
      <c r="B446" s="35" t="s">
        <v>1323</v>
      </c>
      <c r="C446" s="35" t="s">
        <v>37</v>
      </c>
      <c r="D446" s="35" t="s">
        <v>1324</v>
      </c>
      <c r="E446"/>
    </row>
    <row r="447" spans="1:5" x14ac:dyDescent="0.25">
      <c r="A447" s="35" t="s">
        <v>1325</v>
      </c>
      <c r="B447" s="35" t="s">
        <v>1326</v>
      </c>
      <c r="C447" s="35" t="s">
        <v>552</v>
      </c>
      <c r="D447" s="35" t="s">
        <v>1327</v>
      </c>
      <c r="E447"/>
    </row>
    <row r="448" spans="1:5" x14ac:dyDescent="0.25">
      <c r="A448" s="35" t="s">
        <v>1328</v>
      </c>
      <c r="B448" s="35" t="s">
        <v>1329</v>
      </c>
      <c r="C448" s="35" t="s">
        <v>4155</v>
      </c>
      <c r="D448" s="35" t="s">
        <v>330</v>
      </c>
      <c r="E448"/>
    </row>
    <row r="449" spans="1:5" x14ac:dyDescent="0.25">
      <c r="A449" s="35" t="s">
        <v>1331</v>
      </c>
      <c r="B449" s="35" t="s">
        <v>1332</v>
      </c>
      <c r="C449" s="35" t="s">
        <v>4156</v>
      </c>
      <c r="D449" s="35" t="s">
        <v>683</v>
      </c>
      <c r="E449"/>
    </row>
    <row r="450" spans="1:5" x14ac:dyDescent="0.25">
      <c r="A450" s="35" t="s">
        <v>1334</v>
      </c>
      <c r="B450" s="35" t="s">
        <v>1335</v>
      </c>
      <c r="C450" s="35" t="s">
        <v>193</v>
      </c>
      <c r="D450" s="35" t="s">
        <v>590</v>
      </c>
      <c r="E450"/>
    </row>
    <row r="451" spans="1:5" x14ac:dyDescent="0.25">
      <c r="A451" s="35" t="s">
        <v>1337</v>
      </c>
      <c r="B451" s="35" t="s">
        <v>1338</v>
      </c>
      <c r="C451" s="35" t="s">
        <v>166</v>
      </c>
      <c r="D451" s="35" t="s">
        <v>1339</v>
      </c>
      <c r="E451"/>
    </row>
    <row r="452" spans="1:5" x14ac:dyDescent="0.25">
      <c r="A452" s="35" t="s">
        <v>1340</v>
      </c>
      <c r="B452" s="35" t="s">
        <v>1341</v>
      </c>
      <c r="C452" s="35" t="s">
        <v>91</v>
      </c>
      <c r="D452" s="35" t="s">
        <v>1342</v>
      </c>
      <c r="E452"/>
    </row>
    <row r="453" spans="1:5" x14ac:dyDescent="0.25">
      <c r="A453" s="35" t="s">
        <v>1343</v>
      </c>
      <c r="B453" s="35" t="s">
        <v>1344</v>
      </c>
      <c r="C453" s="35" t="s">
        <v>6</v>
      </c>
      <c r="D453" s="35" t="s">
        <v>1345</v>
      </c>
      <c r="E453"/>
    </row>
    <row r="454" spans="1:5" x14ac:dyDescent="0.25">
      <c r="A454" s="35" t="s">
        <v>1346</v>
      </c>
      <c r="B454" s="35" t="s">
        <v>1347</v>
      </c>
      <c r="C454" s="35" t="s">
        <v>78</v>
      </c>
      <c r="D454" s="35" t="s">
        <v>1348</v>
      </c>
      <c r="E454"/>
    </row>
    <row r="455" spans="1:5" x14ac:dyDescent="0.25">
      <c r="A455" s="35" t="s">
        <v>1346</v>
      </c>
      <c r="B455" s="35" t="s">
        <v>1347</v>
      </c>
      <c r="C455" s="35" t="s">
        <v>40</v>
      </c>
      <c r="D455" s="35" t="s">
        <v>1349</v>
      </c>
      <c r="E455"/>
    </row>
    <row r="456" spans="1:5" x14ac:dyDescent="0.25">
      <c r="A456" s="35" t="s">
        <v>1346</v>
      </c>
      <c r="B456" s="35" t="s">
        <v>1347</v>
      </c>
      <c r="C456" s="35" t="s">
        <v>653</v>
      </c>
      <c r="D456" s="35" t="s">
        <v>1350</v>
      </c>
      <c r="E456"/>
    </row>
    <row r="457" spans="1:5" x14ac:dyDescent="0.25">
      <c r="A457" s="35" t="s">
        <v>1351</v>
      </c>
      <c r="B457" s="35" t="s">
        <v>1352</v>
      </c>
      <c r="C457" s="35" t="s">
        <v>426</v>
      </c>
      <c r="D457" s="35" t="s">
        <v>1353</v>
      </c>
      <c r="E457"/>
    </row>
    <row r="458" spans="1:5" x14ac:dyDescent="0.25">
      <c r="A458" s="35" t="s">
        <v>4108</v>
      </c>
      <c r="B458" s="35" t="s">
        <v>4109</v>
      </c>
      <c r="C458" s="35" t="s">
        <v>4106</v>
      </c>
      <c r="D458" s="35" t="s">
        <v>28</v>
      </c>
      <c r="E458"/>
    </row>
    <row r="459" spans="1:5" x14ac:dyDescent="0.25">
      <c r="A459" s="35" t="s">
        <v>1354</v>
      </c>
      <c r="B459" s="35" t="s">
        <v>1355</v>
      </c>
      <c r="C459" s="35" t="s">
        <v>40</v>
      </c>
      <c r="D459" s="35" t="s">
        <v>1356</v>
      </c>
      <c r="E459"/>
    </row>
    <row r="460" spans="1:5" x14ac:dyDescent="0.25">
      <c r="A460" s="35" t="s">
        <v>1357</v>
      </c>
      <c r="B460" s="35" t="s">
        <v>1358</v>
      </c>
      <c r="C460" s="35" t="s">
        <v>3834</v>
      </c>
      <c r="D460" s="35" t="s">
        <v>1359</v>
      </c>
      <c r="E460"/>
    </row>
    <row r="461" spans="1:5" x14ac:dyDescent="0.25">
      <c r="A461" s="35" t="s">
        <v>1360</v>
      </c>
      <c r="B461" s="35" t="s">
        <v>1361</v>
      </c>
      <c r="C461" s="35" t="s">
        <v>1362</v>
      </c>
      <c r="D461" s="35" t="s">
        <v>1363</v>
      </c>
      <c r="E461"/>
    </row>
    <row r="462" spans="1:5" x14ac:dyDescent="0.25">
      <c r="A462" s="35" t="s">
        <v>1364</v>
      </c>
      <c r="B462" s="35" t="s">
        <v>1365</v>
      </c>
      <c r="C462" s="35" t="s">
        <v>1366</v>
      </c>
      <c r="D462" s="35" t="s">
        <v>1367</v>
      </c>
      <c r="E462"/>
    </row>
    <row r="463" spans="1:5" x14ac:dyDescent="0.25">
      <c r="A463" s="35" t="s">
        <v>1368</v>
      </c>
      <c r="B463" s="35" t="s">
        <v>1369</v>
      </c>
      <c r="C463" s="35" t="s">
        <v>95</v>
      </c>
      <c r="D463" s="35" t="s">
        <v>1370</v>
      </c>
      <c r="E463"/>
    </row>
    <row r="464" spans="1:5" x14ac:dyDescent="0.25">
      <c r="A464" s="35" t="s">
        <v>1371</v>
      </c>
      <c r="B464" s="35" t="s">
        <v>1372</v>
      </c>
      <c r="C464" s="35" t="s">
        <v>564</v>
      </c>
      <c r="D464" s="35" t="s">
        <v>1373</v>
      </c>
      <c r="E464"/>
    </row>
    <row r="465" spans="1:5" x14ac:dyDescent="0.25">
      <c r="A465" s="35" t="s">
        <v>1374</v>
      </c>
      <c r="B465" s="35" t="s">
        <v>1375</v>
      </c>
      <c r="C465" s="35" t="s">
        <v>44</v>
      </c>
      <c r="D465" s="35" t="s">
        <v>1376</v>
      </c>
      <c r="E465"/>
    </row>
    <row r="466" spans="1:5" x14ac:dyDescent="0.25">
      <c r="A466" s="35" t="s">
        <v>1377</v>
      </c>
      <c r="B466" s="35" t="s">
        <v>1378</v>
      </c>
      <c r="C466" s="35" t="s">
        <v>3825</v>
      </c>
      <c r="D466" s="35" t="s">
        <v>1379</v>
      </c>
      <c r="E466"/>
    </row>
    <row r="467" spans="1:5" x14ac:dyDescent="0.25">
      <c r="A467" s="35" t="s">
        <v>1380</v>
      </c>
      <c r="B467" s="35" t="s">
        <v>1381</v>
      </c>
      <c r="C467" s="35" t="s">
        <v>44</v>
      </c>
      <c r="D467" s="35" t="s">
        <v>1382</v>
      </c>
      <c r="E467"/>
    </row>
    <row r="468" spans="1:5" x14ac:dyDescent="0.25">
      <c r="A468" s="35" t="s">
        <v>1383</v>
      </c>
      <c r="B468" s="35" t="s">
        <v>1384</v>
      </c>
      <c r="C468" s="35" t="s">
        <v>44</v>
      </c>
      <c r="D468" s="35" t="s">
        <v>1385</v>
      </c>
      <c r="E468"/>
    </row>
    <row r="469" spans="1:5" x14ac:dyDescent="0.25">
      <c r="A469" s="35" t="s">
        <v>1386</v>
      </c>
      <c r="B469" s="35" t="s">
        <v>1387</v>
      </c>
      <c r="C469" s="35" t="s">
        <v>44</v>
      </c>
      <c r="D469" s="35" t="s">
        <v>1388</v>
      </c>
      <c r="E469"/>
    </row>
    <row r="470" spans="1:5" x14ac:dyDescent="0.25">
      <c r="A470" s="35" t="s">
        <v>1389</v>
      </c>
      <c r="B470" s="35" t="s">
        <v>1390</v>
      </c>
      <c r="C470" s="35" t="s">
        <v>564</v>
      </c>
      <c r="D470" s="35" t="s">
        <v>1391</v>
      </c>
      <c r="E470"/>
    </row>
    <row r="471" spans="1:5" x14ac:dyDescent="0.25">
      <c r="A471" s="35" t="s">
        <v>1392</v>
      </c>
      <c r="B471" s="35" t="s">
        <v>1393</v>
      </c>
      <c r="C471" s="35" t="s">
        <v>4157</v>
      </c>
      <c r="D471" s="35" t="s">
        <v>1394</v>
      </c>
      <c r="E471"/>
    </row>
    <row r="472" spans="1:5" x14ac:dyDescent="0.25">
      <c r="A472" s="35" t="s">
        <v>1395</v>
      </c>
      <c r="B472" s="35" t="s">
        <v>1396</v>
      </c>
      <c r="C472" s="35" t="s">
        <v>105</v>
      </c>
      <c r="D472" s="35" t="s">
        <v>1397</v>
      </c>
      <c r="E472"/>
    </row>
    <row r="473" spans="1:5" x14ac:dyDescent="0.25">
      <c r="A473" s="35" t="s">
        <v>1398</v>
      </c>
      <c r="B473" s="35" t="s">
        <v>1399</v>
      </c>
      <c r="C473" s="35" t="s">
        <v>91</v>
      </c>
      <c r="D473" s="35" t="s">
        <v>1400</v>
      </c>
      <c r="E473"/>
    </row>
    <row r="474" spans="1:5" x14ac:dyDescent="0.25">
      <c r="A474" s="35" t="s">
        <v>1401</v>
      </c>
      <c r="B474" s="35" t="s">
        <v>1402</v>
      </c>
      <c r="C474" s="35" t="s">
        <v>1403</v>
      </c>
      <c r="D474" s="35" t="s">
        <v>1404</v>
      </c>
      <c r="E474"/>
    </row>
    <row r="475" spans="1:5" x14ac:dyDescent="0.25">
      <c r="A475" s="35" t="s">
        <v>1405</v>
      </c>
      <c r="B475" s="35" t="s">
        <v>1406</v>
      </c>
      <c r="C475" s="35" t="s">
        <v>552</v>
      </c>
      <c r="D475" s="35" t="s">
        <v>1407</v>
      </c>
      <c r="E475"/>
    </row>
    <row r="476" spans="1:5" x14ac:dyDescent="0.25">
      <c r="A476" s="35" t="s">
        <v>1408</v>
      </c>
      <c r="B476" s="35" t="s">
        <v>1409</v>
      </c>
      <c r="C476" s="35" t="s">
        <v>44</v>
      </c>
      <c r="D476" s="35" t="s">
        <v>1410</v>
      </c>
      <c r="E476"/>
    </row>
    <row r="477" spans="1:5" x14ac:dyDescent="0.25">
      <c r="A477" s="35" t="s">
        <v>1411</v>
      </c>
      <c r="B477" s="35" t="s">
        <v>1412</v>
      </c>
      <c r="C477" s="35" t="s">
        <v>37</v>
      </c>
      <c r="D477" s="35" t="s">
        <v>1413</v>
      </c>
      <c r="E477"/>
    </row>
    <row r="478" spans="1:5" x14ac:dyDescent="0.25">
      <c r="A478" s="35" t="s">
        <v>1414</v>
      </c>
      <c r="B478" s="35" t="s">
        <v>1415</v>
      </c>
      <c r="C478" s="35" t="s">
        <v>4204</v>
      </c>
      <c r="D478" s="35" t="s">
        <v>1416</v>
      </c>
      <c r="E478"/>
    </row>
    <row r="479" spans="1:5" x14ac:dyDescent="0.25">
      <c r="A479" s="35" t="s">
        <v>1417</v>
      </c>
      <c r="B479" s="35" t="s">
        <v>1418</v>
      </c>
      <c r="C479" s="35" t="s">
        <v>95</v>
      </c>
      <c r="D479" s="35" t="s">
        <v>1419</v>
      </c>
      <c r="E479"/>
    </row>
    <row r="480" spans="1:5" x14ac:dyDescent="0.25">
      <c r="A480" s="35" t="s">
        <v>1420</v>
      </c>
      <c r="B480" s="35" t="s">
        <v>1421</v>
      </c>
      <c r="C480" s="35" t="s">
        <v>1422</v>
      </c>
      <c r="D480" s="35" t="s">
        <v>1423</v>
      </c>
      <c r="E480"/>
    </row>
    <row r="481" spans="1:5" x14ac:dyDescent="0.25">
      <c r="A481" s="35" t="s">
        <v>1424</v>
      </c>
      <c r="B481" s="35" t="s">
        <v>1425</v>
      </c>
      <c r="C481" s="35" t="s">
        <v>91</v>
      </c>
      <c r="D481" s="35" t="s">
        <v>1426</v>
      </c>
      <c r="E481"/>
    </row>
    <row r="482" spans="1:5" x14ac:dyDescent="0.25">
      <c r="A482" s="35" t="s">
        <v>1427</v>
      </c>
      <c r="B482" s="35" t="s">
        <v>1428</v>
      </c>
      <c r="C482" s="35" t="s">
        <v>426</v>
      </c>
      <c r="D482" s="35" t="s">
        <v>1429</v>
      </c>
      <c r="E482"/>
    </row>
    <row r="483" spans="1:5" x14ac:dyDescent="0.25">
      <c r="A483" s="35" t="s">
        <v>1427</v>
      </c>
      <c r="B483" s="35" t="s">
        <v>1428</v>
      </c>
      <c r="C483" s="35" t="s">
        <v>751</v>
      </c>
      <c r="D483" s="35" t="s">
        <v>1430</v>
      </c>
      <c r="E483"/>
    </row>
    <row r="484" spans="1:5" x14ac:dyDescent="0.25">
      <c r="A484" s="35" t="s">
        <v>1431</v>
      </c>
      <c r="B484" s="35" t="s">
        <v>1432</v>
      </c>
      <c r="C484" s="35" t="s">
        <v>95</v>
      </c>
      <c r="D484" s="35" t="s">
        <v>1433</v>
      </c>
      <c r="E484"/>
    </row>
    <row r="485" spans="1:5" x14ac:dyDescent="0.25">
      <c r="A485" s="35" t="s">
        <v>1434</v>
      </c>
      <c r="B485" s="35" t="s">
        <v>1435</v>
      </c>
      <c r="C485" s="35" t="s">
        <v>1436</v>
      </c>
      <c r="D485" s="35" t="s">
        <v>1437</v>
      </c>
      <c r="E485"/>
    </row>
    <row r="486" spans="1:5" x14ac:dyDescent="0.25">
      <c r="A486" s="35" t="s">
        <v>1438</v>
      </c>
      <c r="B486" s="35" t="s">
        <v>1439</v>
      </c>
      <c r="C486" s="35" t="s">
        <v>6</v>
      </c>
      <c r="D486" s="35" t="s">
        <v>1440</v>
      </c>
      <c r="E486"/>
    </row>
    <row r="487" spans="1:5" x14ac:dyDescent="0.25">
      <c r="A487" s="35" t="s">
        <v>4158</v>
      </c>
      <c r="B487" s="35" t="s">
        <v>4159</v>
      </c>
      <c r="C487" s="35" t="s">
        <v>4160</v>
      </c>
      <c r="D487" s="35" t="s">
        <v>4161</v>
      </c>
      <c r="E487"/>
    </row>
    <row r="488" spans="1:5" x14ac:dyDescent="0.25">
      <c r="A488" s="35" t="s">
        <v>1441</v>
      </c>
      <c r="B488" s="35" t="s">
        <v>1442</v>
      </c>
      <c r="C488" s="35" t="s">
        <v>4162</v>
      </c>
      <c r="D488" s="35" t="s">
        <v>1067</v>
      </c>
      <c r="E488"/>
    </row>
    <row r="489" spans="1:5" x14ac:dyDescent="0.25">
      <c r="A489" s="35" t="s">
        <v>1444</v>
      </c>
      <c r="B489" s="35" t="s">
        <v>1445</v>
      </c>
      <c r="C489" s="35" t="s">
        <v>1446</v>
      </c>
      <c r="D489" s="35" t="s">
        <v>1447</v>
      </c>
      <c r="E489"/>
    </row>
    <row r="490" spans="1:5" x14ac:dyDescent="0.25">
      <c r="A490" s="35" t="s">
        <v>1448</v>
      </c>
      <c r="B490" s="35" t="s">
        <v>1449</v>
      </c>
      <c r="C490" s="35" t="s">
        <v>91</v>
      </c>
      <c r="D490" s="35" t="s">
        <v>1450</v>
      </c>
      <c r="E490"/>
    </row>
    <row r="491" spans="1:5" x14ac:dyDescent="0.25">
      <c r="A491" s="35" t="s">
        <v>1451</v>
      </c>
      <c r="B491" s="35" t="s">
        <v>1452</v>
      </c>
      <c r="C491" s="35" t="s">
        <v>37</v>
      </c>
      <c r="D491" s="35" t="s">
        <v>1453</v>
      </c>
      <c r="E491"/>
    </row>
    <row r="492" spans="1:5" x14ac:dyDescent="0.25">
      <c r="A492" s="35" t="s">
        <v>1454</v>
      </c>
      <c r="B492" s="35" t="s">
        <v>1455</v>
      </c>
      <c r="C492" s="35" t="s">
        <v>4163</v>
      </c>
      <c r="D492" s="35" t="s">
        <v>1456</v>
      </c>
      <c r="E492"/>
    </row>
    <row r="493" spans="1:5" x14ac:dyDescent="0.25">
      <c r="A493" s="35" t="s">
        <v>1457</v>
      </c>
      <c r="B493" s="35" t="s">
        <v>1458</v>
      </c>
      <c r="C493" s="35" t="s">
        <v>4063</v>
      </c>
      <c r="D493" s="35" t="s">
        <v>1459</v>
      </c>
      <c r="E493"/>
    </row>
    <row r="494" spans="1:5" x14ac:dyDescent="0.25">
      <c r="A494" s="35" t="s">
        <v>1462</v>
      </c>
      <c r="B494" s="35" t="s">
        <v>1463</v>
      </c>
      <c r="C494" s="35" t="s">
        <v>95</v>
      </c>
      <c r="D494" s="35" t="s">
        <v>1464</v>
      </c>
      <c r="E494"/>
    </row>
    <row r="495" spans="1:5" x14ac:dyDescent="0.25">
      <c r="A495" s="35" t="s">
        <v>1465</v>
      </c>
      <c r="B495" s="35" t="s">
        <v>1466</v>
      </c>
      <c r="C495" s="35" t="s">
        <v>3825</v>
      </c>
      <c r="D495" s="35" t="s">
        <v>1467</v>
      </c>
      <c r="E495"/>
    </row>
    <row r="496" spans="1:5" x14ac:dyDescent="0.25">
      <c r="A496" s="35" t="s">
        <v>1468</v>
      </c>
      <c r="B496" s="35" t="s">
        <v>1469</v>
      </c>
      <c r="C496" s="35" t="s">
        <v>842</v>
      </c>
      <c r="D496" s="35" t="s">
        <v>1470</v>
      </c>
      <c r="E496"/>
    </row>
    <row r="497" spans="1:5" x14ac:dyDescent="0.25">
      <c r="A497" s="35" t="s">
        <v>1471</v>
      </c>
      <c r="B497" s="35" t="s">
        <v>1472</v>
      </c>
      <c r="C497" s="35" t="s">
        <v>1473</v>
      </c>
      <c r="D497" s="35" t="s">
        <v>1474</v>
      </c>
      <c r="E497"/>
    </row>
    <row r="498" spans="1:5" x14ac:dyDescent="0.25">
      <c r="A498" s="35" t="s">
        <v>1475</v>
      </c>
      <c r="B498" s="35" t="s">
        <v>1476</v>
      </c>
      <c r="C498" s="35" t="s">
        <v>44</v>
      </c>
      <c r="D498" s="35" t="s">
        <v>1477</v>
      </c>
      <c r="E498"/>
    </row>
    <row r="499" spans="1:5" x14ac:dyDescent="0.25">
      <c r="A499" s="35" t="s">
        <v>1478</v>
      </c>
      <c r="B499" s="35" t="s">
        <v>1479</v>
      </c>
      <c r="C499" s="35" t="s">
        <v>1480</v>
      </c>
      <c r="D499" s="35" t="s">
        <v>1481</v>
      </c>
      <c r="E499"/>
    </row>
    <row r="500" spans="1:5" x14ac:dyDescent="0.25">
      <c r="A500" s="35" t="s">
        <v>1482</v>
      </c>
      <c r="B500" s="35" t="s">
        <v>1483</v>
      </c>
      <c r="C500" s="35" t="s">
        <v>311</v>
      </c>
      <c r="D500" s="35" t="s">
        <v>1484</v>
      </c>
      <c r="E500"/>
    </row>
    <row r="501" spans="1:5" x14ac:dyDescent="0.25">
      <c r="A501" s="35" t="s">
        <v>1485</v>
      </c>
      <c r="B501" s="35" t="s">
        <v>1486</v>
      </c>
      <c r="C501" s="35" t="s">
        <v>44</v>
      </c>
      <c r="D501" s="35" t="s">
        <v>1487</v>
      </c>
      <c r="E501"/>
    </row>
    <row r="502" spans="1:5" x14ac:dyDescent="0.25">
      <c r="A502" s="35" t="s">
        <v>1488</v>
      </c>
      <c r="B502" s="35" t="s">
        <v>1489</v>
      </c>
      <c r="C502" s="35" t="s">
        <v>1490</v>
      </c>
      <c r="D502" s="35" t="s">
        <v>1491</v>
      </c>
      <c r="E502"/>
    </row>
    <row r="503" spans="1:5" x14ac:dyDescent="0.25">
      <c r="A503" s="35" t="s">
        <v>1492</v>
      </c>
      <c r="B503" s="35" t="s">
        <v>1493</v>
      </c>
      <c r="C503" s="35" t="s">
        <v>40</v>
      </c>
      <c r="D503" s="35" t="s">
        <v>1494</v>
      </c>
      <c r="E503"/>
    </row>
    <row r="504" spans="1:5" x14ac:dyDescent="0.25">
      <c r="A504" s="35" t="s">
        <v>1495</v>
      </c>
      <c r="B504" s="35" t="s">
        <v>1496</v>
      </c>
      <c r="C504" s="35" t="s">
        <v>1497</v>
      </c>
      <c r="D504" s="35" t="s">
        <v>1498</v>
      </c>
      <c r="E504"/>
    </row>
    <row r="505" spans="1:5" x14ac:dyDescent="0.25">
      <c r="A505" s="35" t="s">
        <v>1499</v>
      </c>
      <c r="B505" s="35" t="s">
        <v>1500</v>
      </c>
      <c r="C505" s="35" t="s">
        <v>560</v>
      </c>
      <c r="D505" s="35" t="s">
        <v>1501</v>
      </c>
      <c r="E505"/>
    </row>
    <row r="506" spans="1:5" x14ac:dyDescent="0.25">
      <c r="A506" s="35" t="s">
        <v>1502</v>
      </c>
      <c r="B506" s="35" t="s">
        <v>1503</v>
      </c>
      <c r="C506" s="35" t="s">
        <v>105</v>
      </c>
      <c r="D506" s="35" t="s">
        <v>1504</v>
      </c>
      <c r="E506"/>
    </row>
    <row r="507" spans="1:5" x14ac:dyDescent="0.25">
      <c r="A507" s="35" t="s">
        <v>1505</v>
      </c>
      <c r="B507" s="35" t="s">
        <v>1506</v>
      </c>
      <c r="C507" s="35" t="s">
        <v>4044</v>
      </c>
      <c r="D507" s="35" t="s">
        <v>4045</v>
      </c>
      <c r="E507"/>
    </row>
    <row r="508" spans="1:5" x14ac:dyDescent="0.25">
      <c r="A508" s="35" t="s">
        <v>1507</v>
      </c>
      <c r="B508" s="35" t="s">
        <v>1508</v>
      </c>
      <c r="C508" s="35" t="s">
        <v>1509</v>
      </c>
      <c r="D508" s="35" t="s">
        <v>1510</v>
      </c>
      <c r="E508"/>
    </row>
    <row r="509" spans="1:5" x14ac:dyDescent="0.25">
      <c r="A509" s="35" t="s">
        <v>1511</v>
      </c>
      <c r="B509" s="35" t="s">
        <v>1512</v>
      </c>
      <c r="C509" s="35" t="s">
        <v>3886</v>
      </c>
      <c r="D509" s="35" t="s">
        <v>1513</v>
      </c>
      <c r="E509"/>
    </row>
    <row r="510" spans="1:5" x14ac:dyDescent="0.25">
      <c r="A510" s="35" t="s">
        <v>1514</v>
      </c>
      <c r="B510" s="35" t="s">
        <v>1515</v>
      </c>
      <c r="C510" s="35" t="s">
        <v>1516</v>
      </c>
      <c r="D510" s="35" t="s">
        <v>1517</v>
      </c>
      <c r="E510"/>
    </row>
    <row r="511" spans="1:5" x14ac:dyDescent="0.25">
      <c r="A511" s="35" t="s">
        <v>1518</v>
      </c>
      <c r="B511" s="35" t="s">
        <v>1519</v>
      </c>
      <c r="C511" s="35" t="s">
        <v>1520</v>
      </c>
      <c r="D511" s="35" t="s">
        <v>1521</v>
      </c>
      <c r="E511"/>
    </row>
    <row r="512" spans="1:5" x14ac:dyDescent="0.25">
      <c r="A512" s="35" t="s">
        <v>4118</v>
      </c>
      <c r="B512" s="35" t="s">
        <v>4119</v>
      </c>
      <c r="C512" s="35" t="s">
        <v>4124</v>
      </c>
      <c r="D512" s="35" t="s">
        <v>890</v>
      </c>
      <c r="E512"/>
    </row>
    <row r="513" spans="1:5" x14ac:dyDescent="0.25">
      <c r="A513" s="35" t="s">
        <v>1523</v>
      </c>
      <c r="B513" s="35" t="s">
        <v>1524</v>
      </c>
      <c r="C513" s="35" t="s">
        <v>95</v>
      </c>
      <c r="D513" s="35" t="s">
        <v>1525</v>
      </c>
      <c r="E513"/>
    </row>
    <row r="514" spans="1:5" x14ac:dyDescent="0.25">
      <c r="A514" s="35" t="s">
        <v>1526</v>
      </c>
      <c r="B514" s="35" t="s">
        <v>1527</v>
      </c>
      <c r="C514" s="35" t="s">
        <v>564</v>
      </c>
      <c r="D514" s="35" t="s">
        <v>1528</v>
      </c>
      <c r="E514"/>
    </row>
    <row r="515" spans="1:5" x14ac:dyDescent="0.25">
      <c r="A515" s="35" t="s">
        <v>4164</v>
      </c>
      <c r="B515" s="35" t="s">
        <v>4165</v>
      </c>
      <c r="C515" s="35" t="s">
        <v>4166</v>
      </c>
      <c r="D515" s="35" t="s">
        <v>4167</v>
      </c>
      <c r="E515"/>
    </row>
    <row r="516" spans="1:5" x14ac:dyDescent="0.25">
      <c r="A516" s="35" t="s">
        <v>1529</v>
      </c>
      <c r="B516" s="35" t="s">
        <v>1530</v>
      </c>
      <c r="C516" s="35" t="s">
        <v>552</v>
      </c>
      <c r="D516" s="35" t="s">
        <v>1531</v>
      </c>
      <c r="E516"/>
    </row>
    <row r="517" spans="1:5" x14ac:dyDescent="0.25">
      <c r="A517" s="27"/>
      <c r="B517" s="27"/>
      <c r="C517" s="27"/>
      <c r="D517" s="27"/>
      <c r="E517"/>
    </row>
    <row r="518" spans="1:5" x14ac:dyDescent="0.25">
      <c r="A518" s="27"/>
      <c r="B518" s="27"/>
      <c r="C518" s="27"/>
      <c r="D518" s="27"/>
      <c r="E518"/>
    </row>
    <row r="519" spans="1:5" x14ac:dyDescent="0.25">
      <c r="A519" s="27"/>
      <c r="B519" s="27"/>
      <c r="C519" s="27"/>
      <c r="D519" s="27"/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0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130" sqref="A57:B1130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hidden="1" x14ac:dyDescent="0.25">
      <c r="A2" s="35" t="s">
        <v>1536</v>
      </c>
      <c r="B2" s="35" t="s">
        <v>1536</v>
      </c>
      <c r="C2" s="35" t="s">
        <v>1537</v>
      </c>
      <c r="D2" s="8">
        <f>COUNTIF(Table4[کد سیستم],Table2[[#This Row],[کد سیستم]])</f>
        <v>1</v>
      </c>
    </row>
    <row r="3" spans="1:4" hidden="1" x14ac:dyDescent="0.25">
      <c r="A3" s="35" t="s">
        <v>1538</v>
      </c>
      <c r="B3" s="35" t="s">
        <v>1538</v>
      </c>
      <c r="C3" s="35" t="s">
        <v>1539</v>
      </c>
      <c r="D3" s="8">
        <f>COUNTIF(Table4[کد سیستم],Table2[[#This Row],[کد سیستم]])</f>
        <v>1</v>
      </c>
    </row>
    <row r="4" spans="1:4" hidden="1" x14ac:dyDescent="0.25">
      <c r="A4" s="35" t="s">
        <v>1540</v>
      </c>
      <c r="B4" s="35" t="s">
        <v>1540</v>
      </c>
      <c r="C4" s="35" t="s">
        <v>1541</v>
      </c>
      <c r="D4" s="8">
        <f>COUNTIF(Table4[کد سیستم],Table2[[#This Row],[کد سیستم]])</f>
        <v>1</v>
      </c>
    </row>
    <row r="5" spans="1:4" hidden="1" x14ac:dyDescent="0.25">
      <c r="A5" s="35" t="s">
        <v>1542</v>
      </c>
      <c r="B5" s="35" t="s">
        <v>1542</v>
      </c>
      <c r="C5" s="35" t="s">
        <v>1543</v>
      </c>
      <c r="D5" s="8">
        <f>COUNTIF(Table4[کد سیستم],Table2[[#This Row],[کد سیستم]])</f>
        <v>1</v>
      </c>
    </row>
    <row r="6" spans="1:4" hidden="1" x14ac:dyDescent="0.25">
      <c r="A6" s="35" t="s">
        <v>1544</v>
      </c>
      <c r="B6" s="35" t="s">
        <v>1544</v>
      </c>
      <c r="C6" s="35" t="s">
        <v>1545</v>
      </c>
      <c r="D6" s="8">
        <f>COUNTIF(Table4[کد سیستم],Table2[[#This Row],[کد سیستم]])</f>
        <v>1</v>
      </c>
    </row>
    <row r="7" spans="1:4" hidden="1" x14ac:dyDescent="0.25">
      <c r="A7" s="35" t="s">
        <v>1546</v>
      </c>
      <c r="B7" s="35" t="s">
        <v>1546</v>
      </c>
      <c r="C7" s="35" t="s">
        <v>1547</v>
      </c>
      <c r="D7" s="8">
        <f>COUNTIF(Table4[کد سیستم],Table2[[#This Row],[کد سیستم]])</f>
        <v>1</v>
      </c>
    </row>
    <row r="8" spans="1:4" hidden="1" x14ac:dyDescent="0.25">
      <c r="A8" s="35" t="s">
        <v>1548</v>
      </c>
      <c r="B8" s="35" t="s">
        <v>1548</v>
      </c>
      <c r="C8" s="35" t="s">
        <v>1549</v>
      </c>
      <c r="D8" s="8">
        <f>COUNTIF(Table4[کد سیستم],Table2[[#This Row],[کد سیستم]])</f>
        <v>1</v>
      </c>
    </row>
    <row r="9" spans="1:4" hidden="1" x14ac:dyDescent="0.25">
      <c r="A9" s="35" t="s">
        <v>1550</v>
      </c>
      <c r="B9" s="35" t="s">
        <v>1550</v>
      </c>
      <c r="C9" s="35" t="s">
        <v>1551</v>
      </c>
      <c r="D9" s="8">
        <f>COUNTIF(Table4[کد سیستم],Table2[[#This Row],[کد سیستم]])</f>
        <v>1</v>
      </c>
    </row>
    <row r="10" spans="1:4" hidden="1" x14ac:dyDescent="0.25">
      <c r="A10" s="35" t="s">
        <v>1552</v>
      </c>
      <c r="B10" s="35" t="s">
        <v>1552</v>
      </c>
      <c r="C10" s="35" t="s">
        <v>1553</v>
      </c>
      <c r="D10" s="8">
        <f>COUNTIF(Table4[کد سیستم],Table2[[#This Row],[کد سیستم]])</f>
        <v>1</v>
      </c>
    </row>
    <row r="11" spans="1:4" hidden="1" x14ac:dyDescent="0.25">
      <c r="A11" s="35" t="s">
        <v>1554</v>
      </c>
      <c r="B11" s="35" t="s">
        <v>1554</v>
      </c>
      <c r="C11" s="35" t="s">
        <v>1555</v>
      </c>
      <c r="D11" s="8">
        <f>COUNTIF(Table4[کد سیستم],Table2[[#This Row],[کد سیستم]])</f>
        <v>1</v>
      </c>
    </row>
    <row r="12" spans="1:4" hidden="1" x14ac:dyDescent="0.25">
      <c r="A12" s="35" t="s">
        <v>1556</v>
      </c>
      <c r="B12" s="35" t="s">
        <v>1556</v>
      </c>
      <c r="C12" s="35" t="s">
        <v>1557</v>
      </c>
      <c r="D12" s="8">
        <f>COUNTIF(Table4[کد سیستم],Table2[[#This Row],[کد سیستم]])</f>
        <v>1</v>
      </c>
    </row>
    <row r="13" spans="1:4" hidden="1" x14ac:dyDescent="0.25">
      <c r="A13" s="35" t="s">
        <v>1558</v>
      </c>
      <c r="B13" s="35" t="s">
        <v>1558</v>
      </c>
      <c r="C13" s="35" t="s">
        <v>1559</v>
      </c>
      <c r="D13" s="8">
        <f>COUNTIF(Table4[کد سیستم],Table2[[#This Row],[کد سیستم]])</f>
        <v>1</v>
      </c>
    </row>
    <row r="14" spans="1:4" hidden="1" x14ac:dyDescent="0.25">
      <c r="A14" s="35" t="s">
        <v>1560</v>
      </c>
      <c r="B14" s="35" t="s">
        <v>1560</v>
      </c>
      <c r="C14" s="35" t="s">
        <v>1561</v>
      </c>
      <c r="D14" s="8">
        <f>COUNTIF(Table4[کد سیستم],Table2[[#This Row],[کد سیستم]])</f>
        <v>1</v>
      </c>
    </row>
    <row r="15" spans="1:4" hidden="1" x14ac:dyDescent="0.25">
      <c r="A15" s="35" t="s">
        <v>1562</v>
      </c>
      <c r="B15" s="35" t="s">
        <v>1562</v>
      </c>
      <c r="C15" s="35" t="s">
        <v>1563</v>
      </c>
      <c r="D15" s="8">
        <f>COUNTIF(Table4[کد سیستم],Table2[[#This Row],[کد سیستم]])</f>
        <v>1</v>
      </c>
    </row>
    <row r="16" spans="1:4" hidden="1" x14ac:dyDescent="0.25">
      <c r="A16" s="35" t="s">
        <v>1564</v>
      </c>
      <c r="B16" s="35" t="s">
        <v>1564</v>
      </c>
      <c r="C16" s="35" t="s">
        <v>1565</v>
      </c>
      <c r="D16" s="8">
        <f>COUNTIF(Table4[کد سیستم],Table2[[#This Row],[کد سیستم]])</f>
        <v>1</v>
      </c>
    </row>
    <row r="17" spans="1:4" hidden="1" x14ac:dyDescent="0.25">
      <c r="A17" s="35" t="s">
        <v>1566</v>
      </c>
      <c r="B17" s="35" t="s">
        <v>1566</v>
      </c>
      <c r="C17" s="35" t="s">
        <v>1567</v>
      </c>
      <c r="D17" s="8">
        <f>COUNTIF(Table4[کد سیستم],Table2[[#This Row],[کد سیستم]])</f>
        <v>1</v>
      </c>
    </row>
    <row r="18" spans="1:4" hidden="1" x14ac:dyDescent="0.25">
      <c r="A18" s="35" t="s">
        <v>1568</v>
      </c>
      <c r="B18" s="35" t="s">
        <v>1568</v>
      </c>
      <c r="C18" s="35" t="s">
        <v>1569</v>
      </c>
      <c r="D18" s="8">
        <f>COUNTIF(Table4[کد سیستم],Table2[[#This Row],[کد سیستم]])</f>
        <v>1</v>
      </c>
    </row>
    <row r="19" spans="1:4" hidden="1" x14ac:dyDescent="0.25">
      <c r="A19" s="35" t="s">
        <v>1570</v>
      </c>
      <c r="B19" s="35" t="s">
        <v>1570</v>
      </c>
      <c r="C19" s="35" t="s">
        <v>1571</v>
      </c>
      <c r="D19" s="8">
        <f>COUNTIF(Table4[کد سیستم],Table2[[#This Row],[کد سیستم]])</f>
        <v>1</v>
      </c>
    </row>
    <row r="20" spans="1:4" hidden="1" x14ac:dyDescent="0.25">
      <c r="A20" s="35" t="s">
        <v>1572</v>
      </c>
      <c r="B20" s="35" t="s">
        <v>1572</v>
      </c>
      <c r="C20" s="35" t="s">
        <v>1573</v>
      </c>
      <c r="D20" s="8">
        <f>COUNTIF(Table4[کد سیستم],Table2[[#This Row],[کد سیستم]])</f>
        <v>1</v>
      </c>
    </row>
    <row r="21" spans="1:4" hidden="1" x14ac:dyDescent="0.25">
      <c r="A21" s="35" t="s">
        <v>1574</v>
      </c>
      <c r="B21" s="35" t="s">
        <v>1574</v>
      </c>
      <c r="C21" s="35" t="s">
        <v>1575</v>
      </c>
      <c r="D21" s="8">
        <f>COUNTIF(Table4[کد سیستم],Table2[[#This Row],[کد سیستم]])</f>
        <v>1</v>
      </c>
    </row>
    <row r="22" spans="1:4" hidden="1" x14ac:dyDescent="0.25">
      <c r="A22" s="35" t="s">
        <v>1576</v>
      </c>
      <c r="B22" s="35" t="s">
        <v>1576</v>
      </c>
      <c r="C22" s="35" t="s">
        <v>1577</v>
      </c>
      <c r="D22" s="8">
        <f>COUNTIF(Table4[کد سیستم],Table2[[#This Row],[کد سیستم]])</f>
        <v>1</v>
      </c>
    </row>
    <row r="23" spans="1:4" hidden="1" x14ac:dyDescent="0.25">
      <c r="A23" s="35" t="s">
        <v>1578</v>
      </c>
      <c r="B23" s="35" t="s">
        <v>1578</v>
      </c>
      <c r="C23" s="35" t="s">
        <v>1579</v>
      </c>
      <c r="D23" s="8">
        <f>COUNTIF(Table4[کد سیستم],Table2[[#This Row],[کد سیستم]])</f>
        <v>1</v>
      </c>
    </row>
    <row r="24" spans="1:4" hidden="1" x14ac:dyDescent="0.25">
      <c r="A24" s="35" t="s">
        <v>1580</v>
      </c>
      <c r="B24" s="35" t="s">
        <v>1580</v>
      </c>
      <c r="C24" s="35" t="s">
        <v>1581</v>
      </c>
      <c r="D24" s="8">
        <f>COUNTIF(Table4[کد سیستم],Table2[[#This Row],[کد سیستم]])</f>
        <v>1</v>
      </c>
    </row>
    <row r="25" spans="1:4" hidden="1" x14ac:dyDescent="0.25">
      <c r="A25" s="35" t="s">
        <v>1582</v>
      </c>
      <c r="B25" s="35" t="s">
        <v>1582</v>
      </c>
      <c r="C25" s="35" t="s">
        <v>1583</v>
      </c>
      <c r="D25" s="8">
        <f>COUNTIF(Table4[کد سیستم],Table2[[#This Row],[کد سیستم]])</f>
        <v>1</v>
      </c>
    </row>
    <row r="26" spans="1:4" hidden="1" x14ac:dyDescent="0.25">
      <c r="A26" s="35" t="s">
        <v>1584</v>
      </c>
      <c r="B26" s="35" t="s">
        <v>1584</v>
      </c>
      <c r="C26" s="35" t="s">
        <v>1585</v>
      </c>
      <c r="D26" s="8">
        <f>COUNTIF(Table4[کد سیستم],Table2[[#This Row],[کد سیستم]])</f>
        <v>1</v>
      </c>
    </row>
    <row r="27" spans="1:4" hidden="1" x14ac:dyDescent="0.25">
      <c r="A27" s="35" t="s">
        <v>1586</v>
      </c>
      <c r="B27" s="35" t="s">
        <v>1586</v>
      </c>
      <c r="C27" s="35" t="s">
        <v>1587</v>
      </c>
      <c r="D27" s="8">
        <f>COUNTIF(Table4[کد سیستم],Table2[[#This Row],[کد سیستم]])</f>
        <v>1</v>
      </c>
    </row>
    <row r="28" spans="1:4" hidden="1" x14ac:dyDescent="0.25">
      <c r="A28" s="35" t="s">
        <v>1588</v>
      </c>
      <c r="B28" s="35" t="s">
        <v>1588</v>
      </c>
      <c r="C28" s="35" t="s">
        <v>1589</v>
      </c>
      <c r="D28" s="8">
        <f>COUNTIF(Table4[کد سیستم],Table2[[#This Row],[کد سیستم]])</f>
        <v>1</v>
      </c>
    </row>
    <row r="29" spans="1:4" hidden="1" x14ac:dyDescent="0.25">
      <c r="A29" s="35" t="s">
        <v>1590</v>
      </c>
      <c r="B29" s="35" t="s">
        <v>1590</v>
      </c>
      <c r="C29" s="35" t="s">
        <v>1591</v>
      </c>
      <c r="D29" s="8">
        <f>COUNTIF(Table4[کد سیستم],Table2[[#This Row],[کد سیستم]])</f>
        <v>1</v>
      </c>
    </row>
    <row r="30" spans="1:4" hidden="1" x14ac:dyDescent="0.25">
      <c r="A30" s="35" t="s">
        <v>1592</v>
      </c>
      <c r="B30" s="35" t="s">
        <v>1592</v>
      </c>
      <c r="C30" s="35" t="s">
        <v>1593</v>
      </c>
      <c r="D30" s="8">
        <f>COUNTIF(Table4[کد سیستم],Table2[[#This Row],[کد سیستم]])</f>
        <v>1</v>
      </c>
    </row>
    <row r="31" spans="1:4" hidden="1" x14ac:dyDescent="0.25">
      <c r="A31" s="35" t="s">
        <v>1594</v>
      </c>
      <c r="B31" s="35" t="s">
        <v>1594</v>
      </c>
      <c r="C31" s="35" t="s">
        <v>1595</v>
      </c>
      <c r="D31" s="8">
        <f>COUNTIF(Table4[کد سیستم],Table2[[#This Row],[کد سیستم]])</f>
        <v>1</v>
      </c>
    </row>
    <row r="32" spans="1:4" hidden="1" x14ac:dyDescent="0.25">
      <c r="A32" s="35" t="s">
        <v>1596</v>
      </c>
      <c r="B32" s="35" t="s">
        <v>1596</v>
      </c>
      <c r="C32" s="35" t="s">
        <v>1597</v>
      </c>
      <c r="D32" s="8">
        <f>COUNTIF(Table4[کد سیستم],Table2[[#This Row],[کد سیستم]])</f>
        <v>1</v>
      </c>
    </row>
    <row r="33" spans="1:4" hidden="1" x14ac:dyDescent="0.25">
      <c r="A33" s="35" t="s">
        <v>1598</v>
      </c>
      <c r="B33" s="35" t="s">
        <v>1598</v>
      </c>
      <c r="C33" s="35" t="s">
        <v>1599</v>
      </c>
      <c r="D33" s="8">
        <f>COUNTIF(Table4[کد سیستم],Table2[[#This Row],[کد سیستم]])</f>
        <v>1</v>
      </c>
    </row>
    <row r="34" spans="1:4" hidden="1" x14ac:dyDescent="0.25">
      <c r="A34" s="35" t="s">
        <v>1600</v>
      </c>
      <c r="B34" s="35" t="s">
        <v>1600</v>
      </c>
      <c r="C34" s="35" t="s">
        <v>1601</v>
      </c>
      <c r="D34" s="8">
        <f>COUNTIF(Table4[کد سیستم],Table2[[#This Row],[کد سیستم]])</f>
        <v>1</v>
      </c>
    </row>
    <row r="35" spans="1:4" hidden="1" x14ac:dyDescent="0.25">
      <c r="A35" s="35" t="s">
        <v>1602</v>
      </c>
      <c r="B35" s="35" t="s">
        <v>1602</v>
      </c>
      <c r="C35" s="35" t="s">
        <v>1603</v>
      </c>
      <c r="D35" s="8">
        <f>COUNTIF(Table4[کد سیستم],Table2[[#This Row],[کد سیستم]])</f>
        <v>1</v>
      </c>
    </row>
    <row r="36" spans="1:4" hidden="1" x14ac:dyDescent="0.25">
      <c r="A36" s="35" t="s">
        <v>1604</v>
      </c>
      <c r="B36" s="35" t="s">
        <v>1604</v>
      </c>
      <c r="C36" s="35" t="s">
        <v>1605</v>
      </c>
      <c r="D36" s="8">
        <f>COUNTIF(Table4[کد سیستم],Table2[[#This Row],[کد سیستم]])</f>
        <v>1</v>
      </c>
    </row>
    <row r="37" spans="1:4" hidden="1" x14ac:dyDescent="0.25">
      <c r="A37" s="35" t="s">
        <v>1606</v>
      </c>
      <c r="B37" s="35" t="s">
        <v>1606</v>
      </c>
      <c r="C37" s="35" t="s">
        <v>1607</v>
      </c>
      <c r="D37" s="8">
        <f>COUNTIF(Table4[کد سیستم],Table2[[#This Row],[کد سیستم]])</f>
        <v>1</v>
      </c>
    </row>
    <row r="38" spans="1:4" hidden="1" x14ac:dyDescent="0.25">
      <c r="A38" s="35" t="s">
        <v>1608</v>
      </c>
      <c r="B38" s="35" t="s">
        <v>1608</v>
      </c>
      <c r="C38" s="35" t="s">
        <v>1609</v>
      </c>
      <c r="D38" s="8">
        <f>COUNTIF(Table4[کد سیستم],Table2[[#This Row],[کد سیستم]])</f>
        <v>1</v>
      </c>
    </row>
    <row r="39" spans="1:4" hidden="1" x14ac:dyDescent="0.25">
      <c r="A39" s="35" t="s">
        <v>1610</v>
      </c>
      <c r="B39" s="35" t="s">
        <v>1610</v>
      </c>
      <c r="C39" s="35" t="s">
        <v>1611</v>
      </c>
      <c r="D39" s="8">
        <f>COUNTIF(Table4[کد سیستم],Table2[[#This Row],[کد سیستم]])</f>
        <v>1</v>
      </c>
    </row>
    <row r="40" spans="1:4" hidden="1" x14ac:dyDescent="0.25">
      <c r="A40" s="35" t="s">
        <v>1612</v>
      </c>
      <c r="B40" s="35" t="s">
        <v>1612</v>
      </c>
      <c r="C40" s="35" t="s">
        <v>1613</v>
      </c>
      <c r="D40" s="8">
        <f>COUNTIF(Table4[کد سیستم],Table2[[#This Row],[کد سیستم]])</f>
        <v>1</v>
      </c>
    </row>
    <row r="41" spans="1:4" hidden="1" x14ac:dyDescent="0.25">
      <c r="A41" s="35" t="s">
        <v>1614</v>
      </c>
      <c r="B41" s="35" t="s">
        <v>1614</v>
      </c>
      <c r="C41" s="35" t="s">
        <v>1615</v>
      </c>
      <c r="D41" s="8">
        <f>COUNTIF(Table4[کد سیستم],Table2[[#This Row],[کد سیستم]])</f>
        <v>1</v>
      </c>
    </row>
    <row r="42" spans="1:4" hidden="1" x14ac:dyDescent="0.25">
      <c r="A42" s="35" t="s">
        <v>1616</v>
      </c>
      <c r="B42" s="35" t="s">
        <v>1616</v>
      </c>
      <c r="C42" s="35" t="s">
        <v>1617</v>
      </c>
      <c r="D42" s="8">
        <f>COUNTIF(Table4[کد سیستم],Table2[[#This Row],[کد سیستم]])</f>
        <v>1</v>
      </c>
    </row>
    <row r="43" spans="1:4" hidden="1" x14ac:dyDescent="0.25">
      <c r="A43" s="35" t="s">
        <v>1618</v>
      </c>
      <c r="B43" s="35" t="s">
        <v>1618</v>
      </c>
      <c r="C43" s="35" t="s">
        <v>1619</v>
      </c>
      <c r="D43" s="8">
        <f>COUNTIF(Table4[کد سیستم],Table2[[#This Row],[کد سیستم]])</f>
        <v>1</v>
      </c>
    </row>
    <row r="44" spans="1:4" hidden="1" x14ac:dyDescent="0.25">
      <c r="A44" s="35" t="s">
        <v>1620</v>
      </c>
      <c r="B44" s="35" t="s">
        <v>1620</v>
      </c>
      <c r="C44" s="35" t="s">
        <v>1621</v>
      </c>
      <c r="D44" s="8">
        <f>COUNTIF(Table4[کد سیستم],Table2[[#This Row],[کد سیستم]])</f>
        <v>1</v>
      </c>
    </row>
    <row r="45" spans="1:4" hidden="1" x14ac:dyDescent="0.25">
      <c r="A45" s="35" t="s">
        <v>1622</v>
      </c>
      <c r="B45" s="35" t="s">
        <v>1622</v>
      </c>
      <c r="C45" s="35" t="s">
        <v>1623</v>
      </c>
      <c r="D45" s="8">
        <f>COUNTIF(Table4[کد سیستم],Table2[[#This Row],[کد سیستم]])</f>
        <v>1</v>
      </c>
    </row>
    <row r="46" spans="1:4" hidden="1" x14ac:dyDescent="0.25">
      <c r="A46" s="35" t="s">
        <v>1624</v>
      </c>
      <c r="B46" s="35" t="s">
        <v>1624</v>
      </c>
      <c r="C46" s="35" t="s">
        <v>1625</v>
      </c>
      <c r="D46" s="8">
        <f>COUNTIF(Table4[کد سیستم],Table2[[#This Row],[کد سیستم]])</f>
        <v>1</v>
      </c>
    </row>
    <row r="47" spans="1:4" hidden="1" x14ac:dyDescent="0.25">
      <c r="A47" s="35" t="s">
        <v>1626</v>
      </c>
      <c r="B47" s="35" t="s">
        <v>1626</v>
      </c>
      <c r="C47" s="35" t="s">
        <v>1627</v>
      </c>
      <c r="D47" s="8">
        <f>COUNTIF(Table4[کد سیستم],Table2[[#This Row],[کد سیستم]])</f>
        <v>1</v>
      </c>
    </row>
    <row r="48" spans="1:4" hidden="1" x14ac:dyDescent="0.25">
      <c r="A48" s="35" t="s">
        <v>1628</v>
      </c>
      <c r="B48" s="35" t="s">
        <v>1628</v>
      </c>
      <c r="C48" s="35" t="s">
        <v>1629</v>
      </c>
      <c r="D48" s="8">
        <f>COUNTIF(Table4[کد سیستم],Table2[[#This Row],[کد سیستم]])</f>
        <v>1</v>
      </c>
    </row>
    <row r="49" spans="1:4" hidden="1" x14ac:dyDescent="0.25">
      <c r="A49" s="35" t="s">
        <v>1630</v>
      </c>
      <c r="B49" s="35" t="s">
        <v>1630</v>
      </c>
      <c r="C49" s="35" t="s">
        <v>1631</v>
      </c>
      <c r="D49" s="8">
        <f>COUNTIF(Table4[کد سیستم],Table2[[#This Row],[کد سیستم]])</f>
        <v>1</v>
      </c>
    </row>
    <row r="50" spans="1:4" hidden="1" x14ac:dyDescent="0.25">
      <c r="A50" s="35" t="s">
        <v>1632</v>
      </c>
      <c r="B50" s="35" t="s">
        <v>1632</v>
      </c>
      <c r="C50" s="35" t="s">
        <v>1633</v>
      </c>
      <c r="D50" s="8">
        <f>COUNTIF(Table4[کد سیستم],Table2[[#This Row],[کد سیستم]])</f>
        <v>1</v>
      </c>
    </row>
    <row r="51" spans="1:4" hidden="1" x14ac:dyDescent="0.25">
      <c r="A51" s="35" t="s">
        <v>1634</v>
      </c>
      <c r="B51" s="35" t="s">
        <v>1634</v>
      </c>
      <c r="C51" s="35" t="s">
        <v>1635</v>
      </c>
      <c r="D51" s="8">
        <f>COUNTIF(Table4[کد سیستم],Table2[[#This Row],[کد سیستم]])</f>
        <v>1</v>
      </c>
    </row>
    <row r="52" spans="1:4" hidden="1" x14ac:dyDescent="0.25">
      <c r="A52" s="35" t="s">
        <v>1636</v>
      </c>
      <c r="B52" s="35" t="s">
        <v>1636</v>
      </c>
      <c r="C52" s="35" t="s">
        <v>1637</v>
      </c>
      <c r="D52" s="8">
        <f>COUNTIF(Table4[کد سیستم],Table2[[#This Row],[کد سیستم]])</f>
        <v>1</v>
      </c>
    </row>
    <row r="53" spans="1:4" hidden="1" x14ac:dyDescent="0.25">
      <c r="A53" s="35" t="s">
        <v>1638</v>
      </c>
      <c r="B53" s="35" t="s">
        <v>1638</v>
      </c>
      <c r="C53" s="35" t="s">
        <v>1639</v>
      </c>
      <c r="D53" s="8">
        <f>COUNTIF(Table4[کد سیستم],Table2[[#This Row],[کد سیستم]])</f>
        <v>1</v>
      </c>
    </row>
    <row r="54" spans="1:4" hidden="1" x14ac:dyDescent="0.25">
      <c r="A54" s="35" t="s">
        <v>1640</v>
      </c>
      <c r="B54" s="35" t="s">
        <v>1640</v>
      </c>
      <c r="C54" s="35" t="s">
        <v>1641</v>
      </c>
      <c r="D54" s="8">
        <f>COUNTIF(Table4[کد سیستم],Table2[[#This Row],[کد سیستم]])</f>
        <v>1</v>
      </c>
    </row>
    <row r="55" spans="1:4" hidden="1" x14ac:dyDescent="0.25">
      <c r="A55" s="35" t="s">
        <v>1642</v>
      </c>
      <c r="B55" s="35" t="s">
        <v>1642</v>
      </c>
      <c r="C55" s="35" t="s">
        <v>1643</v>
      </c>
      <c r="D55" s="8">
        <f>COUNTIF(Table4[کد سیستم],Table2[[#This Row],[کد سیستم]])</f>
        <v>1</v>
      </c>
    </row>
    <row r="56" spans="1:4" hidden="1" x14ac:dyDescent="0.25">
      <c r="A56" s="35" t="s">
        <v>1644</v>
      </c>
      <c r="B56" s="35" t="s">
        <v>1644</v>
      </c>
      <c r="C56" s="35" t="s">
        <v>1645</v>
      </c>
      <c r="D56" s="8">
        <f>COUNTIF(Table4[کد سیستم],Table2[[#This Row],[کد سیستم]])</f>
        <v>1</v>
      </c>
    </row>
    <row r="57" spans="1:4" x14ac:dyDescent="0.25">
      <c r="A57" s="35" t="s">
        <v>3888</v>
      </c>
      <c r="B57" s="35" t="s">
        <v>3888</v>
      </c>
      <c r="C57" s="35" t="s">
        <v>3889</v>
      </c>
      <c r="D57" s="8">
        <f>COUNTIF(Table4[کد سیستم],Table2[[#This Row],[کد سیستم]])</f>
        <v>1</v>
      </c>
    </row>
    <row r="58" spans="1:4" hidden="1" x14ac:dyDescent="0.25">
      <c r="A58" s="35" t="s">
        <v>1646</v>
      </c>
      <c r="B58" s="35" t="s">
        <v>1646</v>
      </c>
      <c r="C58" s="35" t="s">
        <v>1647</v>
      </c>
      <c r="D58" s="8">
        <f>COUNTIF(Table4[کد سیستم],Table2[[#This Row],[کد سیستم]])</f>
        <v>1</v>
      </c>
    </row>
    <row r="59" spans="1:4" hidden="1" x14ac:dyDescent="0.25">
      <c r="A59" s="35" t="s">
        <v>1648</v>
      </c>
      <c r="B59" s="35" t="s">
        <v>1648</v>
      </c>
      <c r="C59" s="35" t="s">
        <v>1649</v>
      </c>
      <c r="D59" s="8">
        <f>COUNTIF(Table4[کد سیستم],Table2[[#This Row],[کد سیستم]])</f>
        <v>1</v>
      </c>
    </row>
    <row r="60" spans="1:4" hidden="1" x14ac:dyDescent="0.25">
      <c r="A60" s="35" t="s">
        <v>1650</v>
      </c>
      <c r="B60" s="35" t="s">
        <v>1650</v>
      </c>
      <c r="C60" s="35" t="s">
        <v>1651</v>
      </c>
      <c r="D60" s="8">
        <f>COUNTIF(Table4[کد سیستم],Table2[[#This Row],[کد سیستم]])</f>
        <v>1</v>
      </c>
    </row>
    <row r="61" spans="1:4" hidden="1" x14ac:dyDescent="0.25">
      <c r="A61" s="35" t="s">
        <v>1652</v>
      </c>
      <c r="B61" s="35" t="s">
        <v>1652</v>
      </c>
      <c r="C61" s="35" t="s">
        <v>1653</v>
      </c>
      <c r="D61" s="8">
        <f>COUNTIF(Table4[کد سیستم],Table2[[#This Row],[کد سیستم]])</f>
        <v>1</v>
      </c>
    </row>
    <row r="62" spans="1:4" hidden="1" x14ac:dyDescent="0.25">
      <c r="A62" s="35" t="s">
        <v>1654</v>
      </c>
      <c r="B62" s="35" t="s">
        <v>1654</v>
      </c>
      <c r="C62" s="35" t="s">
        <v>1655</v>
      </c>
      <c r="D62" s="8">
        <f>COUNTIF(Table4[کد سیستم],Table2[[#This Row],[کد سیستم]])</f>
        <v>1</v>
      </c>
    </row>
    <row r="63" spans="1:4" hidden="1" x14ac:dyDescent="0.25">
      <c r="A63" s="35" t="s">
        <v>1656</v>
      </c>
      <c r="B63" s="35" t="s">
        <v>1656</v>
      </c>
      <c r="C63" s="35" t="s">
        <v>1657</v>
      </c>
      <c r="D63" s="8">
        <f>COUNTIF(Table4[کد سیستم],Table2[[#This Row],[کد سیستم]])</f>
        <v>1</v>
      </c>
    </row>
    <row r="64" spans="1:4" hidden="1" x14ac:dyDescent="0.25">
      <c r="A64" s="35" t="s">
        <v>1658</v>
      </c>
      <c r="B64" s="35" t="s">
        <v>1658</v>
      </c>
      <c r="C64" s="35" t="s">
        <v>1659</v>
      </c>
      <c r="D64" s="8">
        <f>COUNTIF(Table4[کد سیستم],Table2[[#This Row],[کد سیستم]])</f>
        <v>1</v>
      </c>
    </row>
    <row r="65" spans="1:4" hidden="1" x14ac:dyDescent="0.25">
      <c r="A65" s="35" t="s">
        <v>1660</v>
      </c>
      <c r="B65" s="35" t="s">
        <v>1660</v>
      </c>
      <c r="C65" s="35" t="s">
        <v>1661</v>
      </c>
      <c r="D65" s="8">
        <f>COUNTIF(Table4[کد سیستم],Table2[[#This Row],[کد سیستم]])</f>
        <v>1</v>
      </c>
    </row>
    <row r="66" spans="1:4" hidden="1" x14ac:dyDescent="0.25">
      <c r="A66" s="35" t="s">
        <v>1662</v>
      </c>
      <c r="B66" s="35" t="s">
        <v>1662</v>
      </c>
      <c r="C66" s="35" t="s">
        <v>1663</v>
      </c>
      <c r="D66" s="8">
        <f>COUNTIF(Table4[کد سیستم],Table2[[#This Row],[کد سیستم]])</f>
        <v>1</v>
      </c>
    </row>
    <row r="67" spans="1:4" x14ac:dyDescent="0.25">
      <c r="A67" s="35" t="s">
        <v>3890</v>
      </c>
      <c r="B67" s="35" t="s">
        <v>3890</v>
      </c>
      <c r="C67" s="35" t="s">
        <v>3891</v>
      </c>
      <c r="D67" s="8">
        <f>COUNTIF(Table4[کد سیستم],Table2[[#This Row],[کد سیستم]])</f>
        <v>1</v>
      </c>
    </row>
    <row r="68" spans="1:4" hidden="1" x14ac:dyDescent="0.25">
      <c r="A68" s="35" t="s">
        <v>1664</v>
      </c>
      <c r="B68" s="35" t="s">
        <v>1664</v>
      </c>
      <c r="C68" s="35" t="s">
        <v>1665</v>
      </c>
      <c r="D68" s="8">
        <f>COUNTIF(Table4[کد سیستم],Table2[[#This Row],[کد سیستم]])</f>
        <v>1</v>
      </c>
    </row>
    <row r="69" spans="1:4" hidden="1" x14ac:dyDescent="0.25">
      <c r="A69" s="35" t="s">
        <v>1666</v>
      </c>
      <c r="B69" s="35" t="s">
        <v>1666</v>
      </c>
      <c r="C69" s="35" t="s">
        <v>1667</v>
      </c>
      <c r="D69" s="8">
        <f>COUNTIF(Table4[کد سیستم],Table2[[#This Row],[کد سیستم]])</f>
        <v>1</v>
      </c>
    </row>
    <row r="70" spans="1:4" hidden="1" x14ac:dyDescent="0.25">
      <c r="A70" s="35" t="s">
        <v>1668</v>
      </c>
      <c r="B70" s="35" t="s">
        <v>1668</v>
      </c>
      <c r="C70" s="35" t="s">
        <v>1669</v>
      </c>
      <c r="D70" s="8">
        <f>COUNTIF(Table4[کد سیستم],Table2[[#This Row],[کد سیستم]])</f>
        <v>1</v>
      </c>
    </row>
    <row r="71" spans="1:4" hidden="1" x14ac:dyDescent="0.25">
      <c r="A71" s="35" t="s">
        <v>1670</v>
      </c>
      <c r="B71" s="35" t="s">
        <v>1670</v>
      </c>
      <c r="C71" s="35" t="s">
        <v>1671</v>
      </c>
      <c r="D71" s="8">
        <f>COUNTIF(Table4[کد سیستم],Table2[[#This Row],[کد سیستم]])</f>
        <v>1</v>
      </c>
    </row>
    <row r="72" spans="1:4" hidden="1" x14ac:dyDescent="0.25">
      <c r="A72" s="35" t="s">
        <v>1672</v>
      </c>
      <c r="B72" s="35" t="s">
        <v>1672</v>
      </c>
      <c r="C72" s="35" t="s">
        <v>1673</v>
      </c>
      <c r="D72" s="8">
        <f>COUNTIF(Table4[کد سیستم],Table2[[#This Row],[کد سیستم]])</f>
        <v>1</v>
      </c>
    </row>
    <row r="73" spans="1:4" hidden="1" x14ac:dyDescent="0.25">
      <c r="A73" s="35" t="s">
        <v>1674</v>
      </c>
      <c r="B73" s="35" t="s">
        <v>1674</v>
      </c>
      <c r="C73" s="35" t="s">
        <v>1675</v>
      </c>
      <c r="D73" s="8">
        <f>COUNTIF(Table4[کد سیستم],Table2[[#This Row],[کد سیستم]])</f>
        <v>1</v>
      </c>
    </row>
    <row r="74" spans="1:4" hidden="1" x14ac:dyDescent="0.25">
      <c r="A74" s="35" t="s">
        <v>1676</v>
      </c>
      <c r="B74" s="35" t="s">
        <v>1676</v>
      </c>
      <c r="C74" s="35" t="s">
        <v>1677</v>
      </c>
      <c r="D74" s="8">
        <f>COUNTIF(Table4[کد سیستم],Table2[[#This Row],[کد سیستم]])</f>
        <v>1</v>
      </c>
    </row>
    <row r="75" spans="1:4" hidden="1" x14ac:dyDescent="0.25">
      <c r="A75" s="35" t="s">
        <v>1678</v>
      </c>
      <c r="B75" s="35" t="s">
        <v>1678</v>
      </c>
      <c r="C75" s="35" t="s">
        <v>1679</v>
      </c>
      <c r="D75" s="8">
        <f>COUNTIF(Table4[کد سیستم],Table2[[#This Row],[کد سیستم]])</f>
        <v>1</v>
      </c>
    </row>
    <row r="76" spans="1:4" hidden="1" x14ac:dyDescent="0.25">
      <c r="A76" s="35" t="s">
        <v>1680</v>
      </c>
      <c r="B76" s="35" t="s">
        <v>1680</v>
      </c>
      <c r="C76" s="35" t="s">
        <v>1681</v>
      </c>
      <c r="D76" s="8">
        <f>COUNTIF(Table4[کد سیستم],Table2[[#This Row],[کد سیستم]])</f>
        <v>1</v>
      </c>
    </row>
    <row r="77" spans="1:4" hidden="1" x14ac:dyDescent="0.25">
      <c r="A77" s="35" t="s">
        <v>1682</v>
      </c>
      <c r="B77" s="35" t="s">
        <v>1682</v>
      </c>
      <c r="C77" s="35" t="s">
        <v>1683</v>
      </c>
      <c r="D77" s="8">
        <f>COUNTIF(Table4[کد سیستم],Table2[[#This Row],[کد سیستم]])</f>
        <v>1</v>
      </c>
    </row>
    <row r="78" spans="1:4" hidden="1" x14ac:dyDescent="0.25">
      <c r="A78" s="35" t="s">
        <v>1684</v>
      </c>
      <c r="B78" s="35" t="s">
        <v>1684</v>
      </c>
      <c r="C78" s="35" t="s">
        <v>1685</v>
      </c>
      <c r="D78" s="8">
        <f>COUNTIF(Table4[کد سیستم],Table2[[#This Row],[کد سیستم]])</f>
        <v>1</v>
      </c>
    </row>
    <row r="79" spans="1:4" hidden="1" x14ac:dyDescent="0.25">
      <c r="A79" s="35" t="s">
        <v>1686</v>
      </c>
      <c r="B79" s="35" t="s">
        <v>1686</v>
      </c>
      <c r="C79" s="35" t="s">
        <v>1687</v>
      </c>
      <c r="D79" s="8">
        <f>COUNTIF(Table4[کد سیستم],Table2[[#This Row],[کد سیستم]])</f>
        <v>1</v>
      </c>
    </row>
    <row r="80" spans="1:4" hidden="1" x14ac:dyDescent="0.25">
      <c r="A80" s="35" t="s">
        <v>1688</v>
      </c>
      <c r="B80" s="35" t="s">
        <v>1688</v>
      </c>
      <c r="C80" s="35" t="s">
        <v>1689</v>
      </c>
      <c r="D80" s="8">
        <f>COUNTIF(Table4[کد سیستم],Table2[[#This Row],[کد سیستم]])</f>
        <v>1</v>
      </c>
    </row>
    <row r="81" spans="1:4" hidden="1" x14ac:dyDescent="0.25">
      <c r="A81" s="35" t="s">
        <v>1690</v>
      </c>
      <c r="B81" s="35" t="s">
        <v>1690</v>
      </c>
      <c r="C81" s="35" t="s">
        <v>1691</v>
      </c>
      <c r="D81" s="8">
        <f>COUNTIF(Table4[کد سیستم],Table2[[#This Row],[کد سیستم]])</f>
        <v>1</v>
      </c>
    </row>
    <row r="82" spans="1:4" hidden="1" x14ac:dyDescent="0.25">
      <c r="A82" s="35" t="s">
        <v>1692</v>
      </c>
      <c r="B82" s="35" t="s">
        <v>1692</v>
      </c>
      <c r="C82" s="35" t="s">
        <v>1693</v>
      </c>
      <c r="D82" s="8">
        <f>COUNTIF(Table4[کد سیستم],Table2[[#This Row],[کد سیستم]])</f>
        <v>1</v>
      </c>
    </row>
    <row r="83" spans="1:4" hidden="1" x14ac:dyDescent="0.25">
      <c r="A83" s="35" t="s">
        <v>1694</v>
      </c>
      <c r="B83" s="35" t="s">
        <v>1694</v>
      </c>
      <c r="C83" s="35" t="s">
        <v>1695</v>
      </c>
      <c r="D83" s="8">
        <f>COUNTIF(Table4[کد سیستم],Table2[[#This Row],[کد سیستم]])</f>
        <v>1</v>
      </c>
    </row>
    <row r="84" spans="1:4" hidden="1" x14ac:dyDescent="0.25">
      <c r="A84" s="35" t="s">
        <v>1696</v>
      </c>
      <c r="B84" s="35" t="s">
        <v>1696</v>
      </c>
      <c r="C84" s="35" t="s">
        <v>1697</v>
      </c>
      <c r="D84" s="8">
        <f>COUNTIF(Table4[کد سیستم],Table2[[#This Row],[کد سیستم]])</f>
        <v>1</v>
      </c>
    </row>
    <row r="85" spans="1:4" hidden="1" x14ac:dyDescent="0.25">
      <c r="A85" s="35" t="s">
        <v>1698</v>
      </c>
      <c r="B85" s="35" t="s">
        <v>1698</v>
      </c>
      <c r="C85" s="35" t="s">
        <v>1699</v>
      </c>
      <c r="D85" s="8">
        <f>COUNTIF(Table4[کد سیستم],Table2[[#This Row],[کد سیستم]])</f>
        <v>1</v>
      </c>
    </row>
    <row r="86" spans="1:4" hidden="1" x14ac:dyDescent="0.25">
      <c r="A86" s="35" t="s">
        <v>1700</v>
      </c>
      <c r="B86" s="35" t="s">
        <v>1700</v>
      </c>
      <c r="C86" s="35" t="s">
        <v>1701</v>
      </c>
      <c r="D86" s="8">
        <f>COUNTIF(Table4[کد سیستم],Table2[[#This Row],[کد سیستم]])</f>
        <v>1</v>
      </c>
    </row>
    <row r="87" spans="1:4" hidden="1" x14ac:dyDescent="0.25">
      <c r="A87" s="35" t="s">
        <v>1702</v>
      </c>
      <c r="B87" s="35" t="s">
        <v>1702</v>
      </c>
      <c r="C87" s="35" t="s">
        <v>1703</v>
      </c>
      <c r="D87" s="8">
        <f>COUNTIF(Table4[کد سیستم],Table2[[#This Row],[کد سیستم]])</f>
        <v>1</v>
      </c>
    </row>
    <row r="88" spans="1:4" hidden="1" x14ac:dyDescent="0.25">
      <c r="A88" s="35" t="s">
        <v>1704</v>
      </c>
      <c r="B88" s="35" t="s">
        <v>1704</v>
      </c>
      <c r="C88" s="35" t="s">
        <v>1705</v>
      </c>
      <c r="D88" s="8">
        <f>COUNTIF(Table4[کد سیستم],Table2[[#This Row],[کد سیستم]])</f>
        <v>1</v>
      </c>
    </row>
    <row r="89" spans="1:4" hidden="1" x14ac:dyDescent="0.25">
      <c r="A89" s="35" t="s">
        <v>1706</v>
      </c>
      <c r="B89" s="35" t="s">
        <v>1706</v>
      </c>
      <c r="C89" s="35" t="s">
        <v>1707</v>
      </c>
      <c r="D89" s="8">
        <f>COUNTIF(Table4[کد سیستم],Table2[[#This Row],[کد سیستم]])</f>
        <v>1</v>
      </c>
    </row>
    <row r="90" spans="1:4" hidden="1" x14ac:dyDescent="0.25">
      <c r="A90" s="35" t="s">
        <v>1708</v>
      </c>
      <c r="B90" s="35" t="s">
        <v>1708</v>
      </c>
      <c r="C90" s="35" t="s">
        <v>1709</v>
      </c>
      <c r="D90" s="8">
        <f>COUNTIF(Table4[کد سیستم],Table2[[#This Row],[کد سیستم]])</f>
        <v>1</v>
      </c>
    </row>
    <row r="91" spans="1:4" x14ac:dyDescent="0.25">
      <c r="A91" s="35" t="s">
        <v>3892</v>
      </c>
      <c r="B91" s="35" t="s">
        <v>3892</v>
      </c>
      <c r="C91" s="35" t="s">
        <v>3893</v>
      </c>
      <c r="D91" s="8">
        <f>COUNTIF(Table4[کد سیستم],Table2[[#This Row],[کد سیستم]])</f>
        <v>1</v>
      </c>
    </row>
    <row r="92" spans="1:4" hidden="1" x14ac:dyDescent="0.25">
      <c r="A92" s="35" t="s">
        <v>1710</v>
      </c>
      <c r="B92" s="35" t="s">
        <v>1710</v>
      </c>
      <c r="C92" s="35" t="s">
        <v>1711</v>
      </c>
      <c r="D92" s="8">
        <f>COUNTIF(Table4[کد سیستم],Table2[[#This Row],[کد سیستم]])</f>
        <v>1</v>
      </c>
    </row>
    <row r="93" spans="1:4" hidden="1" x14ac:dyDescent="0.25">
      <c r="A93" s="35" t="s">
        <v>1712</v>
      </c>
      <c r="B93" s="35" t="s">
        <v>1712</v>
      </c>
      <c r="C93" s="35" t="s">
        <v>1713</v>
      </c>
      <c r="D93" s="8">
        <f>COUNTIF(Table4[کد سیستم],Table2[[#This Row],[کد سیستم]])</f>
        <v>1</v>
      </c>
    </row>
    <row r="94" spans="1:4" hidden="1" x14ac:dyDescent="0.25">
      <c r="A94" s="35" t="s">
        <v>1714</v>
      </c>
      <c r="B94" s="35" t="s">
        <v>1714</v>
      </c>
      <c r="C94" s="35" t="s">
        <v>1715</v>
      </c>
      <c r="D94" s="8">
        <f>COUNTIF(Table4[کد سیستم],Table2[[#This Row],[کد سیستم]])</f>
        <v>1</v>
      </c>
    </row>
    <row r="95" spans="1:4" hidden="1" x14ac:dyDescent="0.25">
      <c r="A95" s="35" t="s">
        <v>1716</v>
      </c>
      <c r="B95" s="35" t="s">
        <v>1716</v>
      </c>
      <c r="C95" s="35" t="s">
        <v>1717</v>
      </c>
      <c r="D95" s="8">
        <f>COUNTIF(Table4[کد سیستم],Table2[[#This Row],[کد سیستم]])</f>
        <v>1</v>
      </c>
    </row>
    <row r="96" spans="1:4" hidden="1" x14ac:dyDescent="0.25">
      <c r="A96" s="35" t="s">
        <v>1718</v>
      </c>
      <c r="B96" s="35" t="s">
        <v>1718</v>
      </c>
      <c r="C96" s="35" t="s">
        <v>1719</v>
      </c>
      <c r="D96" s="8">
        <f>COUNTIF(Table4[کد سیستم],Table2[[#This Row],[کد سیستم]])</f>
        <v>1</v>
      </c>
    </row>
    <row r="97" spans="1:4" hidden="1" x14ac:dyDescent="0.25">
      <c r="A97" s="35" t="s">
        <v>1720</v>
      </c>
      <c r="B97" s="35" t="s">
        <v>1720</v>
      </c>
      <c r="C97" s="35" t="s">
        <v>1721</v>
      </c>
      <c r="D97" s="8">
        <f>COUNTIF(Table4[کد سیستم],Table2[[#This Row],[کد سیستم]])</f>
        <v>1</v>
      </c>
    </row>
    <row r="98" spans="1:4" hidden="1" x14ac:dyDescent="0.25">
      <c r="A98" s="35" t="s">
        <v>1722</v>
      </c>
      <c r="B98" s="35" t="s">
        <v>1722</v>
      </c>
      <c r="C98" s="35" t="s">
        <v>1723</v>
      </c>
      <c r="D98" s="8">
        <f>COUNTIF(Table4[کد سیستم],Table2[[#This Row],[کد سیستم]])</f>
        <v>1</v>
      </c>
    </row>
    <row r="99" spans="1:4" hidden="1" x14ac:dyDescent="0.25">
      <c r="A99" s="35" t="s">
        <v>1724</v>
      </c>
      <c r="B99" s="35" t="s">
        <v>1724</v>
      </c>
      <c r="C99" s="35" t="s">
        <v>1725</v>
      </c>
      <c r="D99" s="8">
        <f>COUNTIF(Table4[کد سیستم],Table2[[#This Row],[کد سیستم]])</f>
        <v>1</v>
      </c>
    </row>
    <row r="100" spans="1:4" hidden="1" x14ac:dyDescent="0.25">
      <c r="A100" s="35" t="s">
        <v>1726</v>
      </c>
      <c r="B100" s="35" t="s">
        <v>1726</v>
      </c>
      <c r="C100" s="35" t="s">
        <v>1727</v>
      </c>
      <c r="D100" s="8">
        <f>COUNTIF(Table4[کد سیستم],Table2[[#This Row],[کد سیستم]])</f>
        <v>1</v>
      </c>
    </row>
    <row r="101" spans="1:4" hidden="1" x14ac:dyDescent="0.25">
      <c r="A101" s="35" t="s">
        <v>1728</v>
      </c>
      <c r="B101" s="35" t="s">
        <v>1728</v>
      </c>
      <c r="C101" s="35" t="s">
        <v>1729</v>
      </c>
      <c r="D101" s="8">
        <f>COUNTIF(Table4[کد سیستم],Table2[[#This Row],[کد سیستم]])</f>
        <v>1</v>
      </c>
    </row>
    <row r="102" spans="1:4" x14ac:dyDescent="0.25">
      <c r="A102" s="35" t="s">
        <v>4168</v>
      </c>
      <c r="B102" s="35" t="s">
        <v>4168</v>
      </c>
      <c r="C102" s="35" t="s">
        <v>4169</v>
      </c>
      <c r="D102" s="8">
        <f>COUNTIF(Table4[کد سیستم],Table2[[#This Row],[کد سیستم]])</f>
        <v>1</v>
      </c>
    </row>
    <row r="103" spans="1:4" x14ac:dyDescent="0.25">
      <c r="A103" s="35" t="s">
        <v>4170</v>
      </c>
      <c r="B103" s="35" t="s">
        <v>4170</v>
      </c>
      <c r="C103" s="35" t="s">
        <v>4171</v>
      </c>
      <c r="D103" s="8">
        <f>COUNTIF(Table4[کد سیستم],Table2[[#This Row],[کد سیستم]])</f>
        <v>1</v>
      </c>
    </row>
    <row r="104" spans="1:4" x14ac:dyDescent="0.25">
      <c r="A104" s="35" t="s">
        <v>4172</v>
      </c>
      <c r="B104" s="35" t="s">
        <v>4172</v>
      </c>
      <c r="C104" s="35" t="s">
        <v>4173</v>
      </c>
      <c r="D104" s="8">
        <f>COUNTIF(Table4[کد سیستم],Table2[[#This Row],[کد سیستم]])</f>
        <v>1</v>
      </c>
    </row>
    <row r="105" spans="1:4" x14ac:dyDescent="0.25">
      <c r="A105" s="35" t="s">
        <v>4174</v>
      </c>
      <c r="B105" s="35" t="s">
        <v>4174</v>
      </c>
      <c r="C105" s="35" t="s">
        <v>4175</v>
      </c>
      <c r="D105" s="8">
        <f>COUNTIF(Table4[کد سیستم],Table2[[#This Row],[کد سیستم]])</f>
        <v>1</v>
      </c>
    </row>
    <row r="106" spans="1:4" x14ac:dyDescent="0.25">
      <c r="A106" s="35" t="s">
        <v>4176</v>
      </c>
      <c r="B106" s="35" t="s">
        <v>4176</v>
      </c>
      <c r="C106" s="35" t="s">
        <v>4177</v>
      </c>
      <c r="D106" s="8">
        <f>COUNTIF(Table4[کد سیستم],Table2[[#This Row],[کد سیستم]])</f>
        <v>1</v>
      </c>
    </row>
    <row r="107" spans="1:4" x14ac:dyDescent="0.25">
      <c r="A107" s="35" t="s">
        <v>4178</v>
      </c>
      <c r="B107" s="35" t="s">
        <v>4178</v>
      </c>
      <c r="C107" s="35" t="s">
        <v>4179</v>
      </c>
      <c r="D107" s="8">
        <f>COUNTIF(Table4[کد سیستم],Table2[[#This Row],[کد سیستم]])</f>
        <v>1</v>
      </c>
    </row>
    <row r="108" spans="1:4" x14ac:dyDescent="0.25">
      <c r="A108" s="35" t="s">
        <v>4180</v>
      </c>
      <c r="B108" s="35" t="s">
        <v>4180</v>
      </c>
      <c r="C108" s="35" t="s">
        <v>4181</v>
      </c>
      <c r="D108" s="8">
        <f>COUNTIF(Table4[کد سیستم],Table2[[#This Row],[کد سیستم]])</f>
        <v>1</v>
      </c>
    </row>
    <row r="109" spans="1:4" x14ac:dyDescent="0.25">
      <c r="A109" s="35" t="s">
        <v>4182</v>
      </c>
      <c r="B109" s="35" t="s">
        <v>4182</v>
      </c>
      <c r="C109" s="35" t="s">
        <v>4183</v>
      </c>
      <c r="D109" s="8">
        <f>COUNTIF(Table4[کد سیستم],Table2[[#This Row],[کد سیستم]])</f>
        <v>1</v>
      </c>
    </row>
    <row r="110" spans="1:4" x14ac:dyDescent="0.25">
      <c r="A110" s="35" t="s">
        <v>4184</v>
      </c>
      <c r="B110" s="35" t="s">
        <v>4184</v>
      </c>
      <c r="C110" s="35" t="s">
        <v>4185</v>
      </c>
      <c r="D110" s="8">
        <f>COUNTIF(Table4[کد سیستم],Table2[[#This Row],[کد سیستم]])</f>
        <v>1</v>
      </c>
    </row>
    <row r="111" spans="1:4" x14ac:dyDescent="0.25">
      <c r="A111" s="35" t="s">
        <v>4186</v>
      </c>
      <c r="B111" s="35" t="s">
        <v>4186</v>
      </c>
      <c r="C111" s="35" t="s">
        <v>4187</v>
      </c>
      <c r="D111" s="8">
        <f>COUNTIF(Table4[کد سیستم],Table2[[#This Row],[کد سیستم]])</f>
        <v>1</v>
      </c>
    </row>
    <row r="112" spans="1:4" x14ac:dyDescent="0.25">
      <c r="A112" s="35" t="s">
        <v>4188</v>
      </c>
      <c r="B112" s="35" t="s">
        <v>4188</v>
      </c>
      <c r="C112" s="35" t="s">
        <v>4189</v>
      </c>
      <c r="D112" s="8">
        <f>COUNTIF(Table4[کد سیستم],Table2[[#This Row],[کد سیستم]])</f>
        <v>1</v>
      </c>
    </row>
    <row r="113" spans="1:4" x14ac:dyDescent="0.25">
      <c r="A113" s="35" t="s">
        <v>4190</v>
      </c>
      <c r="B113" s="35" t="s">
        <v>4190</v>
      </c>
      <c r="C113" s="35" t="s">
        <v>4191</v>
      </c>
      <c r="D113" s="8">
        <f>COUNTIF(Table4[کد سیستم],Table2[[#This Row],[کد سیستم]])</f>
        <v>1</v>
      </c>
    </row>
    <row r="114" spans="1:4" x14ac:dyDescent="0.25">
      <c r="A114" s="35" t="s">
        <v>4192</v>
      </c>
      <c r="B114" s="35" t="s">
        <v>4192</v>
      </c>
      <c r="C114" s="35" t="s">
        <v>4193</v>
      </c>
      <c r="D114" s="8">
        <f>COUNTIF(Table4[کد سیستم],Table2[[#This Row],[کد سیستم]])</f>
        <v>1</v>
      </c>
    </row>
    <row r="115" spans="1:4" x14ac:dyDescent="0.25">
      <c r="A115" s="35" t="s">
        <v>4194</v>
      </c>
      <c r="B115" s="35" t="s">
        <v>4194</v>
      </c>
      <c r="C115" s="35" t="s">
        <v>4195</v>
      </c>
      <c r="D115" s="8">
        <f>COUNTIF(Table4[کد سیستم],Table2[[#This Row],[کد سیستم]])</f>
        <v>1</v>
      </c>
    </row>
    <row r="116" spans="1:4" x14ac:dyDescent="0.25">
      <c r="A116" s="35" t="s">
        <v>4196</v>
      </c>
      <c r="B116" s="35" t="s">
        <v>4196</v>
      </c>
      <c r="C116" s="35" t="s">
        <v>4197</v>
      </c>
      <c r="D116" s="8">
        <f>COUNTIF(Table4[کد سیستم],Table2[[#This Row],[کد سیستم]])</f>
        <v>1</v>
      </c>
    </row>
    <row r="117" spans="1:4" hidden="1" x14ac:dyDescent="0.25">
      <c r="A117" s="35" t="s">
        <v>1730</v>
      </c>
      <c r="B117" s="35" t="s">
        <v>1730</v>
      </c>
      <c r="C117" s="35" t="s">
        <v>1731</v>
      </c>
      <c r="D117" s="8">
        <f>COUNTIF(Table4[کد سیستم],Table2[[#This Row],[کد سیستم]])</f>
        <v>1</v>
      </c>
    </row>
    <row r="118" spans="1:4" hidden="1" x14ac:dyDescent="0.25">
      <c r="A118" s="35" t="s">
        <v>1732</v>
      </c>
      <c r="B118" s="35" t="s">
        <v>1732</v>
      </c>
      <c r="C118" s="35" t="s">
        <v>1733</v>
      </c>
      <c r="D118" s="8">
        <f>COUNTIF(Table4[کد سیستم],Table2[[#This Row],[کد سیستم]])</f>
        <v>1</v>
      </c>
    </row>
    <row r="119" spans="1:4" hidden="1" x14ac:dyDescent="0.25">
      <c r="A119" s="35" t="s">
        <v>1734</v>
      </c>
      <c r="B119" s="35" t="s">
        <v>1734</v>
      </c>
      <c r="C119" s="35" t="s">
        <v>1735</v>
      </c>
      <c r="D119" s="8">
        <f>COUNTIF(Table4[کد سیستم],Table2[[#This Row],[کد سیستم]])</f>
        <v>1</v>
      </c>
    </row>
    <row r="120" spans="1:4" hidden="1" x14ac:dyDescent="0.25">
      <c r="A120" s="35" t="s">
        <v>1736</v>
      </c>
      <c r="B120" s="35" t="s">
        <v>1736</v>
      </c>
      <c r="C120" s="35" t="s">
        <v>1737</v>
      </c>
      <c r="D120" s="8">
        <f>COUNTIF(Table4[کد سیستم],Table2[[#This Row],[کد سیستم]])</f>
        <v>1</v>
      </c>
    </row>
    <row r="121" spans="1:4" hidden="1" x14ac:dyDescent="0.25">
      <c r="A121" s="35" t="s">
        <v>1738</v>
      </c>
      <c r="B121" s="35" t="s">
        <v>1738</v>
      </c>
      <c r="C121" s="35" t="s">
        <v>1739</v>
      </c>
      <c r="D121" s="8">
        <f>COUNTIF(Table4[کد سیستم],Table2[[#This Row],[کد سیستم]])</f>
        <v>1</v>
      </c>
    </row>
    <row r="122" spans="1:4" hidden="1" x14ac:dyDescent="0.25">
      <c r="A122" s="35" t="s">
        <v>1740</v>
      </c>
      <c r="B122" s="35" t="s">
        <v>1740</v>
      </c>
      <c r="C122" s="35" t="s">
        <v>1741</v>
      </c>
      <c r="D122" s="8">
        <f>COUNTIF(Table4[کد سیستم],Table2[[#This Row],[کد سیستم]])</f>
        <v>1</v>
      </c>
    </row>
    <row r="123" spans="1:4" hidden="1" x14ac:dyDescent="0.25">
      <c r="A123" s="35" t="s">
        <v>1742</v>
      </c>
      <c r="B123" s="35" t="s">
        <v>1742</v>
      </c>
      <c r="C123" s="35" t="s">
        <v>1743</v>
      </c>
      <c r="D123" s="8">
        <f>COUNTIF(Table4[کد سیستم],Table2[[#This Row],[کد سیستم]])</f>
        <v>1</v>
      </c>
    </row>
    <row r="124" spans="1:4" hidden="1" x14ac:dyDescent="0.25">
      <c r="A124" s="35" t="s">
        <v>1744</v>
      </c>
      <c r="B124" s="35" t="s">
        <v>1744</v>
      </c>
      <c r="C124" s="35" t="s">
        <v>1745</v>
      </c>
      <c r="D124" s="8">
        <f>COUNTIF(Table4[کد سیستم],Table2[[#This Row],[کد سیستم]])</f>
        <v>1</v>
      </c>
    </row>
    <row r="125" spans="1:4" hidden="1" x14ac:dyDescent="0.25">
      <c r="A125" s="35" t="s">
        <v>1746</v>
      </c>
      <c r="B125" s="35" t="s">
        <v>1746</v>
      </c>
      <c r="C125" s="35" t="s">
        <v>1747</v>
      </c>
      <c r="D125" s="8">
        <f>COUNTIF(Table4[کد سیستم],Table2[[#This Row],[کد سیستم]])</f>
        <v>1</v>
      </c>
    </row>
    <row r="126" spans="1:4" hidden="1" x14ac:dyDescent="0.25">
      <c r="A126" s="35" t="s">
        <v>1748</v>
      </c>
      <c r="B126" s="35" t="s">
        <v>1748</v>
      </c>
      <c r="C126" s="35" t="s">
        <v>1749</v>
      </c>
      <c r="D126" s="8">
        <f>COUNTIF(Table4[کد سیستم],Table2[[#This Row],[کد سیستم]])</f>
        <v>1</v>
      </c>
    </row>
    <row r="127" spans="1:4" hidden="1" x14ac:dyDescent="0.25">
      <c r="A127" s="35" t="s">
        <v>1750</v>
      </c>
      <c r="B127" s="35" t="s">
        <v>1750</v>
      </c>
      <c r="C127" s="35" t="s">
        <v>1751</v>
      </c>
      <c r="D127" s="8">
        <f>COUNTIF(Table4[کد سیستم],Table2[[#This Row],[کد سیستم]])</f>
        <v>1</v>
      </c>
    </row>
    <row r="128" spans="1:4" hidden="1" x14ac:dyDescent="0.25">
      <c r="A128" s="35" t="s">
        <v>1752</v>
      </c>
      <c r="B128" s="35" t="s">
        <v>1752</v>
      </c>
      <c r="C128" s="35" t="s">
        <v>1753</v>
      </c>
      <c r="D128" s="8">
        <f>COUNTIF(Table4[کد سیستم],Table2[[#This Row],[کد سیستم]])</f>
        <v>1</v>
      </c>
    </row>
    <row r="129" spans="1:4" hidden="1" x14ac:dyDescent="0.25">
      <c r="A129" s="35" t="s">
        <v>1754</v>
      </c>
      <c r="B129" s="35" t="s">
        <v>1754</v>
      </c>
      <c r="C129" s="35" t="s">
        <v>1755</v>
      </c>
      <c r="D129" s="8">
        <f>COUNTIF(Table4[کد سیستم],Table2[[#This Row],[کد سیستم]])</f>
        <v>1</v>
      </c>
    </row>
    <row r="130" spans="1:4" hidden="1" x14ac:dyDescent="0.25">
      <c r="A130" s="35" t="s">
        <v>1756</v>
      </c>
      <c r="B130" s="35" t="s">
        <v>1756</v>
      </c>
      <c r="C130" s="35" t="s">
        <v>1757</v>
      </c>
      <c r="D130" s="8">
        <f>COUNTIF(Table4[کد سیستم],Table2[[#This Row],[کد سیستم]])</f>
        <v>1</v>
      </c>
    </row>
    <row r="131" spans="1:4" hidden="1" x14ac:dyDescent="0.25">
      <c r="A131" s="35" t="s">
        <v>1758</v>
      </c>
      <c r="B131" s="35" t="s">
        <v>1758</v>
      </c>
      <c r="C131" s="35" t="s">
        <v>1759</v>
      </c>
      <c r="D131" s="8">
        <f>COUNTIF(Table4[کد سیستم],Table2[[#This Row],[کد سیستم]])</f>
        <v>1</v>
      </c>
    </row>
    <row r="132" spans="1:4" hidden="1" x14ac:dyDescent="0.25">
      <c r="A132" s="35" t="s">
        <v>1760</v>
      </c>
      <c r="B132" s="35" t="s">
        <v>1760</v>
      </c>
      <c r="C132" s="35" t="s">
        <v>1761</v>
      </c>
      <c r="D132" s="8">
        <f>COUNTIF(Table4[کد سیستم],Table2[[#This Row],[کد سیستم]])</f>
        <v>1</v>
      </c>
    </row>
    <row r="133" spans="1:4" hidden="1" x14ac:dyDescent="0.25">
      <c r="A133" s="35" t="s">
        <v>1762</v>
      </c>
      <c r="B133" s="35" t="s">
        <v>1762</v>
      </c>
      <c r="C133" s="35" t="s">
        <v>1763</v>
      </c>
      <c r="D133" s="8">
        <f>COUNTIF(Table4[کد سیستم],Table2[[#This Row],[کد سیستم]])</f>
        <v>1</v>
      </c>
    </row>
    <row r="134" spans="1:4" hidden="1" x14ac:dyDescent="0.25">
      <c r="A134" s="35" t="s">
        <v>1764</v>
      </c>
      <c r="B134" s="35" t="s">
        <v>1764</v>
      </c>
      <c r="C134" s="35" t="s">
        <v>1765</v>
      </c>
      <c r="D134" s="8">
        <f>COUNTIF(Table4[کد سیستم],Table2[[#This Row],[کد سیستم]])</f>
        <v>1</v>
      </c>
    </row>
    <row r="135" spans="1:4" hidden="1" x14ac:dyDescent="0.25">
      <c r="A135" s="35" t="s">
        <v>1766</v>
      </c>
      <c r="B135" s="35" t="s">
        <v>1766</v>
      </c>
      <c r="C135" s="35" t="s">
        <v>1767</v>
      </c>
      <c r="D135" s="8">
        <f>COUNTIF(Table4[کد سیستم],Table2[[#This Row],[کد سیستم]])</f>
        <v>1</v>
      </c>
    </row>
    <row r="136" spans="1:4" hidden="1" x14ac:dyDescent="0.25">
      <c r="A136" s="35" t="s">
        <v>1768</v>
      </c>
      <c r="B136" s="35" t="s">
        <v>1768</v>
      </c>
      <c r="C136" s="35" t="s">
        <v>1769</v>
      </c>
      <c r="D136" s="8">
        <f>COUNTIF(Table4[کد سیستم],Table2[[#This Row],[کد سیستم]])</f>
        <v>1</v>
      </c>
    </row>
    <row r="137" spans="1:4" hidden="1" x14ac:dyDescent="0.25">
      <c r="A137" s="35" t="s">
        <v>1770</v>
      </c>
      <c r="B137" s="35" t="s">
        <v>1770</v>
      </c>
      <c r="C137" s="35" t="s">
        <v>1771</v>
      </c>
      <c r="D137" s="8">
        <f>COUNTIF(Table4[کد سیستم],Table2[[#This Row],[کد سیستم]])</f>
        <v>1</v>
      </c>
    </row>
    <row r="138" spans="1:4" hidden="1" x14ac:dyDescent="0.25">
      <c r="A138" s="35" t="s">
        <v>1772</v>
      </c>
      <c r="B138" s="35" t="s">
        <v>1772</v>
      </c>
      <c r="C138" s="35" t="s">
        <v>1773</v>
      </c>
      <c r="D138" s="8">
        <f>COUNTIF(Table4[کد سیستم],Table2[[#This Row],[کد سیستم]])</f>
        <v>1</v>
      </c>
    </row>
    <row r="139" spans="1:4" hidden="1" x14ac:dyDescent="0.25">
      <c r="A139" s="35" t="s">
        <v>1774</v>
      </c>
      <c r="B139" s="35" t="s">
        <v>1774</v>
      </c>
      <c r="C139" s="35" t="s">
        <v>1775</v>
      </c>
      <c r="D139" s="8">
        <f>COUNTIF(Table4[کد سیستم],Table2[[#This Row],[کد سیستم]])</f>
        <v>1</v>
      </c>
    </row>
    <row r="140" spans="1:4" hidden="1" x14ac:dyDescent="0.25">
      <c r="A140" s="35" t="s">
        <v>1776</v>
      </c>
      <c r="B140" s="35" t="s">
        <v>1776</v>
      </c>
      <c r="C140" s="35" t="s">
        <v>1777</v>
      </c>
      <c r="D140" s="8">
        <f>COUNTIF(Table4[کد سیستم],Table2[[#This Row],[کد سیستم]])</f>
        <v>1</v>
      </c>
    </row>
    <row r="141" spans="1:4" hidden="1" x14ac:dyDescent="0.25">
      <c r="A141" s="35" t="s">
        <v>1778</v>
      </c>
      <c r="B141" s="35" t="s">
        <v>1778</v>
      </c>
      <c r="C141" s="35" t="s">
        <v>1779</v>
      </c>
      <c r="D141" s="8">
        <f>COUNTIF(Table4[کد سیستم],Table2[[#This Row],[کد سیستم]])</f>
        <v>1</v>
      </c>
    </row>
    <row r="142" spans="1:4" hidden="1" x14ac:dyDescent="0.25">
      <c r="A142" s="35" t="s">
        <v>1780</v>
      </c>
      <c r="B142" s="35" t="s">
        <v>1780</v>
      </c>
      <c r="C142" s="35" t="s">
        <v>1781</v>
      </c>
      <c r="D142" s="8">
        <f>COUNTIF(Table4[کد سیستم],Table2[[#This Row],[کد سیستم]])</f>
        <v>1</v>
      </c>
    </row>
    <row r="143" spans="1:4" hidden="1" x14ac:dyDescent="0.25">
      <c r="A143" s="35" t="s">
        <v>1782</v>
      </c>
      <c r="B143" s="35" t="s">
        <v>1782</v>
      </c>
      <c r="C143" s="35" t="s">
        <v>1783</v>
      </c>
      <c r="D143" s="8">
        <f>COUNTIF(Table4[کد سیستم],Table2[[#This Row],[کد سیستم]])</f>
        <v>1</v>
      </c>
    </row>
    <row r="144" spans="1:4" hidden="1" x14ac:dyDescent="0.25">
      <c r="A144" s="35" t="s">
        <v>1784</v>
      </c>
      <c r="B144" s="35" t="s">
        <v>1784</v>
      </c>
      <c r="C144" s="35" t="s">
        <v>1785</v>
      </c>
      <c r="D144" s="8">
        <f>COUNTIF(Table4[کد سیستم],Table2[[#This Row],[کد سیستم]])</f>
        <v>1</v>
      </c>
    </row>
    <row r="145" spans="1:4" hidden="1" x14ac:dyDescent="0.25">
      <c r="A145" s="35" t="s">
        <v>1786</v>
      </c>
      <c r="B145" s="35" t="s">
        <v>1786</v>
      </c>
      <c r="C145" s="35" t="s">
        <v>1787</v>
      </c>
      <c r="D145" s="8">
        <f>COUNTIF(Table4[کد سیستم],Table2[[#This Row],[کد سیستم]])</f>
        <v>1</v>
      </c>
    </row>
    <row r="146" spans="1:4" hidden="1" x14ac:dyDescent="0.25">
      <c r="A146" s="35" t="s">
        <v>1788</v>
      </c>
      <c r="B146" s="35" t="s">
        <v>1788</v>
      </c>
      <c r="C146" s="35" t="s">
        <v>1789</v>
      </c>
      <c r="D146" s="8">
        <f>COUNTIF(Table4[کد سیستم],Table2[[#This Row],[کد سیستم]])</f>
        <v>1</v>
      </c>
    </row>
    <row r="147" spans="1:4" hidden="1" x14ac:dyDescent="0.25">
      <c r="A147" s="35" t="s">
        <v>1790</v>
      </c>
      <c r="B147" s="35" t="s">
        <v>1790</v>
      </c>
      <c r="C147" s="35" t="s">
        <v>1791</v>
      </c>
      <c r="D147" s="8">
        <f>COUNTIF(Table4[کد سیستم],Table2[[#This Row],[کد سیستم]])</f>
        <v>1</v>
      </c>
    </row>
    <row r="148" spans="1:4" hidden="1" x14ac:dyDescent="0.25">
      <c r="A148" s="35" t="s">
        <v>1792</v>
      </c>
      <c r="B148" s="35" t="s">
        <v>1792</v>
      </c>
      <c r="C148" s="35" t="s">
        <v>1793</v>
      </c>
      <c r="D148" s="8">
        <f>COUNTIF(Table4[کد سیستم],Table2[[#This Row],[کد سیستم]])</f>
        <v>1</v>
      </c>
    </row>
    <row r="149" spans="1:4" hidden="1" x14ac:dyDescent="0.25">
      <c r="A149" s="35" t="s">
        <v>1794</v>
      </c>
      <c r="B149" s="35" t="s">
        <v>1794</v>
      </c>
      <c r="C149" s="35" t="s">
        <v>1795</v>
      </c>
      <c r="D149" s="8">
        <f>COUNTIF(Table4[کد سیستم],Table2[[#This Row],[کد سیستم]])</f>
        <v>1</v>
      </c>
    </row>
    <row r="150" spans="1:4" hidden="1" x14ac:dyDescent="0.25">
      <c r="A150" s="35" t="s">
        <v>1796</v>
      </c>
      <c r="B150" s="35" t="s">
        <v>1796</v>
      </c>
      <c r="C150" s="35" t="s">
        <v>1797</v>
      </c>
      <c r="D150" s="8">
        <f>COUNTIF(Table4[کد سیستم],Table2[[#This Row],[کد سیستم]])</f>
        <v>1</v>
      </c>
    </row>
    <row r="151" spans="1:4" hidden="1" x14ac:dyDescent="0.25">
      <c r="A151" s="35" t="s">
        <v>1798</v>
      </c>
      <c r="B151" s="35" t="s">
        <v>1798</v>
      </c>
      <c r="C151" s="35" t="s">
        <v>1799</v>
      </c>
      <c r="D151" s="8">
        <f>COUNTIF(Table4[کد سیستم],Table2[[#This Row],[کد سیستم]])</f>
        <v>1</v>
      </c>
    </row>
    <row r="152" spans="1:4" hidden="1" x14ac:dyDescent="0.25">
      <c r="A152" s="35" t="s">
        <v>1800</v>
      </c>
      <c r="B152" s="35" t="s">
        <v>1800</v>
      </c>
      <c r="C152" s="35" t="s">
        <v>1801</v>
      </c>
      <c r="D152" s="8">
        <f>COUNTIF(Table4[کد سیستم],Table2[[#This Row],[کد سیستم]])</f>
        <v>1</v>
      </c>
    </row>
    <row r="153" spans="1:4" hidden="1" x14ac:dyDescent="0.25">
      <c r="A153" s="35" t="s">
        <v>1802</v>
      </c>
      <c r="B153" s="35" t="s">
        <v>1802</v>
      </c>
      <c r="C153" s="35" t="s">
        <v>1803</v>
      </c>
      <c r="D153" s="8">
        <f>COUNTIF(Table4[کد سیستم],Table2[[#This Row],[کد سیستم]])</f>
        <v>1</v>
      </c>
    </row>
    <row r="154" spans="1:4" hidden="1" x14ac:dyDescent="0.25">
      <c r="A154" s="35" t="s">
        <v>1804</v>
      </c>
      <c r="B154" s="35" t="s">
        <v>1804</v>
      </c>
      <c r="C154" s="35" t="s">
        <v>1805</v>
      </c>
      <c r="D154" s="8">
        <f>COUNTIF(Table4[کد سیستم],Table2[[#This Row],[کد سیستم]])</f>
        <v>1</v>
      </c>
    </row>
    <row r="155" spans="1:4" hidden="1" x14ac:dyDescent="0.25">
      <c r="A155" s="35" t="s">
        <v>1806</v>
      </c>
      <c r="B155" s="35" t="s">
        <v>1806</v>
      </c>
      <c r="C155" s="35" t="s">
        <v>1807</v>
      </c>
      <c r="D155" s="8">
        <f>COUNTIF(Table4[کد سیستم],Table2[[#This Row],[کد سیستم]])</f>
        <v>1</v>
      </c>
    </row>
    <row r="156" spans="1:4" hidden="1" x14ac:dyDescent="0.25">
      <c r="A156" s="35" t="s">
        <v>1808</v>
      </c>
      <c r="B156" s="35" t="s">
        <v>1808</v>
      </c>
      <c r="C156" s="35" t="s">
        <v>1809</v>
      </c>
      <c r="D156" s="8">
        <f>COUNTIF(Table4[کد سیستم],Table2[[#This Row],[کد سیستم]])</f>
        <v>1</v>
      </c>
    </row>
    <row r="157" spans="1:4" hidden="1" x14ac:dyDescent="0.25">
      <c r="A157" s="35" t="s">
        <v>1810</v>
      </c>
      <c r="B157" s="35" t="s">
        <v>1810</v>
      </c>
      <c r="C157" s="35" t="s">
        <v>1811</v>
      </c>
      <c r="D157" s="8">
        <f>COUNTIF(Table4[کد سیستم],Table2[[#This Row],[کد سیستم]])</f>
        <v>1</v>
      </c>
    </row>
    <row r="158" spans="1:4" hidden="1" x14ac:dyDescent="0.25">
      <c r="A158" s="35" t="s">
        <v>1812</v>
      </c>
      <c r="B158" s="35" t="s">
        <v>1812</v>
      </c>
      <c r="C158" s="35" t="s">
        <v>1813</v>
      </c>
      <c r="D158" s="8">
        <f>COUNTIF(Table4[کد سیستم],Table2[[#This Row],[کد سیستم]])</f>
        <v>1</v>
      </c>
    </row>
    <row r="159" spans="1:4" hidden="1" x14ac:dyDescent="0.25">
      <c r="A159" s="35" t="s">
        <v>1814</v>
      </c>
      <c r="B159" s="35" t="s">
        <v>1814</v>
      </c>
      <c r="C159" s="35" t="s">
        <v>1815</v>
      </c>
      <c r="D159" s="8">
        <f>COUNTIF(Table4[کد سیستم],Table2[[#This Row],[کد سیستم]])</f>
        <v>1</v>
      </c>
    </row>
    <row r="160" spans="1:4" hidden="1" x14ac:dyDescent="0.25">
      <c r="A160" s="35" t="s">
        <v>1816</v>
      </c>
      <c r="B160" s="35" t="s">
        <v>1816</v>
      </c>
      <c r="C160" s="35" t="s">
        <v>1817</v>
      </c>
      <c r="D160" s="8">
        <f>COUNTIF(Table4[کد سیستم],Table2[[#This Row],[کد سیستم]])</f>
        <v>1</v>
      </c>
    </row>
    <row r="161" spans="1:4" hidden="1" x14ac:dyDescent="0.25">
      <c r="A161" s="35" t="s">
        <v>1818</v>
      </c>
      <c r="B161" s="35" t="s">
        <v>1818</v>
      </c>
      <c r="C161" s="35" t="s">
        <v>1819</v>
      </c>
      <c r="D161" s="8">
        <f>COUNTIF(Table4[کد سیستم],Table2[[#This Row],[کد سیستم]])</f>
        <v>1</v>
      </c>
    </row>
    <row r="162" spans="1:4" hidden="1" x14ac:dyDescent="0.25">
      <c r="A162" s="35" t="s">
        <v>1820</v>
      </c>
      <c r="B162" s="35" t="s">
        <v>1820</v>
      </c>
      <c r="C162" s="35" t="s">
        <v>1821</v>
      </c>
      <c r="D162" s="8">
        <f>COUNTIF(Table4[کد سیستم],Table2[[#This Row],[کد سیستم]])</f>
        <v>1</v>
      </c>
    </row>
    <row r="163" spans="1:4" hidden="1" x14ac:dyDescent="0.25">
      <c r="A163" s="35" t="s">
        <v>1822</v>
      </c>
      <c r="B163" s="35" t="s">
        <v>1822</v>
      </c>
      <c r="C163" s="35" t="s">
        <v>1823</v>
      </c>
      <c r="D163" s="8">
        <f>COUNTIF(Table4[کد سیستم],Table2[[#This Row],[کد سیستم]])</f>
        <v>1</v>
      </c>
    </row>
    <row r="164" spans="1:4" hidden="1" x14ac:dyDescent="0.25">
      <c r="A164" s="35" t="s">
        <v>1824</v>
      </c>
      <c r="B164" s="35" t="s">
        <v>1824</v>
      </c>
      <c r="C164" s="35" t="s">
        <v>1825</v>
      </c>
      <c r="D164" s="8">
        <f>COUNTIF(Table4[کد سیستم],Table2[[#This Row],[کد سیستم]])</f>
        <v>1</v>
      </c>
    </row>
    <row r="165" spans="1:4" hidden="1" x14ac:dyDescent="0.25">
      <c r="A165" s="35" t="s">
        <v>1826</v>
      </c>
      <c r="B165" s="35" t="s">
        <v>1826</v>
      </c>
      <c r="C165" s="35" t="s">
        <v>1827</v>
      </c>
      <c r="D165" s="8">
        <f>COUNTIF(Table4[کد سیستم],Table2[[#This Row],[کد سیستم]])</f>
        <v>1</v>
      </c>
    </row>
    <row r="166" spans="1:4" hidden="1" x14ac:dyDescent="0.25">
      <c r="A166" s="35" t="s">
        <v>1828</v>
      </c>
      <c r="B166" s="35" t="s">
        <v>1828</v>
      </c>
      <c r="C166" s="35" t="s">
        <v>1829</v>
      </c>
      <c r="D166" s="8">
        <f>COUNTIF(Table4[کد سیستم],Table2[[#This Row],[کد سیستم]])</f>
        <v>1</v>
      </c>
    </row>
    <row r="167" spans="1:4" hidden="1" x14ac:dyDescent="0.25">
      <c r="A167" s="35" t="s">
        <v>1830</v>
      </c>
      <c r="B167" s="35" t="s">
        <v>1830</v>
      </c>
      <c r="C167" s="35" t="s">
        <v>1831</v>
      </c>
      <c r="D167" s="8">
        <f>COUNTIF(Table4[کد سیستم],Table2[[#This Row],[کد سیستم]])</f>
        <v>1</v>
      </c>
    </row>
    <row r="168" spans="1:4" hidden="1" x14ac:dyDescent="0.25">
      <c r="A168" s="35" t="s">
        <v>1832</v>
      </c>
      <c r="B168" s="35" t="s">
        <v>1832</v>
      </c>
      <c r="C168" s="35" t="s">
        <v>1833</v>
      </c>
      <c r="D168" s="8">
        <f>COUNTIF(Table4[کد سیستم],Table2[[#This Row],[کد سیستم]])</f>
        <v>1</v>
      </c>
    </row>
    <row r="169" spans="1:4" hidden="1" x14ac:dyDescent="0.25">
      <c r="A169" s="35" t="s">
        <v>1834</v>
      </c>
      <c r="B169" s="35" t="s">
        <v>1834</v>
      </c>
      <c r="C169" s="35" t="s">
        <v>1835</v>
      </c>
      <c r="D169" s="8">
        <f>COUNTIF(Table4[کد سیستم],Table2[[#This Row],[کد سیستم]])</f>
        <v>1</v>
      </c>
    </row>
    <row r="170" spans="1:4" hidden="1" x14ac:dyDescent="0.25">
      <c r="A170" s="35" t="s">
        <v>1836</v>
      </c>
      <c r="B170" s="35" t="s">
        <v>1836</v>
      </c>
      <c r="C170" s="35" t="s">
        <v>1837</v>
      </c>
      <c r="D170" s="8">
        <f>COUNTIF(Table4[کد سیستم],Table2[[#This Row],[کد سیستم]])</f>
        <v>1</v>
      </c>
    </row>
    <row r="171" spans="1:4" hidden="1" x14ac:dyDescent="0.25">
      <c r="A171" s="35" t="s">
        <v>1838</v>
      </c>
      <c r="B171" s="35" t="s">
        <v>1838</v>
      </c>
      <c r="C171" s="35" t="s">
        <v>1839</v>
      </c>
      <c r="D171" s="8">
        <f>COUNTIF(Table4[کد سیستم],Table2[[#This Row],[کد سیستم]])</f>
        <v>1</v>
      </c>
    </row>
    <row r="172" spans="1:4" hidden="1" x14ac:dyDescent="0.25">
      <c r="A172" s="35" t="s">
        <v>1840</v>
      </c>
      <c r="B172" s="35" t="s">
        <v>1840</v>
      </c>
      <c r="C172" s="35" t="s">
        <v>1841</v>
      </c>
      <c r="D172" s="8">
        <f>COUNTIF(Table4[کد سیستم],Table2[[#This Row],[کد سیستم]])</f>
        <v>1</v>
      </c>
    </row>
    <row r="173" spans="1:4" hidden="1" x14ac:dyDescent="0.25">
      <c r="A173" s="35" t="s">
        <v>1842</v>
      </c>
      <c r="B173" s="35" t="s">
        <v>1842</v>
      </c>
      <c r="C173" s="35" t="s">
        <v>1843</v>
      </c>
      <c r="D173" s="8">
        <f>COUNTIF(Table4[کد سیستم],Table2[[#This Row],[کد سیستم]])</f>
        <v>1</v>
      </c>
    </row>
    <row r="174" spans="1:4" hidden="1" x14ac:dyDescent="0.25">
      <c r="A174" s="35" t="s">
        <v>1844</v>
      </c>
      <c r="B174" s="35" t="s">
        <v>1844</v>
      </c>
      <c r="C174" s="35" t="s">
        <v>1845</v>
      </c>
      <c r="D174" s="8">
        <f>COUNTIF(Table4[کد سیستم],Table2[[#This Row],[کد سیستم]])</f>
        <v>1</v>
      </c>
    </row>
    <row r="175" spans="1:4" hidden="1" x14ac:dyDescent="0.25">
      <c r="A175" s="35" t="s">
        <v>1846</v>
      </c>
      <c r="B175" s="35" t="s">
        <v>1846</v>
      </c>
      <c r="C175" s="35" t="s">
        <v>1847</v>
      </c>
      <c r="D175" s="8">
        <f>COUNTIF(Table4[کد سیستم],Table2[[#This Row],[کد سیستم]])</f>
        <v>1</v>
      </c>
    </row>
    <row r="176" spans="1:4" hidden="1" x14ac:dyDescent="0.25">
      <c r="A176" s="35" t="s">
        <v>1848</v>
      </c>
      <c r="B176" s="35" t="s">
        <v>1848</v>
      </c>
      <c r="C176" s="35" t="s">
        <v>1849</v>
      </c>
      <c r="D176" s="8">
        <f>COUNTIF(Table4[کد سیستم],Table2[[#This Row],[کد سیستم]])</f>
        <v>1</v>
      </c>
    </row>
    <row r="177" spans="1:4" hidden="1" x14ac:dyDescent="0.25">
      <c r="A177" s="35" t="s">
        <v>1850</v>
      </c>
      <c r="B177" s="35" t="s">
        <v>1850</v>
      </c>
      <c r="C177" s="35" t="s">
        <v>1851</v>
      </c>
      <c r="D177" s="8">
        <f>COUNTIF(Table4[کد سیستم],Table2[[#This Row],[کد سیستم]])</f>
        <v>1</v>
      </c>
    </row>
    <row r="178" spans="1:4" hidden="1" x14ac:dyDescent="0.25">
      <c r="A178" s="35" t="s">
        <v>1852</v>
      </c>
      <c r="B178" s="35" t="s">
        <v>1852</v>
      </c>
      <c r="C178" s="35" t="s">
        <v>1853</v>
      </c>
      <c r="D178" s="8">
        <f>COUNTIF(Table4[کد سیستم],Table2[[#This Row],[کد سیستم]])</f>
        <v>1</v>
      </c>
    </row>
    <row r="179" spans="1:4" hidden="1" x14ac:dyDescent="0.25">
      <c r="A179" s="35" t="s">
        <v>1854</v>
      </c>
      <c r="B179" s="35" t="s">
        <v>1854</v>
      </c>
      <c r="C179" s="35" t="s">
        <v>1855</v>
      </c>
      <c r="D179" s="8">
        <f>COUNTIF(Table4[کد سیستم],Table2[[#This Row],[کد سیستم]])</f>
        <v>1</v>
      </c>
    </row>
    <row r="180" spans="1:4" hidden="1" x14ac:dyDescent="0.25">
      <c r="A180" s="35" t="s">
        <v>1856</v>
      </c>
      <c r="B180" s="35" t="s">
        <v>1856</v>
      </c>
      <c r="C180" s="35" t="s">
        <v>1857</v>
      </c>
      <c r="D180" s="8">
        <f>COUNTIF(Table4[کد سیستم],Table2[[#This Row],[کد سیستم]])</f>
        <v>1</v>
      </c>
    </row>
    <row r="181" spans="1:4" x14ac:dyDescent="0.25">
      <c r="A181" s="35" t="s">
        <v>3894</v>
      </c>
      <c r="B181" s="35" t="s">
        <v>3894</v>
      </c>
      <c r="C181" s="35" t="s">
        <v>3895</v>
      </c>
      <c r="D181" s="8">
        <f>COUNTIF(Table4[کد سیستم],Table2[[#This Row],[کد سیستم]])</f>
        <v>1</v>
      </c>
    </row>
    <row r="182" spans="1:4" x14ac:dyDescent="0.25">
      <c r="A182" s="35" t="s">
        <v>3896</v>
      </c>
      <c r="B182" s="35" t="s">
        <v>3896</v>
      </c>
      <c r="C182" s="35" t="s">
        <v>3897</v>
      </c>
      <c r="D182" s="8">
        <f>COUNTIF(Table4[کد سیستم],Table2[[#This Row],[کد سیستم]])</f>
        <v>1</v>
      </c>
    </row>
    <row r="183" spans="1:4" x14ac:dyDescent="0.25">
      <c r="A183" s="35" t="s">
        <v>3898</v>
      </c>
      <c r="B183" s="35" t="s">
        <v>3898</v>
      </c>
      <c r="C183" s="35" t="s">
        <v>3899</v>
      </c>
      <c r="D183" s="8">
        <f>COUNTIF(Table4[کد سیستم],Table2[[#This Row],[کد سیستم]])</f>
        <v>1</v>
      </c>
    </row>
    <row r="184" spans="1:4" x14ac:dyDescent="0.25">
      <c r="A184" s="35" t="s">
        <v>3900</v>
      </c>
      <c r="B184" s="35" t="s">
        <v>3900</v>
      </c>
      <c r="C184" s="35" t="s">
        <v>3901</v>
      </c>
      <c r="D184" s="8">
        <f>COUNTIF(Table4[کد سیستم],Table2[[#This Row],[کد سیستم]])</f>
        <v>1</v>
      </c>
    </row>
    <row r="185" spans="1:4" x14ac:dyDescent="0.25">
      <c r="A185" s="35" t="s">
        <v>3902</v>
      </c>
      <c r="B185" s="35" t="s">
        <v>3902</v>
      </c>
      <c r="C185" s="35" t="s">
        <v>3903</v>
      </c>
      <c r="D185" s="8">
        <f>COUNTIF(Table4[کد سیستم],Table2[[#This Row],[کد سیستم]])</f>
        <v>1</v>
      </c>
    </row>
    <row r="186" spans="1:4" x14ac:dyDescent="0.25">
      <c r="A186" s="35" t="s">
        <v>3904</v>
      </c>
      <c r="B186" s="35" t="s">
        <v>3904</v>
      </c>
      <c r="C186" s="35" t="s">
        <v>3905</v>
      </c>
      <c r="D186" s="8">
        <f>COUNTIF(Table4[کد سیستم],Table2[[#This Row],[کد سیستم]])</f>
        <v>1</v>
      </c>
    </row>
    <row r="187" spans="1:4" x14ac:dyDescent="0.25">
      <c r="A187" s="35" t="s">
        <v>3906</v>
      </c>
      <c r="B187" s="35" t="s">
        <v>3906</v>
      </c>
      <c r="C187" s="35" t="s">
        <v>3907</v>
      </c>
      <c r="D187" s="8">
        <f>COUNTIF(Table4[کد سیستم],Table2[[#This Row],[کد سیستم]])</f>
        <v>1</v>
      </c>
    </row>
    <row r="188" spans="1:4" x14ac:dyDescent="0.25">
      <c r="A188" s="35" t="s">
        <v>3908</v>
      </c>
      <c r="B188" s="35" t="s">
        <v>3908</v>
      </c>
      <c r="C188" s="35" t="s">
        <v>3909</v>
      </c>
      <c r="D188" s="8">
        <f>COUNTIF(Table4[کد سیستم],Table2[[#This Row],[کد سیستم]])</f>
        <v>1</v>
      </c>
    </row>
    <row r="189" spans="1:4" hidden="1" x14ac:dyDescent="0.25">
      <c r="A189" s="35" t="s">
        <v>1858</v>
      </c>
      <c r="B189" s="35" t="s">
        <v>1858</v>
      </c>
      <c r="C189" s="35" t="s">
        <v>1859</v>
      </c>
      <c r="D189" s="8">
        <f>COUNTIF(Table4[کد سیستم],Table2[[#This Row],[کد سیستم]])</f>
        <v>1</v>
      </c>
    </row>
    <row r="190" spans="1:4" hidden="1" x14ac:dyDescent="0.25">
      <c r="A190" s="35" t="s">
        <v>1860</v>
      </c>
      <c r="B190" s="35" t="s">
        <v>1860</v>
      </c>
      <c r="C190" s="35" t="s">
        <v>1861</v>
      </c>
      <c r="D190" s="8">
        <f>COUNTIF(Table4[کد سیستم],Table2[[#This Row],[کد سیستم]])</f>
        <v>1</v>
      </c>
    </row>
    <row r="191" spans="1:4" hidden="1" x14ac:dyDescent="0.25">
      <c r="A191" s="35" t="s">
        <v>1862</v>
      </c>
      <c r="B191" s="35" t="s">
        <v>1862</v>
      </c>
      <c r="C191" s="35" t="s">
        <v>1863</v>
      </c>
      <c r="D191" s="8">
        <f>COUNTIF(Table4[کد سیستم],Table2[[#This Row],[کد سیستم]])</f>
        <v>1</v>
      </c>
    </row>
    <row r="192" spans="1:4" hidden="1" x14ac:dyDescent="0.25">
      <c r="A192" s="35" t="s">
        <v>1864</v>
      </c>
      <c r="B192" s="35" t="s">
        <v>1864</v>
      </c>
      <c r="C192" s="35" t="s">
        <v>1865</v>
      </c>
      <c r="D192" s="8">
        <f>COUNTIF(Table4[کد سیستم],Table2[[#This Row],[کد سیستم]])</f>
        <v>1</v>
      </c>
    </row>
    <row r="193" spans="1:4" hidden="1" x14ac:dyDescent="0.25">
      <c r="A193" s="35" t="s">
        <v>1866</v>
      </c>
      <c r="B193" s="35" t="s">
        <v>1866</v>
      </c>
      <c r="C193" s="35" t="s">
        <v>1867</v>
      </c>
      <c r="D193" s="8">
        <f>COUNTIF(Table4[کد سیستم],Table2[[#This Row],[کد سیستم]])</f>
        <v>1</v>
      </c>
    </row>
    <row r="194" spans="1:4" hidden="1" x14ac:dyDescent="0.25">
      <c r="A194" s="35" t="s">
        <v>1868</v>
      </c>
      <c r="B194" s="35" t="s">
        <v>1868</v>
      </c>
      <c r="C194" s="35" t="s">
        <v>1869</v>
      </c>
      <c r="D194" s="8">
        <f>COUNTIF(Table4[کد سیستم],Table2[[#This Row],[کد سیستم]])</f>
        <v>1</v>
      </c>
    </row>
    <row r="195" spans="1:4" hidden="1" x14ac:dyDescent="0.25">
      <c r="A195" s="35" t="s">
        <v>1870</v>
      </c>
      <c r="B195" s="35" t="s">
        <v>1870</v>
      </c>
      <c r="C195" s="35" t="s">
        <v>1871</v>
      </c>
      <c r="D195" s="8">
        <f>COUNTIF(Table4[کد سیستم],Table2[[#This Row],[کد سیستم]])</f>
        <v>1</v>
      </c>
    </row>
    <row r="196" spans="1:4" hidden="1" x14ac:dyDescent="0.25">
      <c r="A196" s="35" t="s">
        <v>1872</v>
      </c>
      <c r="B196" s="35" t="s">
        <v>1872</v>
      </c>
      <c r="C196" s="35" t="s">
        <v>1873</v>
      </c>
      <c r="D196" s="8">
        <f>COUNTIF(Table4[کد سیستم],Table2[[#This Row],[کد سیستم]])</f>
        <v>1</v>
      </c>
    </row>
    <row r="197" spans="1:4" hidden="1" x14ac:dyDescent="0.25">
      <c r="A197" s="35" t="s">
        <v>1874</v>
      </c>
      <c r="B197" s="35" t="s">
        <v>1874</v>
      </c>
      <c r="C197" s="35" t="s">
        <v>1875</v>
      </c>
      <c r="D197" s="8">
        <f>COUNTIF(Table4[کد سیستم],Table2[[#This Row],[کد سیستم]])</f>
        <v>1</v>
      </c>
    </row>
    <row r="198" spans="1:4" hidden="1" x14ac:dyDescent="0.25">
      <c r="A198" s="35" t="s">
        <v>1876</v>
      </c>
      <c r="B198" s="35" t="s">
        <v>1876</v>
      </c>
      <c r="C198" s="35" t="s">
        <v>1877</v>
      </c>
      <c r="D198" s="8">
        <f>COUNTIF(Table4[کد سیستم],Table2[[#This Row],[کد سیستم]])</f>
        <v>1</v>
      </c>
    </row>
    <row r="199" spans="1:4" hidden="1" x14ac:dyDescent="0.25">
      <c r="A199" s="35" t="s">
        <v>1878</v>
      </c>
      <c r="B199" s="35" t="s">
        <v>1878</v>
      </c>
      <c r="C199" s="35" t="s">
        <v>1879</v>
      </c>
      <c r="D199" s="8">
        <f>COUNTIF(Table4[کد سیستم],Table2[[#This Row],[کد سیستم]])</f>
        <v>1</v>
      </c>
    </row>
    <row r="200" spans="1:4" hidden="1" x14ac:dyDescent="0.25">
      <c r="A200" s="35" t="s">
        <v>1880</v>
      </c>
      <c r="B200" s="35" t="s">
        <v>1880</v>
      </c>
      <c r="C200" s="35" t="s">
        <v>1881</v>
      </c>
      <c r="D200" s="8">
        <f>COUNTIF(Table4[کد سیستم],Table2[[#This Row],[کد سیستم]])</f>
        <v>1</v>
      </c>
    </row>
    <row r="201" spans="1:4" hidden="1" x14ac:dyDescent="0.25">
      <c r="A201" s="35" t="s">
        <v>1882</v>
      </c>
      <c r="B201" s="35" t="s">
        <v>1882</v>
      </c>
      <c r="C201" s="35" t="s">
        <v>1883</v>
      </c>
      <c r="D201" s="8">
        <f>COUNTIF(Table4[کد سیستم],Table2[[#This Row],[کد سیستم]])</f>
        <v>1</v>
      </c>
    </row>
    <row r="202" spans="1:4" hidden="1" x14ac:dyDescent="0.25">
      <c r="A202" s="35" t="s">
        <v>1884</v>
      </c>
      <c r="B202" s="35" t="s">
        <v>1884</v>
      </c>
      <c r="C202" s="35" t="s">
        <v>1885</v>
      </c>
      <c r="D202" s="8">
        <f>COUNTIF(Table4[کد سیستم],Table2[[#This Row],[کد سیستم]])</f>
        <v>1</v>
      </c>
    </row>
    <row r="203" spans="1:4" hidden="1" x14ac:dyDescent="0.25">
      <c r="A203" s="35" t="s">
        <v>1886</v>
      </c>
      <c r="B203" s="35" t="s">
        <v>1886</v>
      </c>
      <c r="C203" s="35" t="s">
        <v>1887</v>
      </c>
      <c r="D203" s="8">
        <f>COUNTIF(Table4[کد سیستم],Table2[[#This Row],[کد سیستم]])</f>
        <v>1</v>
      </c>
    </row>
    <row r="204" spans="1:4" hidden="1" x14ac:dyDescent="0.25">
      <c r="A204" s="35" t="s">
        <v>1888</v>
      </c>
      <c r="B204" s="35" t="s">
        <v>1888</v>
      </c>
      <c r="C204" s="35" t="s">
        <v>1889</v>
      </c>
      <c r="D204" s="8">
        <f>COUNTIF(Table4[کد سیستم],Table2[[#This Row],[کد سیستم]])</f>
        <v>1</v>
      </c>
    </row>
    <row r="205" spans="1:4" hidden="1" x14ac:dyDescent="0.25">
      <c r="A205" s="35" t="s">
        <v>1890</v>
      </c>
      <c r="B205" s="35" t="s">
        <v>1890</v>
      </c>
      <c r="C205" s="35" t="s">
        <v>1891</v>
      </c>
      <c r="D205" s="8">
        <f>COUNTIF(Table4[کد سیستم],Table2[[#This Row],[کد سیستم]])</f>
        <v>1</v>
      </c>
    </row>
    <row r="206" spans="1:4" hidden="1" x14ac:dyDescent="0.25">
      <c r="A206" s="35" t="s">
        <v>1892</v>
      </c>
      <c r="B206" s="35" t="s">
        <v>1892</v>
      </c>
      <c r="C206" s="35" t="s">
        <v>1893</v>
      </c>
      <c r="D206" s="8">
        <f>COUNTIF(Table4[کد سیستم],Table2[[#This Row],[کد سیستم]])</f>
        <v>1</v>
      </c>
    </row>
    <row r="207" spans="1:4" hidden="1" x14ac:dyDescent="0.25">
      <c r="A207" s="35" t="s">
        <v>1894</v>
      </c>
      <c r="B207" s="35" t="s">
        <v>1894</v>
      </c>
      <c r="C207" s="35" t="s">
        <v>1895</v>
      </c>
      <c r="D207" s="8">
        <f>COUNTIF(Table4[کد سیستم],Table2[[#This Row],[کد سیستم]])</f>
        <v>1</v>
      </c>
    </row>
    <row r="208" spans="1:4" hidden="1" x14ac:dyDescent="0.25">
      <c r="A208" s="35" t="s">
        <v>1896</v>
      </c>
      <c r="B208" s="35" t="s">
        <v>1896</v>
      </c>
      <c r="C208" s="35" t="s">
        <v>1897</v>
      </c>
      <c r="D208" s="8">
        <f>COUNTIF(Table4[کد سیستم],Table2[[#This Row],[کد سیستم]])</f>
        <v>1</v>
      </c>
    </row>
    <row r="209" spans="1:4" hidden="1" x14ac:dyDescent="0.25">
      <c r="A209" s="35" t="s">
        <v>1898</v>
      </c>
      <c r="B209" s="35" t="s">
        <v>1898</v>
      </c>
      <c r="C209" s="35" t="s">
        <v>1899</v>
      </c>
      <c r="D209" s="8">
        <f>COUNTIF(Table4[کد سیستم],Table2[[#This Row],[کد سیستم]])</f>
        <v>1</v>
      </c>
    </row>
    <row r="210" spans="1:4" hidden="1" x14ac:dyDescent="0.25">
      <c r="A210" s="35" t="s">
        <v>1900</v>
      </c>
      <c r="B210" s="35" t="s">
        <v>1900</v>
      </c>
      <c r="C210" s="35" t="s">
        <v>1901</v>
      </c>
      <c r="D210" s="8">
        <f>COUNTIF(Table4[کد سیستم],Table2[[#This Row],[کد سیستم]])</f>
        <v>1</v>
      </c>
    </row>
    <row r="211" spans="1:4" hidden="1" x14ac:dyDescent="0.25">
      <c r="A211" s="35" t="s">
        <v>1902</v>
      </c>
      <c r="B211" s="35" t="s">
        <v>1902</v>
      </c>
      <c r="C211" s="35" t="s">
        <v>1903</v>
      </c>
      <c r="D211" s="8">
        <f>COUNTIF(Table4[کد سیستم],Table2[[#This Row],[کد سیستم]])</f>
        <v>1</v>
      </c>
    </row>
    <row r="212" spans="1:4" hidden="1" x14ac:dyDescent="0.25">
      <c r="A212" s="35" t="s">
        <v>1904</v>
      </c>
      <c r="B212" s="35" t="s">
        <v>1904</v>
      </c>
      <c r="C212" s="35" t="s">
        <v>1905</v>
      </c>
      <c r="D212" s="8">
        <f>COUNTIF(Table4[کد سیستم],Table2[[#This Row],[کد سیستم]])</f>
        <v>1</v>
      </c>
    </row>
    <row r="213" spans="1:4" hidden="1" x14ac:dyDescent="0.25">
      <c r="A213" s="35" t="s">
        <v>1906</v>
      </c>
      <c r="B213" s="35" t="s">
        <v>1906</v>
      </c>
      <c r="C213" s="35" t="s">
        <v>1907</v>
      </c>
      <c r="D213" s="8">
        <f>COUNTIF(Table4[کد سیستم],Table2[[#This Row],[کد سیستم]])</f>
        <v>1</v>
      </c>
    </row>
    <row r="214" spans="1:4" hidden="1" x14ac:dyDescent="0.25">
      <c r="A214" s="35" t="s">
        <v>1908</v>
      </c>
      <c r="B214" s="35" t="s">
        <v>1908</v>
      </c>
      <c r="C214" s="35" t="s">
        <v>1909</v>
      </c>
      <c r="D214" s="8">
        <f>COUNTIF(Table4[کد سیستم],Table2[[#This Row],[کد سیستم]])</f>
        <v>1</v>
      </c>
    </row>
    <row r="215" spans="1:4" hidden="1" x14ac:dyDescent="0.25">
      <c r="A215" s="35" t="s">
        <v>1910</v>
      </c>
      <c r="B215" s="35" t="s">
        <v>1910</v>
      </c>
      <c r="C215" s="35" t="s">
        <v>1911</v>
      </c>
      <c r="D215" s="8">
        <f>COUNTIF(Table4[کد سیستم],Table2[[#This Row],[کد سیستم]])</f>
        <v>1</v>
      </c>
    </row>
    <row r="216" spans="1:4" hidden="1" x14ac:dyDescent="0.25">
      <c r="A216" s="35" t="s">
        <v>1912</v>
      </c>
      <c r="B216" s="35" t="s">
        <v>1912</v>
      </c>
      <c r="C216" s="35" t="s">
        <v>1913</v>
      </c>
      <c r="D216" s="8">
        <f>COUNTIF(Table4[کد سیستم],Table2[[#This Row],[کد سیستم]])</f>
        <v>1</v>
      </c>
    </row>
    <row r="217" spans="1:4" hidden="1" x14ac:dyDescent="0.25">
      <c r="A217" s="35" t="s">
        <v>1914</v>
      </c>
      <c r="B217" s="35" t="s">
        <v>1914</v>
      </c>
      <c r="C217" s="35" t="s">
        <v>1915</v>
      </c>
      <c r="D217" s="8">
        <f>COUNTIF(Table4[کد سیستم],Table2[[#This Row],[کد سیستم]])</f>
        <v>1</v>
      </c>
    </row>
    <row r="218" spans="1:4" hidden="1" x14ac:dyDescent="0.25">
      <c r="A218" s="35" t="s">
        <v>3813</v>
      </c>
      <c r="B218" s="35" t="s">
        <v>3813</v>
      </c>
      <c r="C218" s="35" t="s">
        <v>3814</v>
      </c>
      <c r="D218" s="8">
        <f>COUNTIF(Table4[کد سیستم],Table2[[#This Row],[کد سیستم]])</f>
        <v>1</v>
      </c>
    </row>
    <row r="219" spans="1:4" hidden="1" x14ac:dyDescent="0.25">
      <c r="A219" s="35" t="s">
        <v>1916</v>
      </c>
      <c r="B219" s="35" t="s">
        <v>1916</v>
      </c>
      <c r="C219" s="35" t="s">
        <v>1917</v>
      </c>
      <c r="D219" s="8">
        <f>COUNTIF(Table4[کد سیستم],Table2[[#This Row],[کد سیستم]])</f>
        <v>1</v>
      </c>
    </row>
    <row r="220" spans="1:4" hidden="1" x14ac:dyDescent="0.25">
      <c r="A220" s="35" t="s">
        <v>1918</v>
      </c>
      <c r="B220" s="35" t="s">
        <v>1918</v>
      </c>
      <c r="C220" s="35" t="s">
        <v>1919</v>
      </c>
      <c r="D220" s="8">
        <f>COUNTIF(Table4[کد سیستم],Table2[[#This Row],[کد سیستم]])</f>
        <v>1</v>
      </c>
    </row>
    <row r="221" spans="1:4" hidden="1" x14ac:dyDescent="0.25">
      <c r="A221" s="35" t="s">
        <v>1920</v>
      </c>
      <c r="B221" s="35" t="s">
        <v>1920</v>
      </c>
      <c r="C221" s="35" t="s">
        <v>1921</v>
      </c>
      <c r="D221" s="8">
        <f>COUNTIF(Table4[کد سیستم],Table2[[#This Row],[کد سیستم]])</f>
        <v>1</v>
      </c>
    </row>
    <row r="222" spans="1:4" hidden="1" x14ac:dyDescent="0.25">
      <c r="A222" s="35" t="s">
        <v>1922</v>
      </c>
      <c r="B222" s="35" t="s">
        <v>1922</v>
      </c>
      <c r="C222" s="35" t="s">
        <v>1923</v>
      </c>
      <c r="D222" s="8">
        <f>COUNTIF(Table4[کد سیستم],Table2[[#This Row],[کد سیستم]])</f>
        <v>1</v>
      </c>
    </row>
    <row r="223" spans="1:4" hidden="1" x14ac:dyDescent="0.25">
      <c r="A223" s="35" t="s">
        <v>1924</v>
      </c>
      <c r="B223" s="35" t="s">
        <v>1924</v>
      </c>
      <c r="C223" s="35" t="s">
        <v>1925</v>
      </c>
      <c r="D223" s="8">
        <f>COUNTIF(Table4[کد سیستم],Table2[[#This Row],[کد سیستم]])</f>
        <v>1</v>
      </c>
    </row>
    <row r="224" spans="1:4" hidden="1" x14ac:dyDescent="0.25">
      <c r="A224" s="35" t="s">
        <v>1926</v>
      </c>
      <c r="B224" s="35" t="s">
        <v>1926</v>
      </c>
      <c r="C224" s="35" t="s">
        <v>1927</v>
      </c>
      <c r="D224" s="8">
        <f>COUNTIF(Table4[کد سیستم],Table2[[#This Row],[کد سیستم]])</f>
        <v>1</v>
      </c>
    </row>
    <row r="225" spans="1:4" hidden="1" x14ac:dyDescent="0.25">
      <c r="A225" s="35" t="s">
        <v>1928</v>
      </c>
      <c r="B225" s="35" t="s">
        <v>1928</v>
      </c>
      <c r="C225" s="35" t="s">
        <v>1929</v>
      </c>
      <c r="D225" s="8">
        <f>COUNTIF(Table4[کد سیستم],Table2[[#This Row],[کد سیستم]])</f>
        <v>1</v>
      </c>
    </row>
    <row r="226" spans="1:4" hidden="1" x14ac:dyDescent="0.25">
      <c r="A226" s="35" t="s">
        <v>1930</v>
      </c>
      <c r="B226" s="35" t="s">
        <v>1930</v>
      </c>
      <c r="C226" s="35" t="s">
        <v>1931</v>
      </c>
      <c r="D226" s="8">
        <f>COUNTIF(Table4[کد سیستم],Table2[[#This Row],[کد سیستم]])</f>
        <v>1</v>
      </c>
    </row>
    <row r="227" spans="1:4" hidden="1" x14ac:dyDescent="0.25">
      <c r="A227" s="35" t="s">
        <v>1932</v>
      </c>
      <c r="B227" s="35" t="s">
        <v>1932</v>
      </c>
      <c r="C227" s="35" t="s">
        <v>1933</v>
      </c>
      <c r="D227" s="8">
        <f>COUNTIF(Table4[کد سیستم],Table2[[#This Row],[کد سیستم]])</f>
        <v>1</v>
      </c>
    </row>
    <row r="228" spans="1:4" hidden="1" x14ac:dyDescent="0.25">
      <c r="A228" s="35" t="s">
        <v>1934</v>
      </c>
      <c r="B228" s="35" t="s">
        <v>1934</v>
      </c>
      <c r="C228" s="35" t="s">
        <v>1935</v>
      </c>
      <c r="D228" s="8">
        <f>COUNTIF(Table4[کد سیستم],Table2[[#This Row],[کد سیستم]])</f>
        <v>1</v>
      </c>
    </row>
    <row r="229" spans="1:4" hidden="1" x14ac:dyDescent="0.25">
      <c r="A229" s="35" t="s">
        <v>1936</v>
      </c>
      <c r="B229" s="35" t="s">
        <v>1936</v>
      </c>
      <c r="C229" s="35" t="s">
        <v>1937</v>
      </c>
      <c r="D229" s="8">
        <f>COUNTIF(Table4[کد سیستم],Table2[[#This Row],[کد سیستم]])</f>
        <v>1</v>
      </c>
    </row>
    <row r="230" spans="1:4" hidden="1" x14ac:dyDescent="0.25">
      <c r="A230" s="35" t="s">
        <v>1938</v>
      </c>
      <c r="B230" s="35" t="s">
        <v>1938</v>
      </c>
      <c r="C230" s="35" t="s">
        <v>1939</v>
      </c>
      <c r="D230" s="8">
        <f>COUNTIF(Table4[کد سیستم],Table2[[#This Row],[کد سیستم]])</f>
        <v>1</v>
      </c>
    </row>
    <row r="231" spans="1:4" hidden="1" x14ac:dyDescent="0.25">
      <c r="A231" s="35" t="s">
        <v>1940</v>
      </c>
      <c r="B231" s="35" t="s">
        <v>1940</v>
      </c>
      <c r="C231" s="35" t="s">
        <v>1941</v>
      </c>
      <c r="D231" s="8">
        <f>COUNTIF(Table4[کد سیستم],Table2[[#This Row],[کد سیستم]])</f>
        <v>1</v>
      </c>
    </row>
    <row r="232" spans="1:4" hidden="1" x14ac:dyDescent="0.25">
      <c r="A232" s="35" t="s">
        <v>1942</v>
      </c>
      <c r="B232" s="35" t="s">
        <v>1942</v>
      </c>
      <c r="C232" s="35" t="s">
        <v>1943</v>
      </c>
      <c r="D232" s="8">
        <f>COUNTIF(Table4[کد سیستم],Table2[[#This Row],[کد سیستم]])</f>
        <v>1</v>
      </c>
    </row>
    <row r="233" spans="1:4" hidden="1" x14ac:dyDescent="0.25">
      <c r="A233" s="35" t="s">
        <v>1944</v>
      </c>
      <c r="B233" s="35" t="s">
        <v>1944</v>
      </c>
      <c r="C233" s="35" t="s">
        <v>1945</v>
      </c>
      <c r="D233" s="8">
        <f>COUNTIF(Table4[کد سیستم],Table2[[#This Row],[کد سیستم]])</f>
        <v>1</v>
      </c>
    </row>
    <row r="234" spans="1:4" hidden="1" x14ac:dyDescent="0.25">
      <c r="A234" s="35" t="s">
        <v>1946</v>
      </c>
      <c r="B234" s="35" t="s">
        <v>1946</v>
      </c>
      <c r="C234" s="35" t="s">
        <v>1947</v>
      </c>
      <c r="D234" s="8">
        <f>COUNTIF(Table4[کد سیستم],Table2[[#This Row],[کد سیستم]])</f>
        <v>1</v>
      </c>
    </row>
    <row r="235" spans="1:4" hidden="1" x14ac:dyDescent="0.25">
      <c r="A235" s="35" t="s">
        <v>1948</v>
      </c>
      <c r="B235" s="35" t="s">
        <v>1948</v>
      </c>
      <c r="C235" s="35" t="s">
        <v>1949</v>
      </c>
      <c r="D235" s="8">
        <f>COUNTIF(Table4[کد سیستم],Table2[[#This Row],[کد سیستم]])</f>
        <v>1</v>
      </c>
    </row>
    <row r="236" spans="1:4" hidden="1" x14ac:dyDescent="0.25">
      <c r="A236" s="35" t="s">
        <v>1950</v>
      </c>
      <c r="B236" s="35" t="s">
        <v>1950</v>
      </c>
      <c r="C236" s="35" t="s">
        <v>1951</v>
      </c>
      <c r="D236" s="8">
        <f>COUNTIF(Table4[کد سیستم],Table2[[#This Row],[کد سیستم]])</f>
        <v>1</v>
      </c>
    </row>
    <row r="237" spans="1:4" hidden="1" x14ac:dyDescent="0.25">
      <c r="A237" s="35" t="s">
        <v>1952</v>
      </c>
      <c r="B237" s="35" t="s">
        <v>1952</v>
      </c>
      <c r="C237" s="35" t="s">
        <v>1953</v>
      </c>
      <c r="D237" s="8">
        <f>COUNTIF(Table4[کد سیستم],Table2[[#This Row],[کد سیستم]])</f>
        <v>1</v>
      </c>
    </row>
    <row r="238" spans="1:4" hidden="1" x14ac:dyDescent="0.25">
      <c r="A238" s="35" t="s">
        <v>1954</v>
      </c>
      <c r="B238" s="35" t="s">
        <v>1954</v>
      </c>
      <c r="C238" s="35" t="s">
        <v>1955</v>
      </c>
      <c r="D238" s="8">
        <f>COUNTIF(Table4[کد سیستم],Table2[[#This Row],[کد سیستم]])</f>
        <v>1</v>
      </c>
    </row>
    <row r="239" spans="1:4" hidden="1" x14ac:dyDescent="0.25">
      <c r="A239" s="35" t="s">
        <v>1956</v>
      </c>
      <c r="B239" s="35" t="s">
        <v>1956</v>
      </c>
      <c r="C239" s="35" t="s">
        <v>1957</v>
      </c>
      <c r="D239" s="8">
        <f>COUNTIF(Table4[کد سیستم],Table2[[#This Row],[کد سیستم]])</f>
        <v>1</v>
      </c>
    </row>
    <row r="240" spans="1:4" hidden="1" x14ac:dyDescent="0.25">
      <c r="A240" s="35" t="s">
        <v>1958</v>
      </c>
      <c r="B240" s="35" t="s">
        <v>1958</v>
      </c>
      <c r="C240" s="35" t="s">
        <v>1959</v>
      </c>
      <c r="D240" s="8">
        <f>COUNTIF(Table4[کد سیستم],Table2[[#This Row],[کد سیستم]])</f>
        <v>1</v>
      </c>
    </row>
    <row r="241" spans="1:4" hidden="1" x14ac:dyDescent="0.25">
      <c r="A241" s="35" t="s">
        <v>1960</v>
      </c>
      <c r="B241" s="35" t="s">
        <v>1960</v>
      </c>
      <c r="C241" s="35" t="s">
        <v>1961</v>
      </c>
      <c r="D241" s="8">
        <f>COUNTIF(Table4[کد سیستم],Table2[[#This Row],[کد سیستم]])</f>
        <v>1</v>
      </c>
    </row>
    <row r="242" spans="1:4" hidden="1" x14ac:dyDescent="0.25">
      <c r="A242" s="35" t="s">
        <v>1962</v>
      </c>
      <c r="B242" s="35" t="s">
        <v>1962</v>
      </c>
      <c r="C242" s="35" t="s">
        <v>1963</v>
      </c>
      <c r="D242" s="8">
        <f>COUNTIF(Table4[کد سیستم],Table2[[#This Row],[کد سیستم]])</f>
        <v>1</v>
      </c>
    </row>
    <row r="243" spans="1:4" hidden="1" x14ac:dyDescent="0.25">
      <c r="A243" s="35" t="s">
        <v>1964</v>
      </c>
      <c r="B243" s="35" t="s">
        <v>1964</v>
      </c>
      <c r="C243" s="35" t="s">
        <v>1965</v>
      </c>
      <c r="D243" s="8">
        <f>COUNTIF(Table4[کد سیستم],Table2[[#This Row],[کد سیستم]])</f>
        <v>1</v>
      </c>
    </row>
    <row r="244" spans="1:4" hidden="1" x14ac:dyDescent="0.25">
      <c r="A244" s="35" t="s">
        <v>1966</v>
      </c>
      <c r="B244" s="35" t="s">
        <v>1966</v>
      </c>
      <c r="C244" s="35" t="s">
        <v>1967</v>
      </c>
      <c r="D244" s="8">
        <f>COUNTIF(Table4[کد سیستم],Table2[[#This Row],[کد سیستم]])</f>
        <v>1</v>
      </c>
    </row>
    <row r="245" spans="1:4" hidden="1" x14ac:dyDescent="0.25">
      <c r="A245" s="35" t="s">
        <v>1968</v>
      </c>
      <c r="B245" s="35" t="s">
        <v>1968</v>
      </c>
      <c r="C245" s="35" t="s">
        <v>1969</v>
      </c>
      <c r="D245" s="8">
        <f>COUNTIF(Table4[کد سیستم],Table2[[#This Row],[کد سیستم]])</f>
        <v>1</v>
      </c>
    </row>
    <row r="246" spans="1:4" hidden="1" x14ac:dyDescent="0.25">
      <c r="A246" s="35" t="s">
        <v>1970</v>
      </c>
      <c r="B246" s="35" t="s">
        <v>1970</v>
      </c>
      <c r="C246" s="35" t="s">
        <v>1971</v>
      </c>
      <c r="D246" s="8">
        <f>COUNTIF(Table4[کد سیستم],Table2[[#This Row],[کد سیستم]])</f>
        <v>1</v>
      </c>
    </row>
    <row r="247" spans="1:4" hidden="1" x14ac:dyDescent="0.25">
      <c r="A247" s="35" t="s">
        <v>1972</v>
      </c>
      <c r="B247" s="35" t="s">
        <v>1972</v>
      </c>
      <c r="C247" s="35" t="s">
        <v>1973</v>
      </c>
      <c r="D247" s="8">
        <f>COUNTIF(Table4[کد سیستم],Table2[[#This Row],[کد سیستم]])</f>
        <v>1</v>
      </c>
    </row>
    <row r="248" spans="1:4" hidden="1" x14ac:dyDescent="0.25">
      <c r="A248" s="35" t="s">
        <v>1974</v>
      </c>
      <c r="B248" s="35" t="s">
        <v>1974</v>
      </c>
      <c r="C248" s="35" t="s">
        <v>1975</v>
      </c>
      <c r="D248" s="8">
        <f>COUNTIF(Table4[کد سیستم],Table2[[#This Row],[کد سیستم]])</f>
        <v>1</v>
      </c>
    </row>
    <row r="249" spans="1:4" hidden="1" x14ac:dyDescent="0.25">
      <c r="A249" s="35" t="s">
        <v>1976</v>
      </c>
      <c r="B249" s="35" t="s">
        <v>1976</v>
      </c>
      <c r="C249" s="35" t="s">
        <v>1977</v>
      </c>
      <c r="D249" s="8">
        <f>COUNTIF(Table4[کد سیستم],Table2[[#This Row],[کد سیستم]])</f>
        <v>1</v>
      </c>
    </row>
    <row r="250" spans="1:4" hidden="1" x14ac:dyDescent="0.25">
      <c r="A250" s="35" t="s">
        <v>1978</v>
      </c>
      <c r="B250" s="35" t="s">
        <v>1978</v>
      </c>
      <c r="C250" s="35" t="s">
        <v>1979</v>
      </c>
      <c r="D250" s="8">
        <f>COUNTIF(Table4[کد سیستم],Table2[[#This Row],[کد سیستم]])</f>
        <v>1</v>
      </c>
    </row>
    <row r="251" spans="1:4" hidden="1" x14ac:dyDescent="0.25">
      <c r="A251" s="35" t="s">
        <v>1980</v>
      </c>
      <c r="B251" s="35" t="s">
        <v>1980</v>
      </c>
      <c r="C251" s="35" t="s">
        <v>1981</v>
      </c>
      <c r="D251" s="8">
        <f>COUNTIF(Table4[کد سیستم],Table2[[#This Row],[کد سیستم]])</f>
        <v>1</v>
      </c>
    </row>
    <row r="252" spans="1:4" x14ac:dyDescent="0.25">
      <c r="A252" s="35" t="s">
        <v>3910</v>
      </c>
      <c r="B252" s="35" t="s">
        <v>3910</v>
      </c>
      <c r="C252" s="35" t="s">
        <v>3911</v>
      </c>
      <c r="D252" s="8">
        <f>COUNTIF(Table4[کد سیستم],Table2[[#This Row],[کد سیستم]])</f>
        <v>1</v>
      </c>
    </row>
    <row r="253" spans="1:4" hidden="1" x14ac:dyDescent="0.25">
      <c r="A253" s="35" t="s">
        <v>1982</v>
      </c>
      <c r="B253" s="35" t="s">
        <v>1982</v>
      </c>
      <c r="C253" s="35" t="s">
        <v>1983</v>
      </c>
      <c r="D253" s="8">
        <f>COUNTIF(Table4[کد سیستم],Table2[[#This Row],[کد سیستم]])</f>
        <v>1</v>
      </c>
    </row>
    <row r="254" spans="1:4" hidden="1" x14ac:dyDescent="0.25">
      <c r="A254" s="35" t="s">
        <v>1984</v>
      </c>
      <c r="B254" s="35" t="s">
        <v>1984</v>
      </c>
      <c r="C254" s="35" t="s">
        <v>1985</v>
      </c>
      <c r="D254" s="8">
        <f>COUNTIF(Table4[کد سیستم],Table2[[#This Row],[کد سیستم]])</f>
        <v>1</v>
      </c>
    </row>
    <row r="255" spans="1:4" hidden="1" x14ac:dyDescent="0.25">
      <c r="A255" s="35" t="s">
        <v>1986</v>
      </c>
      <c r="B255" s="35" t="s">
        <v>1986</v>
      </c>
      <c r="C255" s="35" t="s">
        <v>1987</v>
      </c>
      <c r="D255" s="8">
        <f>COUNTIF(Table4[کد سیستم],Table2[[#This Row],[کد سیستم]])</f>
        <v>1</v>
      </c>
    </row>
    <row r="256" spans="1:4" hidden="1" x14ac:dyDescent="0.25">
      <c r="A256" s="35" t="s">
        <v>1988</v>
      </c>
      <c r="B256" s="35" t="s">
        <v>1988</v>
      </c>
      <c r="C256" s="35" t="s">
        <v>1989</v>
      </c>
      <c r="D256" s="8">
        <f>COUNTIF(Table4[کد سیستم],Table2[[#This Row],[کد سیستم]])</f>
        <v>1</v>
      </c>
    </row>
    <row r="257" spans="1:4" hidden="1" x14ac:dyDescent="0.25">
      <c r="A257" s="35" t="s">
        <v>1990</v>
      </c>
      <c r="B257" s="35" t="s">
        <v>1990</v>
      </c>
      <c r="C257" s="35" t="s">
        <v>1991</v>
      </c>
      <c r="D257" s="8">
        <f>COUNTIF(Table4[کد سیستم],Table2[[#This Row],[کد سیستم]])</f>
        <v>1</v>
      </c>
    </row>
    <row r="258" spans="1:4" hidden="1" x14ac:dyDescent="0.25">
      <c r="A258" s="35" t="s">
        <v>1992</v>
      </c>
      <c r="B258" s="35" t="s">
        <v>1992</v>
      </c>
      <c r="C258" s="35" t="s">
        <v>1993</v>
      </c>
      <c r="D258" s="8">
        <f>COUNTIF(Table4[کد سیستم],Table2[[#This Row],[کد سیستم]])</f>
        <v>1</v>
      </c>
    </row>
    <row r="259" spans="1:4" hidden="1" x14ac:dyDescent="0.25">
      <c r="A259" s="35" t="s">
        <v>1994</v>
      </c>
      <c r="B259" s="35" t="s">
        <v>1994</v>
      </c>
      <c r="C259" s="35" t="s">
        <v>1995</v>
      </c>
      <c r="D259" s="8">
        <f>COUNTIF(Table4[کد سیستم],Table2[[#This Row],[کد سیستم]])</f>
        <v>1</v>
      </c>
    </row>
    <row r="260" spans="1:4" hidden="1" x14ac:dyDescent="0.25">
      <c r="A260" s="35" t="s">
        <v>1996</v>
      </c>
      <c r="B260" s="35" t="s">
        <v>1996</v>
      </c>
      <c r="C260" s="35" t="s">
        <v>1997</v>
      </c>
      <c r="D260" s="8">
        <f>COUNTIF(Table4[کد سیستم],Table2[[#This Row],[کد سیستم]])</f>
        <v>1</v>
      </c>
    </row>
    <row r="261" spans="1:4" hidden="1" x14ac:dyDescent="0.25">
      <c r="A261" s="35" t="s">
        <v>1998</v>
      </c>
      <c r="B261" s="35" t="s">
        <v>1998</v>
      </c>
      <c r="C261" s="35" t="s">
        <v>1999</v>
      </c>
      <c r="D261" s="8">
        <f>COUNTIF(Table4[کد سیستم],Table2[[#This Row],[کد سیستم]])</f>
        <v>1</v>
      </c>
    </row>
    <row r="262" spans="1:4" hidden="1" x14ac:dyDescent="0.25">
      <c r="A262" s="35" t="s">
        <v>2000</v>
      </c>
      <c r="B262" s="35" t="s">
        <v>2000</v>
      </c>
      <c r="C262" s="35" t="s">
        <v>2001</v>
      </c>
      <c r="D262" s="8">
        <f>COUNTIF(Table4[کد سیستم],Table2[[#This Row],[کد سیستم]])</f>
        <v>1</v>
      </c>
    </row>
    <row r="263" spans="1:4" hidden="1" x14ac:dyDescent="0.25">
      <c r="A263" s="35" t="s">
        <v>2002</v>
      </c>
      <c r="B263" s="35" t="s">
        <v>2002</v>
      </c>
      <c r="C263" s="35" t="s">
        <v>2003</v>
      </c>
      <c r="D263" s="8">
        <f>COUNTIF(Table4[کد سیستم],Table2[[#This Row],[کد سیستم]])</f>
        <v>1</v>
      </c>
    </row>
    <row r="264" spans="1:4" hidden="1" x14ac:dyDescent="0.25">
      <c r="A264" s="35" t="s">
        <v>2004</v>
      </c>
      <c r="B264" s="35" t="s">
        <v>2004</v>
      </c>
      <c r="C264" s="35" t="s">
        <v>2005</v>
      </c>
      <c r="D264" s="8">
        <f>COUNTIF(Table4[کد سیستم],Table2[[#This Row],[کد سیستم]])</f>
        <v>1</v>
      </c>
    </row>
    <row r="265" spans="1:4" hidden="1" x14ac:dyDescent="0.25">
      <c r="A265" s="35" t="s">
        <v>2006</v>
      </c>
      <c r="B265" s="35" t="s">
        <v>2006</v>
      </c>
      <c r="C265" s="35" t="s">
        <v>2007</v>
      </c>
      <c r="D265" s="8">
        <f>COUNTIF(Table4[کد سیستم],Table2[[#This Row],[کد سیستم]])</f>
        <v>1</v>
      </c>
    </row>
    <row r="266" spans="1:4" hidden="1" x14ac:dyDescent="0.25">
      <c r="A266" s="35" t="s">
        <v>2008</v>
      </c>
      <c r="B266" s="35" t="s">
        <v>2008</v>
      </c>
      <c r="C266" s="35" t="s">
        <v>2009</v>
      </c>
      <c r="D266" s="8">
        <f>COUNTIF(Table4[کد سیستم],Table2[[#This Row],[کد سیستم]])</f>
        <v>1</v>
      </c>
    </row>
    <row r="267" spans="1:4" hidden="1" x14ac:dyDescent="0.25">
      <c r="A267" s="35" t="s">
        <v>2010</v>
      </c>
      <c r="B267" s="35" t="s">
        <v>2010</v>
      </c>
      <c r="C267" s="35" t="s">
        <v>2011</v>
      </c>
      <c r="D267" s="8">
        <f>COUNTIF(Table4[کد سیستم],Table2[[#This Row],[کد سیستم]])</f>
        <v>1</v>
      </c>
    </row>
    <row r="268" spans="1:4" hidden="1" x14ac:dyDescent="0.25">
      <c r="A268" s="35" t="s">
        <v>2012</v>
      </c>
      <c r="B268" s="35" t="s">
        <v>2012</v>
      </c>
      <c r="C268" s="35" t="s">
        <v>2013</v>
      </c>
      <c r="D268" s="8">
        <f>COUNTIF(Table4[کد سیستم],Table2[[#This Row],[کد سیستم]])</f>
        <v>1</v>
      </c>
    </row>
    <row r="269" spans="1:4" hidden="1" x14ac:dyDescent="0.25">
      <c r="A269" s="35" t="s">
        <v>2014</v>
      </c>
      <c r="B269" s="35" t="s">
        <v>2014</v>
      </c>
      <c r="C269" s="35" t="s">
        <v>2015</v>
      </c>
      <c r="D269" s="8">
        <f>COUNTIF(Table4[کد سیستم],Table2[[#This Row],[کد سیستم]])</f>
        <v>1</v>
      </c>
    </row>
    <row r="270" spans="1:4" hidden="1" x14ac:dyDescent="0.25">
      <c r="A270" s="35" t="s">
        <v>2016</v>
      </c>
      <c r="B270" s="35" t="s">
        <v>2016</v>
      </c>
      <c r="C270" s="35" t="s">
        <v>2017</v>
      </c>
      <c r="D270" s="8">
        <f>COUNTIF(Table4[کد سیستم],Table2[[#This Row],[کد سیستم]])</f>
        <v>1</v>
      </c>
    </row>
    <row r="271" spans="1:4" hidden="1" x14ac:dyDescent="0.25">
      <c r="A271" s="35" t="s">
        <v>2018</v>
      </c>
      <c r="B271" s="35" t="s">
        <v>2018</v>
      </c>
      <c r="C271" s="35" t="s">
        <v>2019</v>
      </c>
      <c r="D271" s="8">
        <f>COUNTIF(Table4[کد سیستم],Table2[[#This Row],[کد سیستم]])</f>
        <v>1</v>
      </c>
    </row>
    <row r="272" spans="1:4" hidden="1" x14ac:dyDescent="0.25">
      <c r="A272" s="35" t="s">
        <v>2020</v>
      </c>
      <c r="B272" s="35" t="s">
        <v>2020</v>
      </c>
      <c r="C272" s="35" t="s">
        <v>2021</v>
      </c>
      <c r="D272" s="8">
        <f>COUNTIF(Table4[کد سیستم],Table2[[#This Row],[کد سیستم]])</f>
        <v>1</v>
      </c>
    </row>
    <row r="273" spans="1:4" hidden="1" x14ac:dyDescent="0.25">
      <c r="A273" s="35" t="s">
        <v>2022</v>
      </c>
      <c r="B273" s="35" t="s">
        <v>2022</v>
      </c>
      <c r="C273" s="35" t="s">
        <v>2023</v>
      </c>
      <c r="D273" s="8">
        <f>COUNTIF(Table4[کد سیستم],Table2[[#This Row],[کد سیستم]])</f>
        <v>1</v>
      </c>
    </row>
    <row r="274" spans="1:4" hidden="1" x14ac:dyDescent="0.25">
      <c r="A274" s="35" t="s">
        <v>2024</v>
      </c>
      <c r="B274" s="35" t="s">
        <v>2024</v>
      </c>
      <c r="C274" s="35" t="s">
        <v>2025</v>
      </c>
      <c r="D274" s="8">
        <f>COUNTIF(Table4[کد سیستم],Table2[[#This Row],[کد سیستم]])</f>
        <v>1</v>
      </c>
    </row>
    <row r="275" spans="1:4" hidden="1" x14ac:dyDescent="0.25">
      <c r="A275" s="35" t="s">
        <v>2026</v>
      </c>
      <c r="B275" s="35" t="s">
        <v>2026</v>
      </c>
      <c r="C275" s="35" t="s">
        <v>2027</v>
      </c>
      <c r="D275" s="8">
        <f>COUNTIF(Table4[کد سیستم],Table2[[#This Row],[کد سیستم]])</f>
        <v>1</v>
      </c>
    </row>
    <row r="276" spans="1:4" hidden="1" x14ac:dyDescent="0.25">
      <c r="A276" s="35" t="s">
        <v>2028</v>
      </c>
      <c r="B276" s="35" t="s">
        <v>2028</v>
      </c>
      <c r="C276" s="35" t="s">
        <v>2029</v>
      </c>
      <c r="D276" s="8">
        <f>COUNTIF(Table4[کد سیستم],Table2[[#This Row],[کد سیستم]])</f>
        <v>1</v>
      </c>
    </row>
    <row r="277" spans="1:4" hidden="1" x14ac:dyDescent="0.25">
      <c r="A277" s="35" t="s">
        <v>2030</v>
      </c>
      <c r="B277" s="35" t="s">
        <v>2030</v>
      </c>
      <c r="C277" s="35" t="s">
        <v>2031</v>
      </c>
      <c r="D277" s="8">
        <f>COUNTIF(Table4[کد سیستم],Table2[[#This Row],[کد سیستم]])</f>
        <v>1</v>
      </c>
    </row>
    <row r="278" spans="1:4" hidden="1" x14ac:dyDescent="0.25">
      <c r="A278" s="35" t="s">
        <v>2032</v>
      </c>
      <c r="B278" s="35" t="s">
        <v>2032</v>
      </c>
      <c r="C278" s="35" t="s">
        <v>2033</v>
      </c>
      <c r="D278" s="8">
        <f>COUNTIF(Table4[کد سیستم],Table2[[#This Row],[کد سیستم]])</f>
        <v>1</v>
      </c>
    </row>
    <row r="279" spans="1:4" hidden="1" x14ac:dyDescent="0.25">
      <c r="A279" s="35" t="s">
        <v>2034</v>
      </c>
      <c r="B279" s="35" t="s">
        <v>2034</v>
      </c>
      <c r="C279" s="35" t="s">
        <v>2035</v>
      </c>
      <c r="D279" s="8">
        <f>COUNTIF(Table4[کد سیستم],Table2[[#This Row],[کد سیستم]])</f>
        <v>1</v>
      </c>
    </row>
    <row r="280" spans="1:4" hidden="1" x14ac:dyDescent="0.25">
      <c r="A280" s="35" t="s">
        <v>2036</v>
      </c>
      <c r="B280" s="35" t="s">
        <v>2036</v>
      </c>
      <c r="C280" s="35" t="s">
        <v>2037</v>
      </c>
      <c r="D280" s="8">
        <f>COUNTIF(Table4[کد سیستم],Table2[[#This Row],[کد سیستم]])</f>
        <v>1</v>
      </c>
    </row>
    <row r="281" spans="1:4" hidden="1" x14ac:dyDescent="0.25">
      <c r="A281" s="35" t="s">
        <v>2038</v>
      </c>
      <c r="B281" s="35" t="s">
        <v>2038</v>
      </c>
      <c r="C281" s="35" t="s">
        <v>2039</v>
      </c>
      <c r="D281" s="8">
        <f>COUNTIF(Table4[کد سیستم],Table2[[#This Row],[کد سیستم]])</f>
        <v>1</v>
      </c>
    </row>
    <row r="282" spans="1:4" hidden="1" x14ac:dyDescent="0.25">
      <c r="A282" s="35" t="s">
        <v>2040</v>
      </c>
      <c r="B282" s="35" t="s">
        <v>2040</v>
      </c>
      <c r="C282" s="35" t="s">
        <v>2041</v>
      </c>
      <c r="D282" s="8">
        <f>COUNTIF(Table4[کد سیستم],Table2[[#This Row],[کد سیستم]])</f>
        <v>1</v>
      </c>
    </row>
    <row r="283" spans="1:4" x14ac:dyDescent="0.25">
      <c r="A283" s="35" t="s">
        <v>3912</v>
      </c>
      <c r="B283" s="35" t="s">
        <v>3912</v>
      </c>
      <c r="C283" s="35" t="s">
        <v>3913</v>
      </c>
      <c r="D283" s="8">
        <f>COUNTIF(Table4[کد سیستم],Table2[[#This Row],[کد سیستم]])</f>
        <v>1</v>
      </c>
    </row>
    <row r="284" spans="1:4" hidden="1" x14ac:dyDescent="0.25">
      <c r="A284" s="35" t="s">
        <v>2042</v>
      </c>
      <c r="B284" s="35" t="s">
        <v>2042</v>
      </c>
      <c r="C284" s="35" t="s">
        <v>2043</v>
      </c>
      <c r="D284" s="8">
        <f>COUNTIF(Table4[کد سیستم],Table2[[#This Row],[کد سیستم]])</f>
        <v>1</v>
      </c>
    </row>
    <row r="285" spans="1:4" hidden="1" x14ac:dyDescent="0.25">
      <c r="A285" s="35" t="s">
        <v>2044</v>
      </c>
      <c r="B285" s="35" t="s">
        <v>2044</v>
      </c>
      <c r="C285" s="35" t="s">
        <v>2045</v>
      </c>
      <c r="D285" s="8">
        <f>COUNTIF(Table4[کد سیستم],Table2[[#This Row],[کد سیستم]])</f>
        <v>1</v>
      </c>
    </row>
    <row r="286" spans="1:4" hidden="1" x14ac:dyDescent="0.25">
      <c r="A286" s="35" t="s">
        <v>2046</v>
      </c>
      <c r="B286" s="35" t="s">
        <v>2046</v>
      </c>
      <c r="C286" s="35" t="s">
        <v>2047</v>
      </c>
      <c r="D286" s="8">
        <f>COUNTIF(Table4[کد سیستم],Table2[[#This Row],[کد سیستم]])</f>
        <v>1</v>
      </c>
    </row>
    <row r="287" spans="1:4" hidden="1" x14ac:dyDescent="0.25">
      <c r="A287" s="35" t="s">
        <v>2048</v>
      </c>
      <c r="B287" s="35" t="s">
        <v>2048</v>
      </c>
      <c r="C287" s="35" t="s">
        <v>2049</v>
      </c>
      <c r="D287" s="8">
        <f>COUNTIF(Table4[کد سیستم],Table2[[#This Row],[کد سیستم]])</f>
        <v>1</v>
      </c>
    </row>
    <row r="288" spans="1:4" hidden="1" x14ac:dyDescent="0.25">
      <c r="A288" s="35" t="s">
        <v>2050</v>
      </c>
      <c r="B288" s="35" t="s">
        <v>2050</v>
      </c>
      <c r="C288" s="35" t="s">
        <v>2051</v>
      </c>
      <c r="D288" s="8">
        <f>COUNTIF(Table4[کد سیستم],Table2[[#This Row],[کد سیستم]])</f>
        <v>1</v>
      </c>
    </row>
    <row r="289" spans="1:4" hidden="1" x14ac:dyDescent="0.25">
      <c r="A289" s="35" t="s">
        <v>2052</v>
      </c>
      <c r="B289" s="35" t="s">
        <v>2052</v>
      </c>
      <c r="C289" s="35" t="s">
        <v>2053</v>
      </c>
      <c r="D289" s="8">
        <f>COUNTIF(Table4[کد سیستم],Table2[[#This Row],[کد سیستم]])</f>
        <v>1</v>
      </c>
    </row>
    <row r="290" spans="1:4" hidden="1" x14ac:dyDescent="0.25">
      <c r="A290" s="35" t="s">
        <v>2054</v>
      </c>
      <c r="B290" s="35" t="s">
        <v>2054</v>
      </c>
      <c r="C290" s="35" t="s">
        <v>2055</v>
      </c>
      <c r="D290" s="8">
        <f>COUNTIF(Table4[کد سیستم],Table2[[#This Row],[کد سیستم]])</f>
        <v>1</v>
      </c>
    </row>
    <row r="291" spans="1:4" hidden="1" x14ac:dyDescent="0.25">
      <c r="A291" s="35" t="s">
        <v>2056</v>
      </c>
      <c r="B291" s="35" t="s">
        <v>2056</v>
      </c>
      <c r="C291" s="35" t="s">
        <v>2057</v>
      </c>
      <c r="D291" s="8">
        <f>COUNTIF(Table4[کد سیستم],Table2[[#This Row],[کد سیستم]])</f>
        <v>1</v>
      </c>
    </row>
    <row r="292" spans="1:4" hidden="1" x14ac:dyDescent="0.25">
      <c r="A292" s="35" t="s">
        <v>2058</v>
      </c>
      <c r="B292" s="35" t="s">
        <v>2058</v>
      </c>
      <c r="C292" s="35" t="s">
        <v>2059</v>
      </c>
      <c r="D292" s="8">
        <f>COUNTIF(Table4[کد سیستم],Table2[[#This Row],[کد سیستم]])</f>
        <v>1</v>
      </c>
    </row>
    <row r="293" spans="1:4" hidden="1" x14ac:dyDescent="0.25">
      <c r="A293" s="35" t="s">
        <v>2060</v>
      </c>
      <c r="B293" s="35" t="s">
        <v>2060</v>
      </c>
      <c r="C293" s="35" t="s">
        <v>2061</v>
      </c>
      <c r="D293" s="8">
        <f>COUNTIF(Table4[کد سیستم],Table2[[#This Row],[کد سیستم]])</f>
        <v>1</v>
      </c>
    </row>
    <row r="294" spans="1:4" hidden="1" x14ac:dyDescent="0.25">
      <c r="A294" s="35" t="s">
        <v>2062</v>
      </c>
      <c r="B294" s="35" t="s">
        <v>2062</v>
      </c>
      <c r="C294" s="35" t="s">
        <v>2063</v>
      </c>
      <c r="D294" s="8">
        <f>COUNTIF(Table4[کد سیستم],Table2[[#This Row],[کد سیستم]])</f>
        <v>1</v>
      </c>
    </row>
    <row r="295" spans="1:4" hidden="1" x14ac:dyDescent="0.25">
      <c r="A295" s="35" t="s">
        <v>2064</v>
      </c>
      <c r="B295" s="35" t="s">
        <v>2064</v>
      </c>
      <c r="C295" s="35" t="s">
        <v>2065</v>
      </c>
      <c r="D295" s="8">
        <f>COUNTIF(Table4[کد سیستم],Table2[[#This Row],[کد سیستم]])</f>
        <v>1</v>
      </c>
    </row>
    <row r="296" spans="1:4" hidden="1" x14ac:dyDescent="0.25">
      <c r="A296" s="35" t="s">
        <v>2066</v>
      </c>
      <c r="B296" s="35" t="s">
        <v>2066</v>
      </c>
      <c r="C296" s="35" t="s">
        <v>2067</v>
      </c>
      <c r="D296" s="8">
        <f>COUNTIF(Table4[کد سیستم],Table2[[#This Row],[کد سیستم]])</f>
        <v>1</v>
      </c>
    </row>
    <row r="297" spans="1:4" hidden="1" x14ac:dyDescent="0.25">
      <c r="A297" s="35" t="s">
        <v>2068</v>
      </c>
      <c r="B297" s="35" t="s">
        <v>2068</v>
      </c>
      <c r="C297" s="35" t="s">
        <v>2069</v>
      </c>
      <c r="D297" s="8">
        <f>COUNTIF(Table4[کد سیستم],Table2[[#This Row],[کد سیستم]])</f>
        <v>1</v>
      </c>
    </row>
    <row r="298" spans="1:4" hidden="1" x14ac:dyDescent="0.25">
      <c r="A298" s="35" t="s">
        <v>2070</v>
      </c>
      <c r="B298" s="35" t="s">
        <v>2070</v>
      </c>
      <c r="C298" s="35" t="s">
        <v>2071</v>
      </c>
      <c r="D298" s="8">
        <f>COUNTIF(Table4[کد سیستم],Table2[[#This Row],[کد سیستم]])</f>
        <v>1</v>
      </c>
    </row>
    <row r="299" spans="1:4" hidden="1" x14ac:dyDescent="0.25">
      <c r="A299" s="35" t="s">
        <v>2072</v>
      </c>
      <c r="B299" s="35" t="s">
        <v>2072</v>
      </c>
      <c r="C299" s="35" t="s">
        <v>2073</v>
      </c>
      <c r="D299" s="8">
        <f>COUNTIF(Table4[کد سیستم],Table2[[#This Row],[کد سیستم]])</f>
        <v>1</v>
      </c>
    </row>
    <row r="300" spans="1:4" hidden="1" x14ac:dyDescent="0.25">
      <c r="A300" s="35" t="s">
        <v>2074</v>
      </c>
      <c r="B300" s="35" t="s">
        <v>2074</v>
      </c>
      <c r="C300" s="35" t="s">
        <v>2075</v>
      </c>
      <c r="D300" s="8">
        <f>COUNTIF(Table4[کد سیستم],Table2[[#This Row],[کد سیستم]])</f>
        <v>1</v>
      </c>
    </row>
    <row r="301" spans="1:4" hidden="1" x14ac:dyDescent="0.25">
      <c r="A301" s="35" t="s">
        <v>2076</v>
      </c>
      <c r="B301" s="35" t="s">
        <v>2076</v>
      </c>
      <c r="C301" s="35" t="s">
        <v>2077</v>
      </c>
      <c r="D301" s="8">
        <f>COUNTIF(Table4[کد سیستم],Table2[[#This Row],[کد سیستم]])</f>
        <v>1</v>
      </c>
    </row>
    <row r="302" spans="1:4" hidden="1" x14ac:dyDescent="0.25">
      <c r="A302" s="35" t="s">
        <v>2078</v>
      </c>
      <c r="B302" s="35" t="s">
        <v>2078</v>
      </c>
      <c r="C302" s="35" t="s">
        <v>2079</v>
      </c>
      <c r="D302" s="8">
        <f>COUNTIF(Table4[کد سیستم],Table2[[#This Row],[کد سیستم]])</f>
        <v>1</v>
      </c>
    </row>
    <row r="303" spans="1:4" hidden="1" x14ac:dyDescent="0.25">
      <c r="A303" s="35" t="s">
        <v>2080</v>
      </c>
      <c r="B303" s="35" t="s">
        <v>2080</v>
      </c>
      <c r="C303" s="35" t="s">
        <v>2081</v>
      </c>
      <c r="D303" s="8">
        <f>COUNTIF(Table4[کد سیستم],Table2[[#This Row],[کد سیستم]])</f>
        <v>1</v>
      </c>
    </row>
    <row r="304" spans="1:4" hidden="1" x14ac:dyDescent="0.25">
      <c r="A304" s="35" t="s">
        <v>2082</v>
      </c>
      <c r="B304" s="35" t="s">
        <v>2082</v>
      </c>
      <c r="C304" s="35" t="s">
        <v>2083</v>
      </c>
      <c r="D304" s="8">
        <f>COUNTIF(Table4[کد سیستم],Table2[[#This Row],[کد سیستم]])</f>
        <v>1</v>
      </c>
    </row>
    <row r="305" spans="1:4" hidden="1" x14ac:dyDescent="0.25">
      <c r="A305" s="35" t="s">
        <v>2084</v>
      </c>
      <c r="B305" s="35" t="s">
        <v>2084</v>
      </c>
      <c r="C305" s="35" t="s">
        <v>2085</v>
      </c>
      <c r="D305" s="8">
        <f>COUNTIF(Table4[کد سیستم],Table2[[#This Row],[کد سیستم]])</f>
        <v>1</v>
      </c>
    </row>
    <row r="306" spans="1:4" hidden="1" x14ac:dyDescent="0.25">
      <c r="A306" s="35" t="s">
        <v>2086</v>
      </c>
      <c r="B306" s="35" t="s">
        <v>2086</v>
      </c>
      <c r="C306" s="35" t="s">
        <v>2087</v>
      </c>
      <c r="D306" s="8">
        <f>COUNTIF(Table4[کد سیستم],Table2[[#This Row],[کد سیستم]])</f>
        <v>1</v>
      </c>
    </row>
    <row r="307" spans="1:4" hidden="1" x14ac:dyDescent="0.25">
      <c r="A307" s="35" t="s">
        <v>2088</v>
      </c>
      <c r="B307" s="35" t="s">
        <v>2088</v>
      </c>
      <c r="C307" s="35" t="s">
        <v>2089</v>
      </c>
      <c r="D307" s="8">
        <f>COUNTIF(Table4[کد سیستم],Table2[[#This Row],[کد سیستم]])</f>
        <v>1</v>
      </c>
    </row>
    <row r="308" spans="1:4" hidden="1" x14ac:dyDescent="0.25">
      <c r="A308" s="35" t="s">
        <v>2090</v>
      </c>
      <c r="B308" s="35" t="s">
        <v>2090</v>
      </c>
      <c r="C308" s="35" t="s">
        <v>2091</v>
      </c>
      <c r="D308" s="8">
        <f>COUNTIF(Table4[کد سیستم],Table2[[#This Row],[کد سیستم]])</f>
        <v>1</v>
      </c>
    </row>
    <row r="309" spans="1:4" hidden="1" x14ac:dyDescent="0.25">
      <c r="A309" s="35" t="s">
        <v>2092</v>
      </c>
      <c r="B309" s="35" t="s">
        <v>2092</v>
      </c>
      <c r="C309" s="35" t="s">
        <v>2093</v>
      </c>
      <c r="D309" s="8">
        <f>COUNTIF(Table4[کد سیستم],Table2[[#This Row],[کد سیستم]])</f>
        <v>1</v>
      </c>
    </row>
    <row r="310" spans="1:4" hidden="1" x14ac:dyDescent="0.25">
      <c r="A310" s="35" t="s">
        <v>2094</v>
      </c>
      <c r="B310" s="35" t="s">
        <v>2094</v>
      </c>
      <c r="C310" s="35" t="s">
        <v>2095</v>
      </c>
      <c r="D310" s="8">
        <f>COUNTIF(Table4[کد سیستم],Table2[[#This Row],[کد سیستم]])</f>
        <v>1</v>
      </c>
    </row>
    <row r="311" spans="1:4" hidden="1" x14ac:dyDescent="0.25">
      <c r="A311" s="35" t="s">
        <v>2096</v>
      </c>
      <c r="B311" s="35" t="s">
        <v>2096</v>
      </c>
      <c r="C311" s="35" t="s">
        <v>2097</v>
      </c>
      <c r="D311" s="8">
        <f>COUNTIF(Table4[کد سیستم],Table2[[#This Row],[کد سیستم]])</f>
        <v>1</v>
      </c>
    </row>
    <row r="312" spans="1:4" hidden="1" x14ac:dyDescent="0.25">
      <c r="A312" s="35" t="s">
        <v>2098</v>
      </c>
      <c r="B312" s="35" t="s">
        <v>2098</v>
      </c>
      <c r="C312" s="35" t="s">
        <v>2099</v>
      </c>
      <c r="D312" s="8">
        <f>COUNTIF(Table4[کد سیستم],Table2[[#This Row],[کد سیستم]])</f>
        <v>1</v>
      </c>
    </row>
    <row r="313" spans="1:4" hidden="1" x14ac:dyDescent="0.25">
      <c r="A313" s="35" t="s">
        <v>2100</v>
      </c>
      <c r="B313" s="35" t="s">
        <v>2100</v>
      </c>
      <c r="C313" s="35" t="s">
        <v>2101</v>
      </c>
      <c r="D313" s="8">
        <f>COUNTIF(Table4[کد سیستم],Table2[[#This Row],[کد سیستم]])</f>
        <v>1</v>
      </c>
    </row>
    <row r="314" spans="1:4" hidden="1" x14ac:dyDescent="0.25">
      <c r="A314" s="35" t="s">
        <v>2102</v>
      </c>
      <c r="B314" s="35" t="s">
        <v>2102</v>
      </c>
      <c r="C314" s="35" t="s">
        <v>2103</v>
      </c>
      <c r="D314" s="8">
        <f>COUNTIF(Table4[کد سیستم],Table2[[#This Row],[کد سیستم]])</f>
        <v>1</v>
      </c>
    </row>
    <row r="315" spans="1:4" hidden="1" x14ac:dyDescent="0.25">
      <c r="A315" s="35" t="s">
        <v>2104</v>
      </c>
      <c r="B315" s="35" t="s">
        <v>2104</v>
      </c>
      <c r="C315" s="35" t="s">
        <v>2105</v>
      </c>
      <c r="D315" s="8">
        <f>COUNTIF(Table4[کد سیستم],Table2[[#This Row],[کد سیستم]])</f>
        <v>1</v>
      </c>
    </row>
    <row r="316" spans="1:4" hidden="1" x14ac:dyDescent="0.25">
      <c r="A316" s="35" t="s">
        <v>2106</v>
      </c>
      <c r="B316" s="35" t="s">
        <v>2106</v>
      </c>
      <c r="C316" s="35" t="s">
        <v>2107</v>
      </c>
      <c r="D316" s="8">
        <f>COUNTIF(Table4[کد سیستم],Table2[[#This Row],[کد سیستم]])</f>
        <v>1</v>
      </c>
    </row>
    <row r="317" spans="1:4" hidden="1" x14ac:dyDescent="0.25">
      <c r="A317" s="35" t="s">
        <v>2108</v>
      </c>
      <c r="B317" s="35" t="s">
        <v>2108</v>
      </c>
      <c r="C317" s="35" t="s">
        <v>2109</v>
      </c>
      <c r="D317" s="8">
        <f>COUNTIF(Table4[کد سیستم],Table2[[#This Row],[کد سیستم]])</f>
        <v>1</v>
      </c>
    </row>
    <row r="318" spans="1:4" hidden="1" x14ac:dyDescent="0.25">
      <c r="A318" s="35" t="s">
        <v>2110</v>
      </c>
      <c r="B318" s="35" t="s">
        <v>2110</v>
      </c>
      <c r="C318" s="35" t="s">
        <v>2111</v>
      </c>
      <c r="D318" s="8">
        <f>COUNTIF(Table4[کد سیستم],Table2[[#This Row],[کد سیستم]])</f>
        <v>1</v>
      </c>
    </row>
    <row r="319" spans="1:4" hidden="1" x14ac:dyDescent="0.25">
      <c r="A319" s="35" t="s">
        <v>2112</v>
      </c>
      <c r="B319" s="35" t="s">
        <v>2112</v>
      </c>
      <c r="C319" s="35" t="s">
        <v>2113</v>
      </c>
      <c r="D319" s="8">
        <f>COUNTIF(Table4[کد سیستم],Table2[[#This Row],[کد سیستم]])</f>
        <v>1</v>
      </c>
    </row>
    <row r="320" spans="1:4" hidden="1" x14ac:dyDescent="0.25">
      <c r="A320" s="35" t="s">
        <v>2114</v>
      </c>
      <c r="B320" s="35" t="s">
        <v>2114</v>
      </c>
      <c r="C320" s="35" t="s">
        <v>2115</v>
      </c>
      <c r="D320" s="8">
        <f>COUNTIF(Table4[کد سیستم],Table2[[#This Row],[کد سیستم]])</f>
        <v>1</v>
      </c>
    </row>
    <row r="321" spans="1:4" hidden="1" x14ac:dyDescent="0.25">
      <c r="A321" s="35" t="s">
        <v>2116</v>
      </c>
      <c r="B321" s="35" t="s">
        <v>2116</v>
      </c>
      <c r="C321" s="35" t="s">
        <v>2117</v>
      </c>
      <c r="D321" s="8">
        <f>COUNTIF(Table4[کد سیستم],Table2[[#This Row],[کد سیستم]])</f>
        <v>1</v>
      </c>
    </row>
    <row r="322" spans="1:4" hidden="1" x14ac:dyDescent="0.25">
      <c r="A322" s="35" t="s">
        <v>2118</v>
      </c>
      <c r="B322" s="35" t="s">
        <v>2118</v>
      </c>
      <c r="C322" s="35" t="s">
        <v>2119</v>
      </c>
      <c r="D322" s="8">
        <f>COUNTIF(Table4[کد سیستم],Table2[[#This Row],[کد سیستم]])</f>
        <v>1</v>
      </c>
    </row>
    <row r="323" spans="1:4" hidden="1" x14ac:dyDescent="0.25">
      <c r="A323" s="35" t="s">
        <v>2120</v>
      </c>
      <c r="B323" s="35" t="s">
        <v>2120</v>
      </c>
      <c r="C323" s="35" t="s">
        <v>2121</v>
      </c>
      <c r="D323" s="8">
        <f>COUNTIF(Table4[کد سیستم],Table2[[#This Row],[کد سیستم]])</f>
        <v>1</v>
      </c>
    </row>
    <row r="324" spans="1:4" hidden="1" x14ac:dyDescent="0.25">
      <c r="A324" s="35" t="s">
        <v>2122</v>
      </c>
      <c r="B324" s="35" t="s">
        <v>2122</v>
      </c>
      <c r="C324" s="35" t="s">
        <v>2123</v>
      </c>
      <c r="D324" s="8">
        <f>COUNTIF(Table4[کد سیستم],Table2[[#This Row],[کد سیستم]])</f>
        <v>1</v>
      </c>
    </row>
    <row r="325" spans="1:4" hidden="1" x14ac:dyDescent="0.25">
      <c r="A325" s="35" t="s">
        <v>2124</v>
      </c>
      <c r="B325" s="35" t="s">
        <v>2124</v>
      </c>
      <c r="C325" s="35" t="s">
        <v>2125</v>
      </c>
      <c r="D325" s="8">
        <f>COUNTIF(Table4[کد سیستم],Table2[[#This Row],[کد سیستم]])</f>
        <v>1</v>
      </c>
    </row>
    <row r="326" spans="1:4" hidden="1" x14ac:dyDescent="0.25">
      <c r="A326" s="35" t="s">
        <v>2126</v>
      </c>
      <c r="B326" s="35" t="s">
        <v>2126</v>
      </c>
      <c r="C326" s="35" t="s">
        <v>2127</v>
      </c>
      <c r="D326" s="8">
        <f>COUNTIF(Table4[کد سیستم],Table2[[#This Row],[کد سیستم]])</f>
        <v>1</v>
      </c>
    </row>
    <row r="327" spans="1:4" hidden="1" x14ac:dyDescent="0.25">
      <c r="A327" s="35" t="s">
        <v>2128</v>
      </c>
      <c r="B327" s="35" t="s">
        <v>2128</v>
      </c>
      <c r="C327" s="35" t="s">
        <v>2129</v>
      </c>
      <c r="D327" s="8">
        <f>COUNTIF(Table4[کد سیستم],Table2[[#This Row],[کد سیستم]])</f>
        <v>1</v>
      </c>
    </row>
    <row r="328" spans="1:4" hidden="1" x14ac:dyDescent="0.25">
      <c r="A328" s="35" t="s">
        <v>2130</v>
      </c>
      <c r="B328" s="35" t="s">
        <v>2130</v>
      </c>
      <c r="C328" s="35" t="s">
        <v>2131</v>
      </c>
      <c r="D328" s="8">
        <f>COUNTIF(Table4[کد سیستم],Table2[[#This Row],[کد سیستم]])</f>
        <v>1</v>
      </c>
    </row>
    <row r="329" spans="1:4" hidden="1" x14ac:dyDescent="0.25">
      <c r="A329" s="35" t="s">
        <v>2132</v>
      </c>
      <c r="B329" s="35" t="s">
        <v>2132</v>
      </c>
      <c r="C329" s="35" t="s">
        <v>2133</v>
      </c>
      <c r="D329" s="8">
        <f>COUNTIF(Table4[کد سیستم],Table2[[#This Row],[کد سیستم]])</f>
        <v>1</v>
      </c>
    </row>
    <row r="330" spans="1:4" hidden="1" x14ac:dyDescent="0.25">
      <c r="A330" s="35" t="s">
        <v>2134</v>
      </c>
      <c r="B330" s="35" t="s">
        <v>2134</v>
      </c>
      <c r="C330" s="35" t="s">
        <v>2135</v>
      </c>
      <c r="D330" s="8">
        <f>COUNTIF(Table4[کد سیستم],Table2[[#This Row],[کد سیستم]])</f>
        <v>1</v>
      </c>
    </row>
    <row r="331" spans="1:4" hidden="1" x14ac:dyDescent="0.25">
      <c r="A331" s="35" t="s">
        <v>2136</v>
      </c>
      <c r="B331" s="35" t="s">
        <v>2136</v>
      </c>
      <c r="C331" s="35" t="s">
        <v>2137</v>
      </c>
      <c r="D331" s="8">
        <f>COUNTIF(Table4[کد سیستم],Table2[[#This Row],[کد سیستم]])</f>
        <v>1</v>
      </c>
    </row>
    <row r="332" spans="1:4" hidden="1" x14ac:dyDescent="0.25">
      <c r="A332" s="35" t="s">
        <v>2138</v>
      </c>
      <c r="B332" s="35" t="s">
        <v>2138</v>
      </c>
      <c r="C332" s="35" t="s">
        <v>2139</v>
      </c>
      <c r="D332" s="8">
        <f>COUNTIF(Table4[کد سیستم],Table2[[#This Row],[کد سیستم]])</f>
        <v>1</v>
      </c>
    </row>
    <row r="333" spans="1:4" hidden="1" x14ac:dyDescent="0.25">
      <c r="A333" s="35" t="s">
        <v>2140</v>
      </c>
      <c r="B333" s="35" t="s">
        <v>2140</v>
      </c>
      <c r="C333" s="35" t="s">
        <v>2141</v>
      </c>
      <c r="D333" s="8">
        <f>COUNTIF(Table4[کد سیستم],Table2[[#This Row],[کد سیستم]])</f>
        <v>1</v>
      </c>
    </row>
    <row r="334" spans="1:4" hidden="1" x14ac:dyDescent="0.25">
      <c r="A334" s="35" t="s">
        <v>2142</v>
      </c>
      <c r="B334" s="35" t="s">
        <v>2142</v>
      </c>
      <c r="C334" s="35" t="s">
        <v>2143</v>
      </c>
      <c r="D334" s="8">
        <f>COUNTIF(Table4[کد سیستم],Table2[[#This Row],[کد سیستم]])</f>
        <v>1</v>
      </c>
    </row>
    <row r="335" spans="1:4" hidden="1" x14ac:dyDescent="0.25">
      <c r="A335" s="35" t="s">
        <v>2144</v>
      </c>
      <c r="B335" s="35" t="s">
        <v>2144</v>
      </c>
      <c r="C335" s="35" t="s">
        <v>2145</v>
      </c>
      <c r="D335" s="8">
        <f>COUNTIF(Table4[کد سیستم],Table2[[#This Row],[کد سیستم]])</f>
        <v>1</v>
      </c>
    </row>
    <row r="336" spans="1:4" hidden="1" x14ac:dyDescent="0.25">
      <c r="A336" s="35" t="s">
        <v>2146</v>
      </c>
      <c r="B336" s="35" t="s">
        <v>2146</v>
      </c>
      <c r="C336" s="35" t="s">
        <v>2147</v>
      </c>
      <c r="D336" s="8">
        <f>COUNTIF(Table4[کد سیستم],Table2[[#This Row],[کد سیستم]])</f>
        <v>1</v>
      </c>
    </row>
    <row r="337" spans="1:4" hidden="1" x14ac:dyDescent="0.25">
      <c r="A337" s="35" t="s">
        <v>2148</v>
      </c>
      <c r="B337" s="35" t="s">
        <v>2148</v>
      </c>
      <c r="C337" s="35" t="s">
        <v>2149</v>
      </c>
      <c r="D337" s="8">
        <f>COUNTIF(Table4[کد سیستم],Table2[[#This Row],[کد سیستم]])</f>
        <v>1</v>
      </c>
    </row>
    <row r="338" spans="1:4" hidden="1" x14ac:dyDescent="0.25">
      <c r="A338" s="35" t="s">
        <v>2150</v>
      </c>
      <c r="B338" s="35" t="s">
        <v>2150</v>
      </c>
      <c r="C338" s="35" t="s">
        <v>2151</v>
      </c>
      <c r="D338" s="8">
        <f>COUNTIF(Table4[کد سیستم],Table2[[#This Row],[کد سیستم]])</f>
        <v>1</v>
      </c>
    </row>
    <row r="339" spans="1:4" hidden="1" x14ac:dyDescent="0.25">
      <c r="A339" s="35" t="s">
        <v>2152</v>
      </c>
      <c r="B339" s="35" t="s">
        <v>2152</v>
      </c>
      <c r="C339" s="35" t="s">
        <v>2153</v>
      </c>
      <c r="D339" s="8">
        <f>COUNTIF(Table4[کد سیستم],Table2[[#This Row],[کد سیستم]])</f>
        <v>1</v>
      </c>
    </row>
    <row r="340" spans="1:4" hidden="1" x14ac:dyDescent="0.25">
      <c r="A340" s="35" t="s">
        <v>2154</v>
      </c>
      <c r="B340" s="35" t="s">
        <v>2154</v>
      </c>
      <c r="C340" s="35" t="s">
        <v>2155</v>
      </c>
      <c r="D340" s="8">
        <f>COUNTIF(Table4[کد سیستم],Table2[[#This Row],[کد سیستم]])</f>
        <v>1</v>
      </c>
    </row>
    <row r="341" spans="1:4" hidden="1" x14ac:dyDescent="0.25">
      <c r="A341" s="35" t="s">
        <v>2156</v>
      </c>
      <c r="B341" s="35" t="s">
        <v>2156</v>
      </c>
      <c r="C341" s="35" t="s">
        <v>2157</v>
      </c>
      <c r="D341" s="8">
        <f>COUNTIF(Table4[کد سیستم],Table2[[#This Row],[کد سیستم]])</f>
        <v>1</v>
      </c>
    </row>
    <row r="342" spans="1:4" hidden="1" x14ac:dyDescent="0.25">
      <c r="A342" s="35" t="s">
        <v>2158</v>
      </c>
      <c r="B342" s="35" t="s">
        <v>2158</v>
      </c>
      <c r="C342" s="35" t="s">
        <v>2159</v>
      </c>
      <c r="D342" s="8">
        <f>COUNTIF(Table4[کد سیستم],Table2[[#This Row],[کد سیستم]])</f>
        <v>1</v>
      </c>
    </row>
    <row r="343" spans="1:4" hidden="1" x14ac:dyDescent="0.25">
      <c r="A343" s="35" t="s">
        <v>2160</v>
      </c>
      <c r="B343" s="35" t="s">
        <v>2160</v>
      </c>
      <c r="C343" s="35" t="s">
        <v>2161</v>
      </c>
      <c r="D343" s="8">
        <f>COUNTIF(Table4[کد سیستم],Table2[[#This Row],[کد سیستم]])</f>
        <v>1</v>
      </c>
    </row>
    <row r="344" spans="1:4" hidden="1" x14ac:dyDescent="0.25">
      <c r="A344" s="35" t="s">
        <v>2162</v>
      </c>
      <c r="B344" s="35" t="s">
        <v>2162</v>
      </c>
      <c r="C344" s="35" t="s">
        <v>2163</v>
      </c>
      <c r="D344" s="8">
        <f>COUNTIF(Table4[کد سیستم],Table2[[#This Row],[کد سیستم]])</f>
        <v>1</v>
      </c>
    </row>
    <row r="345" spans="1:4" hidden="1" x14ac:dyDescent="0.25">
      <c r="A345" s="35" t="s">
        <v>2164</v>
      </c>
      <c r="B345" s="35" t="s">
        <v>2164</v>
      </c>
      <c r="C345" s="35" t="s">
        <v>2165</v>
      </c>
      <c r="D345" s="8">
        <f>COUNTIF(Table4[کد سیستم],Table2[[#This Row],[کد سیستم]])</f>
        <v>1</v>
      </c>
    </row>
    <row r="346" spans="1:4" hidden="1" x14ac:dyDescent="0.25">
      <c r="A346" s="35" t="s">
        <v>2166</v>
      </c>
      <c r="B346" s="35" t="s">
        <v>2166</v>
      </c>
      <c r="C346" s="35" t="s">
        <v>2167</v>
      </c>
      <c r="D346" s="8">
        <f>COUNTIF(Table4[کد سیستم],Table2[[#This Row],[کد سیستم]])</f>
        <v>1</v>
      </c>
    </row>
    <row r="347" spans="1:4" hidden="1" x14ac:dyDescent="0.25">
      <c r="A347" s="35" t="s">
        <v>2168</v>
      </c>
      <c r="B347" s="35" t="s">
        <v>2168</v>
      </c>
      <c r="C347" s="35" t="s">
        <v>2169</v>
      </c>
      <c r="D347" s="8">
        <f>COUNTIF(Table4[کد سیستم],Table2[[#This Row],[کد سیستم]])</f>
        <v>1</v>
      </c>
    </row>
    <row r="348" spans="1:4" hidden="1" x14ac:dyDescent="0.25">
      <c r="A348" s="35" t="s">
        <v>2170</v>
      </c>
      <c r="B348" s="35" t="s">
        <v>2170</v>
      </c>
      <c r="C348" s="35" t="s">
        <v>2171</v>
      </c>
      <c r="D348" s="8">
        <f>COUNTIF(Table4[کد سیستم],Table2[[#This Row],[کد سیستم]])</f>
        <v>1</v>
      </c>
    </row>
    <row r="349" spans="1:4" hidden="1" x14ac:dyDescent="0.25">
      <c r="A349" s="35" t="s">
        <v>2172</v>
      </c>
      <c r="B349" s="35" t="s">
        <v>2172</v>
      </c>
      <c r="C349" s="35" t="s">
        <v>2173</v>
      </c>
      <c r="D349" s="8">
        <f>COUNTIF(Table4[کد سیستم],Table2[[#This Row],[کد سیستم]])</f>
        <v>1</v>
      </c>
    </row>
    <row r="350" spans="1:4" hidden="1" x14ac:dyDescent="0.25">
      <c r="A350" s="35" t="s">
        <v>2174</v>
      </c>
      <c r="B350" s="35" t="s">
        <v>2174</v>
      </c>
      <c r="C350" s="35" t="s">
        <v>2175</v>
      </c>
      <c r="D350" s="8">
        <f>COUNTIF(Table4[کد سیستم],Table2[[#This Row],[کد سیستم]])</f>
        <v>1</v>
      </c>
    </row>
    <row r="351" spans="1:4" hidden="1" x14ac:dyDescent="0.25">
      <c r="A351" s="35" t="s">
        <v>2176</v>
      </c>
      <c r="B351" s="35" t="s">
        <v>2176</v>
      </c>
      <c r="C351" s="35" t="s">
        <v>2177</v>
      </c>
      <c r="D351" s="8">
        <f>COUNTIF(Table4[کد سیستم],Table2[[#This Row],[کد سیستم]])</f>
        <v>1</v>
      </c>
    </row>
    <row r="352" spans="1:4" hidden="1" x14ac:dyDescent="0.25">
      <c r="A352" s="35" t="s">
        <v>2178</v>
      </c>
      <c r="B352" s="35" t="s">
        <v>2178</v>
      </c>
      <c r="C352" s="35" t="s">
        <v>2179</v>
      </c>
      <c r="D352" s="8">
        <f>COUNTIF(Table4[کد سیستم],Table2[[#This Row],[کد سیستم]])</f>
        <v>1</v>
      </c>
    </row>
    <row r="353" spans="1:4" hidden="1" x14ac:dyDescent="0.25">
      <c r="A353" s="35" t="s">
        <v>2180</v>
      </c>
      <c r="B353" s="35" t="s">
        <v>2180</v>
      </c>
      <c r="C353" s="35" t="s">
        <v>2181</v>
      </c>
      <c r="D353" s="8">
        <f>COUNTIF(Table4[کد سیستم],Table2[[#This Row],[کد سیستم]])</f>
        <v>1</v>
      </c>
    </row>
    <row r="354" spans="1:4" hidden="1" x14ac:dyDescent="0.25">
      <c r="A354" s="35" t="s">
        <v>2182</v>
      </c>
      <c r="B354" s="35" t="s">
        <v>2182</v>
      </c>
      <c r="C354" s="35" t="s">
        <v>2183</v>
      </c>
      <c r="D354" s="8">
        <f>COUNTIF(Table4[کد سیستم],Table2[[#This Row],[کد سیستم]])</f>
        <v>1</v>
      </c>
    </row>
    <row r="355" spans="1:4" hidden="1" x14ac:dyDescent="0.25">
      <c r="A355" s="35" t="s">
        <v>2184</v>
      </c>
      <c r="B355" s="35" t="s">
        <v>2184</v>
      </c>
      <c r="C355" s="35" t="s">
        <v>2185</v>
      </c>
      <c r="D355" s="8">
        <f>COUNTIF(Table4[کد سیستم],Table2[[#This Row],[کد سیستم]])</f>
        <v>1</v>
      </c>
    </row>
    <row r="356" spans="1:4" hidden="1" x14ac:dyDescent="0.25">
      <c r="A356" s="35" t="s">
        <v>2186</v>
      </c>
      <c r="B356" s="35" t="s">
        <v>2186</v>
      </c>
      <c r="C356" s="35" t="s">
        <v>2187</v>
      </c>
      <c r="D356" s="8">
        <f>COUNTIF(Table4[کد سیستم],Table2[[#This Row],[کد سیستم]])</f>
        <v>1</v>
      </c>
    </row>
    <row r="357" spans="1:4" hidden="1" x14ac:dyDescent="0.25">
      <c r="A357" s="35" t="s">
        <v>2188</v>
      </c>
      <c r="B357" s="35" t="s">
        <v>2188</v>
      </c>
      <c r="C357" s="35" t="s">
        <v>2189</v>
      </c>
      <c r="D357" s="8">
        <f>COUNTIF(Table4[کد سیستم],Table2[[#This Row],[کد سیستم]])</f>
        <v>1</v>
      </c>
    </row>
    <row r="358" spans="1:4" hidden="1" x14ac:dyDescent="0.25">
      <c r="A358" s="35" t="s">
        <v>2190</v>
      </c>
      <c r="B358" s="35" t="s">
        <v>2190</v>
      </c>
      <c r="C358" s="35" t="s">
        <v>2191</v>
      </c>
      <c r="D358" s="8">
        <f>COUNTIF(Table4[کد سیستم],Table2[[#This Row],[کد سیستم]])</f>
        <v>1</v>
      </c>
    </row>
    <row r="359" spans="1:4" hidden="1" x14ac:dyDescent="0.25">
      <c r="A359" s="35" t="s">
        <v>2192</v>
      </c>
      <c r="B359" s="35" t="s">
        <v>2192</v>
      </c>
      <c r="C359" s="35" t="s">
        <v>2193</v>
      </c>
      <c r="D359" s="8">
        <f>COUNTIF(Table4[کد سیستم],Table2[[#This Row],[کد سیستم]])</f>
        <v>1</v>
      </c>
    </row>
    <row r="360" spans="1:4" hidden="1" x14ac:dyDescent="0.25">
      <c r="A360" s="35" t="s">
        <v>2194</v>
      </c>
      <c r="B360" s="35" t="s">
        <v>2194</v>
      </c>
      <c r="C360" s="35" t="s">
        <v>2195</v>
      </c>
      <c r="D360" s="8">
        <f>COUNTIF(Table4[کد سیستم],Table2[[#This Row],[کد سیستم]])</f>
        <v>1</v>
      </c>
    </row>
    <row r="361" spans="1:4" hidden="1" x14ac:dyDescent="0.25">
      <c r="A361" s="35" t="s">
        <v>2196</v>
      </c>
      <c r="B361" s="35" t="s">
        <v>2196</v>
      </c>
      <c r="C361" s="35" t="s">
        <v>2197</v>
      </c>
      <c r="D361" s="8">
        <f>COUNTIF(Table4[کد سیستم],Table2[[#This Row],[کد سیستم]])</f>
        <v>1</v>
      </c>
    </row>
    <row r="362" spans="1:4" hidden="1" x14ac:dyDescent="0.25">
      <c r="A362" s="35" t="s">
        <v>2198</v>
      </c>
      <c r="B362" s="35" t="s">
        <v>2198</v>
      </c>
      <c r="C362" s="35" t="s">
        <v>2199</v>
      </c>
      <c r="D362" s="8">
        <f>COUNTIF(Table4[کد سیستم],Table2[[#This Row],[کد سیستم]])</f>
        <v>1</v>
      </c>
    </row>
    <row r="363" spans="1:4" hidden="1" x14ac:dyDescent="0.25">
      <c r="A363" s="35" t="s">
        <v>2200</v>
      </c>
      <c r="B363" s="35" t="s">
        <v>2200</v>
      </c>
      <c r="C363" s="35" t="s">
        <v>2201</v>
      </c>
      <c r="D363" s="8">
        <f>COUNTIF(Table4[کد سیستم],Table2[[#This Row],[کد سیستم]])</f>
        <v>1</v>
      </c>
    </row>
    <row r="364" spans="1:4" hidden="1" x14ac:dyDescent="0.25">
      <c r="A364" s="35" t="s">
        <v>2202</v>
      </c>
      <c r="B364" s="35" t="s">
        <v>2202</v>
      </c>
      <c r="C364" s="35" t="s">
        <v>2203</v>
      </c>
      <c r="D364" s="8">
        <f>COUNTIF(Table4[کد سیستم],Table2[[#This Row],[کد سیستم]])</f>
        <v>1</v>
      </c>
    </row>
    <row r="365" spans="1:4" hidden="1" x14ac:dyDescent="0.25">
      <c r="A365" s="35" t="s">
        <v>2204</v>
      </c>
      <c r="B365" s="35" t="s">
        <v>2204</v>
      </c>
      <c r="C365" s="35" t="s">
        <v>2205</v>
      </c>
      <c r="D365" s="8">
        <f>COUNTIF(Table4[کد سیستم],Table2[[#This Row],[کد سیستم]])</f>
        <v>1</v>
      </c>
    </row>
    <row r="366" spans="1:4" hidden="1" x14ac:dyDescent="0.25">
      <c r="A366" s="35" t="s">
        <v>2206</v>
      </c>
      <c r="B366" s="35" t="s">
        <v>2206</v>
      </c>
      <c r="C366" s="35" t="s">
        <v>2207</v>
      </c>
      <c r="D366" s="8">
        <f>COUNTIF(Table4[کد سیستم],Table2[[#This Row],[کد سیستم]])</f>
        <v>1</v>
      </c>
    </row>
    <row r="367" spans="1:4" hidden="1" x14ac:dyDescent="0.25">
      <c r="A367" s="35" t="s">
        <v>2208</v>
      </c>
      <c r="B367" s="35" t="s">
        <v>2208</v>
      </c>
      <c r="C367" s="35" t="s">
        <v>2209</v>
      </c>
      <c r="D367" s="8">
        <f>COUNTIF(Table4[کد سیستم],Table2[[#This Row],[کد سیستم]])</f>
        <v>1</v>
      </c>
    </row>
    <row r="368" spans="1:4" hidden="1" x14ac:dyDescent="0.25">
      <c r="A368" s="35" t="s">
        <v>2210</v>
      </c>
      <c r="B368" s="35" t="s">
        <v>2210</v>
      </c>
      <c r="C368" s="35" t="s">
        <v>2211</v>
      </c>
      <c r="D368" s="8">
        <f>COUNTIF(Table4[کد سیستم],Table2[[#This Row],[کد سیستم]])</f>
        <v>1</v>
      </c>
    </row>
    <row r="369" spans="1:4" hidden="1" x14ac:dyDescent="0.25">
      <c r="A369" s="35" t="s">
        <v>2212</v>
      </c>
      <c r="B369" s="35" t="s">
        <v>2212</v>
      </c>
      <c r="C369" s="35" t="s">
        <v>2213</v>
      </c>
      <c r="D369" s="8">
        <f>COUNTIF(Table4[کد سیستم],Table2[[#This Row],[کد سیستم]])</f>
        <v>1</v>
      </c>
    </row>
    <row r="370" spans="1:4" hidden="1" x14ac:dyDescent="0.25">
      <c r="A370" s="35" t="s">
        <v>2214</v>
      </c>
      <c r="B370" s="35" t="s">
        <v>2214</v>
      </c>
      <c r="C370" s="35" t="s">
        <v>2215</v>
      </c>
      <c r="D370" s="8">
        <f>COUNTIF(Table4[کد سیستم],Table2[[#This Row],[کد سیستم]])</f>
        <v>1</v>
      </c>
    </row>
    <row r="371" spans="1:4" hidden="1" x14ac:dyDescent="0.25">
      <c r="A371" s="35" t="s">
        <v>2216</v>
      </c>
      <c r="B371" s="35" t="s">
        <v>2216</v>
      </c>
      <c r="C371" s="35" t="s">
        <v>2217</v>
      </c>
      <c r="D371" s="8">
        <f>COUNTIF(Table4[کد سیستم],Table2[[#This Row],[کد سیستم]])</f>
        <v>1</v>
      </c>
    </row>
    <row r="372" spans="1:4" hidden="1" x14ac:dyDescent="0.25">
      <c r="A372" s="35" t="s">
        <v>2218</v>
      </c>
      <c r="B372" s="35" t="s">
        <v>2218</v>
      </c>
      <c r="C372" s="35" t="s">
        <v>2219</v>
      </c>
      <c r="D372" s="8">
        <f>COUNTIF(Table4[کد سیستم],Table2[[#This Row],[کد سیستم]])</f>
        <v>1</v>
      </c>
    </row>
    <row r="373" spans="1:4" hidden="1" x14ac:dyDescent="0.25">
      <c r="A373" s="35" t="s">
        <v>2220</v>
      </c>
      <c r="B373" s="35" t="s">
        <v>2220</v>
      </c>
      <c r="C373" s="35" t="s">
        <v>2221</v>
      </c>
      <c r="D373" s="8">
        <f>COUNTIF(Table4[کد سیستم],Table2[[#This Row],[کد سیستم]])</f>
        <v>1</v>
      </c>
    </row>
    <row r="374" spans="1:4" hidden="1" x14ac:dyDescent="0.25">
      <c r="A374" s="35" t="s">
        <v>2222</v>
      </c>
      <c r="B374" s="35" t="s">
        <v>2222</v>
      </c>
      <c r="C374" s="35" t="s">
        <v>2223</v>
      </c>
      <c r="D374" s="8">
        <f>COUNTIF(Table4[کد سیستم],Table2[[#This Row],[کد سیستم]])</f>
        <v>1</v>
      </c>
    </row>
    <row r="375" spans="1:4" hidden="1" x14ac:dyDescent="0.25">
      <c r="A375" s="35" t="s">
        <v>2224</v>
      </c>
      <c r="B375" s="35" t="s">
        <v>2224</v>
      </c>
      <c r="C375" s="35" t="s">
        <v>2225</v>
      </c>
      <c r="D375" s="8">
        <f>COUNTIF(Table4[کد سیستم],Table2[[#This Row],[کد سیستم]])</f>
        <v>1</v>
      </c>
    </row>
    <row r="376" spans="1:4" hidden="1" x14ac:dyDescent="0.25">
      <c r="A376" s="35" t="s">
        <v>2226</v>
      </c>
      <c r="B376" s="35" t="s">
        <v>2226</v>
      </c>
      <c r="C376" s="35" t="s">
        <v>2227</v>
      </c>
      <c r="D376" s="8">
        <f>COUNTIF(Table4[کد سیستم],Table2[[#This Row],[کد سیستم]])</f>
        <v>1</v>
      </c>
    </row>
    <row r="377" spans="1:4" hidden="1" x14ac:dyDescent="0.25">
      <c r="A377" s="35" t="s">
        <v>2228</v>
      </c>
      <c r="B377" s="35" t="s">
        <v>2228</v>
      </c>
      <c r="C377" s="35" t="s">
        <v>2229</v>
      </c>
      <c r="D377" s="8">
        <f>COUNTIF(Table4[کد سیستم],Table2[[#This Row],[کد سیستم]])</f>
        <v>1</v>
      </c>
    </row>
    <row r="378" spans="1:4" hidden="1" x14ac:dyDescent="0.25">
      <c r="A378" s="35" t="s">
        <v>2230</v>
      </c>
      <c r="B378" s="35" t="s">
        <v>2230</v>
      </c>
      <c r="C378" s="35" t="s">
        <v>2231</v>
      </c>
      <c r="D378" s="8">
        <f>COUNTIF(Table4[کد سیستم],Table2[[#This Row],[کد سیستم]])</f>
        <v>1</v>
      </c>
    </row>
    <row r="379" spans="1:4" hidden="1" x14ac:dyDescent="0.25">
      <c r="A379" s="35" t="s">
        <v>2232</v>
      </c>
      <c r="B379" s="35" t="s">
        <v>2232</v>
      </c>
      <c r="C379" s="35" t="s">
        <v>2233</v>
      </c>
      <c r="D379" s="8">
        <f>COUNTIF(Table4[کد سیستم],Table2[[#This Row],[کد سیستم]])</f>
        <v>1</v>
      </c>
    </row>
    <row r="380" spans="1:4" hidden="1" x14ac:dyDescent="0.25">
      <c r="A380" s="35" t="s">
        <v>2234</v>
      </c>
      <c r="B380" s="35" t="s">
        <v>2234</v>
      </c>
      <c r="C380" s="35" t="s">
        <v>2235</v>
      </c>
      <c r="D380" s="8">
        <f>COUNTIF(Table4[کد سیستم],Table2[[#This Row],[کد سیستم]])</f>
        <v>1</v>
      </c>
    </row>
    <row r="381" spans="1:4" hidden="1" x14ac:dyDescent="0.25">
      <c r="A381" s="35" t="s">
        <v>2236</v>
      </c>
      <c r="B381" s="35" t="s">
        <v>2236</v>
      </c>
      <c r="C381" s="35" t="s">
        <v>2237</v>
      </c>
      <c r="D381" s="8">
        <f>COUNTIF(Table4[کد سیستم],Table2[[#This Row],[کد سیستم]])</f>
        <v>1</v>
      </c>
    </row>
    <row r="382" spans="1:4" hidden="1" x14ac:dyDescent="0.25">
      <c r="A382" s="35" t="s">
        <v>2238</v>
      </c>
      <c r="B382" s="35" t="s">
        <v>2238</v>
      </c>
      <c r="C382" s="35" t="s">
        <v>2239</v>
      </c>
      <c r="D382" s="8">
        <f>COUNTIF(Table4[کد سیستم],Table2[[#This Row],[کد سیستم]])</f>
        <v>1</v>
      </c>
    </row>
    <row r="383" spans="1:4" hidden="1" x14ac:dyDescent="0.25">
      <c r="A383" s="35" t="s">
        <v>2240</v>
      </c>
      <c r="B383" s="35" t="s">
        <v>2240</v>
      </c>
      <c r="C383" s="35" t="s">
        <v>2241</v>
      </c>
      <c r="D383" s="8">
        <f>COUNTIF(Table4[کد سیستم],Table2[[#This Row],[کد سیستم]])</f>
        <v>1</v>
      </c>
    </row>
    <row r="384" spans="1:4" hidden="1" x14ac:dyDescent="0.25">
      <c r="A384" s="35" t="s">
        <v>2242</v>
      </c>
      <c r="B384" s="35" t="s">
        <v>2242</v>
      </c>
      <c r="C384" s="35" t="s">
        <v>2243</v>
      </c>
      <c r="D384" s="8">
        <f>COUNTIF(Table4[کد سیستم],Table2[[#This Row],[کد سیستم]])</f>
        <v>1</v>
      </c>
    </row>
    <row r="385" spans="1:4" hidden="1" x14ac:dyDescent="0.25">
      <c r="A385" s="35" t="s">
        <v>2244</v>
      </c>
      <c r="B385" s="35" t="s">
        <v>2244</v>
      </c>
      <c r="C385" s="35" t="s">
        <v>2245</v>
      </c>
      <c r="D385" s="8">
        <f>COUNTIF(Table4[کد سیستم],Table2[[#This Row],[کد سیستم]])</f>
        <v>1</v>
      </c>
    </row>
    <row r="386" spans="1:4" hidden="1" x14ac:dyDescent="0.25">
      <c r="A386" s="35" t="s">
        <v>2246</v>
      </c>
      <c r="B386" s="35" t="s">
        <v>2246</v>
      </c>
      <c r="C386" s="35" t="s">
        <v>2247</v>
      </c>
      <c r="D386" s="8">
        <f>COUNTIF(Table4[کد سیستم],Table2[[#This Row],[کد سیستم]])</f>
        <v>1</v>
      </c>
    </row>
    <row r="387" spans="1:4" hidden="1" x14ac:dyDescent="0.25">
      <c r="A387" s="35" t="s">
        <v>2248</v>
      </c>
      <c r="B387" s="35" t="s">
        <v>2248</v>
      </c>
      <c r="C387" s="35" t="s">
        <v>2249</v>
      </c>
      <c r="D387" s="8">
        <f>COUNTIF(Table4[کد سیستم],Table2[[#This Row],[کد سیستم]])</f>
        <v>1</v>
      </c>
    </row>
    <row r="388" spans="1:4" hidden="1" x14ac:dyDescent="0.25">
      <c r="A388" s="35" t="s">
        <v>2250</v>
      </c>
      <c r="B388" s="35" t="s">
        <v>2250</v>
      </c>
      <c r="C388" s="35" t="s">
        <v>2251</v>
      </c>
      <c r="D388" s="8">
        <f>COUNTIF(Table4[کد سیستم],Table2[[#This Row],[کد سیستم]])</f>
        <v>1</v>
      </c>
    </row>
    <row r="389" spans="1:4" hidden="1" x14ac:dyDescent="0.25">
      <c r="A389" s="35" t="s">
        <v>2252</v>
      </c>
      <c r="B389" s="35" t="s">
        <v>2252</v>
      </c>
      <c r="C389" s="35" t="s">
        <v>2253</v>
      </c>
      <c r="D389" s="8">
        <f>COUNTIF(Table4[کد سیستم],Table2[[#This Row],[کد سیستم]])</f>
        <v>1</v>
      </c>
    </row>
    <row r="390" spans="1:4" hidden="1" x14ac:dyDescent="0.25">
      <c r="A390" s="35" t="s">
        <v>2254</v>
      </c>
      <c r="B390" s="35" t="s">
        <v>2254</v>
      </c>
      <c r="C390" s="35" t="s">
        <v>2255</v>
      </c>
      <c r="D390" s="8">
        <f>COUNTIF(Table4[کد سیستم],Table2[[#This Row],[کد سیستم]])</f>
        <v>1</v>
      </c>
    </row>
    <row r="391" spans="1:4" hidden="1" x14ac:dyDescent="0.25">
      <c r="A391" s="35" t="s">
        <v>2256</v>
      </c>
      <c r="B391" s="35" t="s">
        <v>2256</v>
      </c>
      <c r="C391" s="35" t="s">
        <v>2257</v>
      </c>
      <c r="D391" s="8">
        <f>COUNTIF(Table4[کد سیستم],Table2[[#This Row],[کد سیستم]])</f>
        <v>1</v>
      </c>
    </row>
    <row r="392" spans="1:4" hidden="1" x14ac:dyDescent="0.25">
      <c r="A392" s="35" t="s">
        <v>2258</v>
      </c>
      <c r="B392" s="35" t="s">
        <v>2258</v>
      </c>
      <c r="C392" s="35" t="s">
        <v>2259</v>
      </c>
      <c r="D392" s="8">
        <f>COUNTIF(Table4[کد سیستم],Table2[[#This Row],[کد سیستم]])</f>
        <v>1</v>
      </c>
    </row>
    <row r="393" spans="1:4" hidden="1" x14ac:dyDescent="0.25">
      <c r="A393" s="35" t="s">
        <v>2260</v>
      </c>
      <c r="B393" s="35" t="s">
        <v>2260</v>
      </c>
      <c r="C393" s="35" t="s">
        <v>2261</v>
      </c>
      <c r="D393" s="8">
        <f>COUNTIF(Table4[کد سیستم],Table2[[#This Row],[کد سیستم]])</f>
        <v>1</v>
      </c>
    </row>
    <row r="394" spans="1:4" hidden="1" x14ac:dyDescent="0.25">
      <c r="A394" s="35" t="s">
        <v>2262</v>
      </c>
      <c r="B394" s="35" t="s">
        <v>2262</v>
      </c>
      <c r="C394" s="35" t="s">
        <v>2263</v>
      </c>
      <c r="D394" s="8">
        <f>COUNTIF(Table4[کد سیستم],Table2[[#This Row],[کد سیستم]])</f>
        <v>1</v>
      </c>
    </row>
    <row r="395" spans="1:4" hidden="1" x14ac:dyDescent="0.25">
      <c r="A395" s="35" t="s">
        <v>2264</v>
      </c>
      <c r="B395" s="35" t="s">
        <v>2264</v>
      </c>
      <c r="C395" s="35" t="s">
        <v>2265</v>
      </c>
      <c r="D395" s="8">
        <f>COUNTIF(Table4[کد سیستم],Table2[[#This Row],[کد سیستم]])</f>
        <v>1</v>
      </c>
    </row>
    <row r="396" spans="1:4" hidden="1" x14ac:dyDescent="0.25">
      <c r="A396" s="35" t="s">
        <v>2266</v>
      </c>
      <c r="B396" s="35" t="s">
        <v>2266</v>
      </c>
      <c r="C396" s="35" t="s">
        <v>2267</v>
      </c>
      <c r="D396" s="8">
        <f>COUNTIF(Table4[کد سیستم],Table2[[#This Row],[کد سیستم]])</f>
        <v>1</v>
      </c>
    </row>
    <row r="397" spans="1:4" hidden="1" x14ac:dyDescent="0.25">
      <c r="A397" s="35" t="s">
        <v>2268</v>
      </c>
      <c r="B397" s="35" t="s">
        <v>2268</v>
      </c>
      <c r="C397" s="35" t="s">
        <v>2269</v>
      </c>
      <c r="D397" s="8">
        <f>COUNTIF(Table4[کد سیستم],Table2[[#This Row],[کد سیستم]])</f>
        <v>1</v>
      </c>
    </row>
    <row r="398" spans="1:4" hidden="1" x14ac:dyDescent="0.25">
      <c r="A398" s="35" t="s">
        <v>2270</v>
      </c>
      <c r="B398" s="35" t="s">
        <v>2270</v>
      </c>
      <c r="C398" s="35" t="s">
        <v>2271</v>
      </c>
      <c r="D398" s="8">
        <f>COUNTIF(Table4[کد سیستم],Table2[[#This Row],[کد سیستم]])</f>
        <v>1</v>
      </c>
    </row>
    <row r="399" spans="1:4" hidden="1" x14ac:dyDescent="0.25">
      <c r="A399" s="35" t="s">
        <v>2272</v>
      </c>
      <c r="B399" s="35" t="s">
        <v>2272</v>
      </c>
      <c r="C399" s="35" t="s">
        <v>2273</v>
      </c>
      <c r="D399" s="8">
        <f>COUNTIF(Table4[کد سیستم],Table2[[#This Row],[کد سیستم]])</f>
        <v>1</v>
      </c>
    </row>
    <row r="400" spans="1:4" hidden="1" x14ac:dyDescent="0.25">
      <c r="A400" s="35" t="s">
        <v>2274</v>
      </c>
      <c r="B400" s="35" t="s">
        <v>2274</v>
      </c>
      <c r="C400" s="35" t="s">
        <v>2275</v>
      </c>
      <c r="D400" s="8">
        <f>COUNTIF(Table4[کد سیستم],Table2[[#This Row],[کد سیستم]])</f>
        <v>1</v>
      </c>
    </row>
    <row r="401" spans="1:4" hidden="1" x14ac:dyDescent="0.25">
      <c r="A401" s="35" t="s">
        <v>2276</v>
      </c>
      <c r="B401" s="35" t="s">
        <v>2276</v>
      </c>
      <c r="C401" s="35" t="s">
        <v>2277</v>
      </c>
      <c r="D401" s="8">
        <f>COUNTIF(Table4[کد سیستم],Table2[[#This Row],[کد سیستم]])</f>
        <v>1</v>
      </c>
    </row>
    <row r="402" spans="1:4" hidden="1" x14ac:dyDescent="0.25">
      <c r="A402" s="35" t="s">
        <v>2278</v>
      </c>
      <c r="B402" s="35" t="s">
        <v>2278</v>
      </c>
      <c r="C402" s="35" t="s">
        <v>2279</v>
      </c>
      <c r="D402" s="8">
        <f>COUNTIF(Table4[کد سیستم],Table2[[#This Row],[کد سیستم]])</f>
        <v>1</v>
      </c>
    </row>
    <row r="403" spans="1:4" x14ac:dyDescent="0.25">
      <c r="A403" s="35" t="s">
        <v>3914</v>
      </c>
      <c r="B403" s="35" t="s">
        <v>3914</v>
      </c>
      <c r="C403" s="35" t="s">
        <v>3915</v>
      </c>
      <c r="D403" s="8">
        <f>COUNTIF(Table4[کد سیستم],Table2[[#This Row],[کد سیستم]])</f>
        <v>1</v>
      </c>
    </row>
    <row r="404" spans="1:4" hidden="1" x14ac:dyDescent="0.25">
      <c r="A404" s="35" t="s">
        <v>2280</v>
      </c>
      <c r="B404" s="35" t="s">
        <v>2280</v>
      </c>
      <c r="C404" s="35" t="s">
        <v>2281</v>
      </c>
      <c r="D404" s="8">
        <f>COUNTIF(Table4[کد سیستم],Table2[[#This Row],[کد سیستم]])</f>
        <v>1</v>
      </c>
    </row>
    <row r="405" spans="1:4" hidden="1" x14ac:dyDescent="0.25">
      <c r="A405" s="35" t="s">
        <v>2282</v>
      </c>
      <c r="B405" s="35" t="s">
        <v>2282</v>
      </c>
      <c r="C405" s="35" t="s">
        <v>2283</v>
      </c>
      <c r="D405" s="8">
        <f>COUNTIF(Table4[کد سیستم],Table2[[#This Row],[کد سیستم]])</f>
        <v>1</v>
      </c>
    </row>
    <row r="406" spans="1:4" hidden="1" x14ac:dyDescent="0.25">
      <c r="A406" s="35" t="s">
        <v>2284</v>
      </c>
      <c r="B406" s="35" t="s">
        <v>2284</v>
      </c>
      <c r="C406" s="35" t="s">
        <v>2285</v>
      </c>
      <c r="D406" s="8">
        <f>COUNTIF(Table4[کد سیستم],Table2[[#This Row],[کد سیستم]])</f>
        <v>1</v>
      </c>
    </row>
    <row r="407" spans="1:4" hidden="1" x14ac:dyDescent="0.25">
      <c r="A407" s="35" t="s">
        <v>2286</v>
      </c>
      <c r="B407" s="35" t="s">
        <v>2286</v>
      </c>
      <c r="C407" s="35" t="s">
        <v>2287</v>
      </c>
      <c r="D407" s="8">
        <f>COUNTIF(Table4[کد سیستم],Table2[[#This Row],[کد سیستم]])</f>
        <v>1</v>
      </c>
    </row>
    <row r="408" spans="1:4" hidden="1" x14ac:dyDescent="0.25">
      <c r="A408" s="35" t="s">
        <v>2288</v>
      </c>
      <c r="B408" s="35" t="s">
        <v>2288</v>
      </c>
      <c r="C408" s="35" t="s">
        <v>2289</v>
      </c>
      <c r="D408" s="8">
        <f>COUNTIF(Table4[کد سیستم],Table2[[#This Row],[کد سیستم]])</f>
        <v>1</v>
      </c>
    </row>
    <row r="409" spans="1:4" hidden="1" x14ac:dyDescent="0.25">
      <c r="A409" s="35" t="s">
        <v>2290</v>
      </c>
      <c r="B409" s="35" t="s">
        <v>2290</v>
      </c>
      <c r="C409" s="35" t="s">
        <v>2291</v>
      </c>
      <c r="D409" s="8">
        <f>COUNTIF(Table4[کد سیستم],Table2[[#This Row],[کد سیستم]])</f>
        <v>1</v>
      </c>
    </row>
    <row r="410" spans="1:4" hidden="1" x14ac:dyDescent="0.25">
      <c r="A410" s="35" t="s">
        <v>2292</v>
      </c>
      <c r="B410" s="35" t="s">
        <v>2292</v>
      </c>
      <c r="C410" s="35" t="s">
        <v>2293</v>
      </c>
      <c r="D410" s="8">
        <f>COUNTIF(Table4[کد سیستم],Table2[[#This Row],[کد سیستم]])</f>
        <v>1</v>
      </c>
    </row>
    <row r="411" spans="1:4" hidden="1" x14ac:dyDescent="0.25">
      <c r="A411" s="35" t="s">
        <v>2294</v>
      </c>
      <c r="B411" s="35" t="s">
        <v>2294</v>
      </c>
      <c r="C411" s="35" t="s">
        <v>2295</v>
      </c>
      <c r="D411" s="8">
        <f>COUNTIF(Table4[کد سیستم],Table2[[#This Row],[کد سیستم]])</f>
        <v>1</v>
      </c>
    </row>
    <row r="412" spans="1:4" hidden="1" x14ac:dyDescent="0.25">
      <c r="A412" s="35" t="s">
        <v>2296</v>
      </c>
      <c r="B412" s="35" t="s">
        <v>2296</v>
      </c>
      <c r="C412" s="35" t="s">
        <v>2297</v>
      </c>
      <c r="D412" s="8">
        <f>COUNTIF(Table4[کد سیستم],Table2[[#This Row],[کد سیستم]])</f>
        <v>1</v>
      </c>
    </row>
    <row r="413" spans="1:4" hidden="1" x14ac:dyDescent="0.25">
      <c r="A413" s="35" t="s">
        <v>2298</v>
      </c>
      <c r="B413" s="35" t="s">
        <v>2298</v>
      </c>
      <c r="C413" s="35" t="s">
        <v>2299</v>
      </c>
      <c r="D413" s="8">
        <f>COUNTIF(Table4[کد سیستم],Table2[[#This Row],[کد سیستم]])</f>
        <v>1</v>
      </c>
    </row>
    <row r="414" spans="1:4" hidden="1" x14ac:dyDescent="0.25">
      <c r="A414" s="35" t="s">
        <v>2300</v>
      </c>
      <c r="B414" s="35" t="s">
        <v>2300</v>
      </c>
      <c r="C414" s="35" t="s">
        <v>2301</v>
      </c>
      <c r="D414" s="8">
        <f>COUNTIF(Table4[کد سیستم],Table2[[#This Row],[کد سیستم]])</f>
        <v>1</v>
      </c>
    </row>
    <row r="415" spans="1:4" hidden="1" x14ac:dyDescent="0.25">
      <c r="A415" s="35" t="s">
        <v>2302</v>
      </c>
      <c r="B415" s="35" t="s">
        <v>2302</v>
      </c>
      <c r="C415" s="35" t="s">
        <v>2303</v>
      </c>
      <c r="D415" s="8">
        <f>COUNTIF(Table4[کد سیستم],Table2[[#This Row],[کد سیستم]])</f>
        <v>1</v>
      </c>
    </row>
    <row r="416" spans="1:4" hidden="1" x14ac:dyDescent="0.25">
      <c r="A416" s="35" t="s">
        <v>2304</v>
      </c>
      <c r="B416" s="35" t="s">
        <v>2304</v>
      </c>
      <c r="C416" s="35" t="s">
        <v>2305</v>
      </c>
      <c r="D416" s="8">
        <f>COUNTIF(Table4[کد سیستم],Table2[[#This Row],[کد سیستم]])</f>
        <v>1</v>
      </c>
    </row>
    <row r="417" spans="1:4" hidden="1" x14ac:dyDescent="0.25">
      <c r="A417" s="35" t="s">
        <v>2306</v>
      </c>
      <c r="B417" s="35" t="s">
        <v>2306</v>
      </c>
      <c r="C417" s="35" t="s">
        <v>2307</v>
      </c>
      <c r="D417" s="8">
        <f>COUNTIF(Table4[کد سیستم],Table2[[#This Row],[کد سیستم]])</f>
        <v>1</v>
      </c>
    </row>
    <row r="418" spans="1:4" hidden="1" x14ac:dyDescent="0.25">
      <c r="A418" s="35" t="s">
        <v>2308</v>
      </c>
      <c r="B418" s="35" t="s">
        <v>2308</v>
      </c>
      <c r="C418" s="35" t="s">
        <v>2309</v>
      </c>
      <c r="D418" s="8">
        <f>COUNTIF(Table4[کد سیستم],Table2[[#This Row],[کد سیستم]])</f>
        <v>1</v>
      </c>
    </row>
    <row r="419" spans="1:4" hidden="1" x14ac:dyDescent="0.25">
      <c r="A419" s="35" t="s">
        <v>2310</v>
      </c>
      <c r="B419" s="35" t="s">
        <v>2310</v>
      </c>
      <c r="C419" s="35" t="s">
        <v>2311</v>
      </c>
      <c r="D419" s="8">
        <f>COUNTIF(Table4[کد سیستم],Table2[[#This Row],[کد سیستم]])</f>
        <v>1</v>
      </c>
    </row>
    <row r="420" spans="1:4" hidden="1" x14ac:dyDescent="0.25">
      <c r="A420" s="35" t="s">
        <v>2312</v>
      </c>
      <c r="B420" s="35" t="s">
        <v>2312</v>
      </c>
      <c r="C420" s="35" t="s">
        <v>2313</v>
      </c>
      <c r="D420" s="8">
        <f>COUNTIF(Table4[کد سیستم],Table2[[#This Row],[کد سیستم]])</f>
        <v>1</v>
      </c>
    </row>
    <row r="421" spans="1:4" hidden="1" x14ac:dyDescent="0.25">
      <c r="A421" s="35" t="s">
        <v>2314</v>
      </c>
      <c r="B421" s="35" t="s">
        <v>2314</v>
      </c>
      <c r="C421" s="35" t="s">
        <v>2315</v>
      </c>
      <c r="D421" s="8">
        <f>COUNTIF(Table4[کد سیستم],Table2[[#This Row],[کد سیستم]])</f>
        <v>1</v>
      </c>
    </row>
    <row r="422" spans="1:4" hidden="1" x14ac:dyDescent="0.25">
      <c r="A422" s="35" t="s">
        <v>2316</v>
      </c>
      <c r="B422" s="35" t="s">
        <v>2316</v>
      </c>
      <c r="C422" s="35" t="s">
        <v>2317</v>
      </c>
      <c r="D422" s="8">
        <f>COUNTIF(Table4[کد سیستم],Table2[[#This Row],[کد سیستم]])</f>
        <v>1</v>
      </c>
    </row>
    <row r="423" spans="1:4" hidden="1" x14ac:dyDescent="0.25">
      <c r="A423" s="35" t="s">
        <v>3815</v>
      </c>
      <c r="B423" s="35" t="s">
        <v>3815</v>
      </c>
      <c r="C423" s="35" t="s">
        <v>3816</v>
      </c>
      <c r="D423" s="8">
        <f>COUNTIF(Table4[کد سیستم],Table2[[#This Row],[کد سیستم]])</f>
        <v>1</v>
      </c>
    </row>
    <row r="424" spans="1:4" hidden="1" x14ac:dyDescent="0.25">
      <c r="A424" s="35" t="s">
        <v>2318</v>
      </c>
      <c r="B424" s="35" t="s">
        <v>2318</v>
      </c>
      <c r="C424" s="35" t="s">
        <v>2319</v>
      </c>
      <c r="D424" s="8">
        <f>COUNTIF(Table4[کد سیستم],Table2[[#This Row],[کد سیستم]])</f>
        <v>1</v>
      </c>
    </row>
    <row r="425" spans="1:4" hidden="1" x14ac:dyDescent="0.25">
      <c r="A425" s="35" t="s">
        <v>2320</v>
      </c>
      <c r="B425" s="35" t="s">
        <v>2320</v>
      </c>
      <c r="C425" s="35" t="s">
        <v>2321</v>
      </c>
      <c r="D425" s="8">
        <f>COUNTIF(Table4[کد سیستم],Table2[[#This Row],[کد سیستم]])</f>
        <v>1</v>
      </c>
    </row>
    <row r="426" spans="1:4" hidden="1" x14ac:dyDescent="0.25">
      <c r="A426" s="35" t="s">
        <v>2322</v>
      </c>
      <c r="B426" s="35" t="s">
        <v>2322</v>
      </c>
      <c r="C426" s="35" t="s">
        <v>2323</v>
      </c>
      <c r="D426" s="8">
        <f>COUNTIF(Table4[کد سیستم],Table2[[#This Row],[کد سیستم]])</f>
        <v>1</v>
      </c>
    </row>
    <row r="427" spans="1:4" hidden="1" x14ac:dyDescent="0.25">
      <c r="A427" s="35" t="s">
        <v>2324</v>
      </c>
      <c r="B427" s="35" t="s">
        <v>2324</v>
      </c>
      <c r="C427" s="35" t="s">
        <v>2325</v>
      </c>
      <c r="D427" s="8">
        <f>COUNTIF(Table4[کد سیستم],Table2[[#This Row],[کد سیستم]])</f>
        <v>1</v>
      </c>
    </row>
    <row r="428" spans="1:4" hidden="1" x14ac:dyDescent="0.25">
      <c r="A428" s="35" t="s">
        <v>2326</v>
      </c>
      <c r="B428" s="35" t="s">
        <v>2326</v>
      </c>
      <c r="C428" s="35" t="s">
        <v>2327</v>
      </c>
      <c r="D428" s="8">
        <f>COUNTIF(Table4[کد سیستم],Table2[[#This Row],[کد سیستم]])</f>
        <v>1</v>
      </c>
    </row>
    <row r="429" spans="1:4" hidden="1" x14ac:dyDescent="0.25">
      <c r="A429" s="35" t="s">
        <v>3817</v>
      </c>
      <c r="B429" s="35" t="s">
        <v>3817</v>
      </c>
      <c r="C429" s="35" t="s">
        <v>3818</v>
      </c>
      <c r="D429" s="8">
        <f>COUNTIF(Table4[کد سیستم],Table2[[#This Row],[کد سیستم]])</f>
        <v>1</v>
      </c>
    </row>
    <row r="430" spans="1:4" hidden="1" x14ac:dyDescent="0.25">
      <c r="A430" s="35" t="s">
        <v>2328</v>
      </c>
      <c r="B430" s="35" t="s">
        <v>2328</v>
      </c>
      <c r="C430" s="35" t="s">
        <v>2329</v>
      </c>
      <c r="D430" s="8">
        <f>COUNTIF(Table4[کد سیستم],Table2[[#This Row],[کد سیستم]])</f>
        <v>1</v>
      </c>
    </row>
    <row r="431" spans="1:4" hidden="1" x14ac:dyDescent="0.25">
      <c r="A431" s="35" t="s">
        <v>2330</v>
      </c>
      <c r="B431" s="35" t="s">
        <v>2330</v>
      </c>
      <c r="C431" s="35" t="s">
        <v>2331</v>
      </c>
      <c r="D431" s="8">
        <f>COUNTIF(Table4[کد سیستم],Table2[[#This Row],[کد سیستم]])</f>
        <v>1</v>
      </c>
    </row>
    <row r="432" spans="1:4" hidden="1" x14ac:dyDescent="0.25">
      <c r="A432" s="35" t="s">
        <v>2332</v>
      </c>
      <c r="B432" s="35" t="s">
        <v>2332</v>
      </c>
      <c r="C432" s="35" t="s">
        <v>2333</v>
      </c>
      <c r="D432" s="8">
        <f>COUNTIF(Table4[کد سیستم],Table2[[#This Row],[کد سیستم]])</f>
        <v>1</v>
      </c>
    </row>
    <row r="433" spans="1:4" hidden="1" x14ac:dyDescent="0.25">
      <c r="A433" s="35" t="s">
        <v>2334</v>
      </c>
      <c r="B433" s="35" t="s">
        <v>2334</v>
      </c>
      <c r="C433" s="35" t="s">
        <v>2335</v>
      </c>
      <c r="D433" s="8">
        <f>COUNTIF(Table4[کد سیستم],Table2[[#This Row],[کد سیستم]])</f>
        <v>1</v>
      </c>
    </row>
    <row r="434" spans="1:4" hidden="1" x14ac:dyDescent="0.25">
      <c r="A434" s="35" t="s">
        <v>2336</v>
      </c>
      <c r="B434" s="35" t="s">
        <v>2336</v>
      </c>
      <c r="C434" s="35" t="s">
        <v>2337</v>
      </c>
      <c r="D434" s="8">
        <f>COUNTIF(Table4[کد سیستم],Table2[[#This Row],[کد سیستم]])</f>
        <v>1</v>
      </c>
    </row>
    <row r="435" spans="1:4" hidden="1" x14ac:dyDescent="0.25">
      <c r="A435" s="35" t="s">
        <v>2338</v>
      </c>
      <c r="B435" s="35" t="s">
        <v>2338</v>
      </c>
      <c r="C435" s="35" t="s">
        <v>2339</v>
      </c>
      <c r="D435" s="8">
        <f>COUNTIF(Table4[کد سیستم],Table2[[#This Row],[کد سیستم]])</f>
        <v>1</v>
      </c>
    </row>
    <row r="436" spans="1:4" hidden="1" x14ac:dyDescent="0.25">
      <c r="A436" s="35" t="s">
        <v>2340</v>
      </c>
      <c r="B436" s="35" t="s">
        <v>2340</v>
      </c>
      <c r="C436" s="35" t="s">
        <v>2341</v>
      </c>
      <c r="D436" s="8">
        <f>COUNTIF(Table4[کد سیستم],Table2[[#This Row],[کد سیستم]])</f>
        <v>1</v>
      </c>
    </row>
    <row r="437" spans="1:4" hidden="1" x14ac:dyDescent="0.25">
      <c r="A437" s="35" t="s">
        <v>2342</v>
      </c>
      <c r="B437" s="35" t="s">
        <v>2342</v>
      </c>
      <c r="C437" s="35" t="s">
        <v>2343</v>
      </c>
      <c r="D437" s="8">
        <f>COUNTIF(Table4[کد سیستم],Table2[[#This Row],[کد سیستم]])</f>
        <v>1</v>
      </c>
    </row>
    <row r="438" spans="1:4" hidden="1" x14ac:dyDescent="0.25">
      <c r="A438" s="35" t="s">
        <v>2344</v>
      </c>
      <c r="B438" s="35" t="s">
        <v>2344</v>
      </c>
      <c r="C438" s="35" t="s">
        <v>2345</v>
      </c>
      <c r="D438" s="8">
        <f>COUNTIF(Table4[کد سیستم],Table2[[#This Row],[کد سیستم]])</f>
        <v>1</v>
      </c>
    </row>
    <row r="439" spans="1:4" hidden="1" x14ac:dyDescent="0.25">
      <c r="A439" s="35" t="s">
        <v>2346</v>
      </c>
      <c r="B439" s="35" t="s">
        <v>2346</v>
      </c>
      <c r="C439" s="35" t="s">
        <v>2347</v>
      </c>
      <c r="D439" s="8">
        <f>COUNTIF(Table4[کد سیستم],Table2[[#This Row],[کد سیستم]])</f>
        <v>1</v>
      </c>
    </row>
    <row r="440" spans="1:4" hidden="1" x14ac:dyDescent="0.25">
      <c r="A440" s="35" t="s">
        <v>2348</v>
      </c>
      <c r="B440" s="35" t="s">
        <v>2348</v>
      </c>
      <c r="C440" s="35" t="s">
        <v>2349</v>
      </c>
      <c r="D440" s="8">
        <f>COUNTIF(Table4[کد سیستم],Table2[[#This Row],[کد سیستم]])</f>
        <v>1</v>
      </c>
    </row>
    <row r="441" spans="1:4" hidden="1" x14ac:dyDescent="0.25">
      <c r="A441" s="35" t="s">
        <v>2350</v>
      </c>
      <c r="B441" s="35" t="s">
        <v>2350</v>
      </c>
      <c r="C441" s="35" t="s">
        <v>2351</v>
      </c>
      <c r="D441" s="8">
        <f>COUNTIF(Table4[کد سیستم],Table2[[#This Row],[کد سیستم]])</f>
        <v>1</v>
      </c>
    </row>
    <row r="442" spans="1:4" hidden="1" x14ac:dyDescent="0.25">
      <c r="A442" s="35" t="s">
        <v>2352</v>
      </c>
      <c r="B442" s="35" t="s">
        <v>2352</v>
      </c>
      <c r="C442" s="35" t="s">
        <v>2353</v>
      </c>
      <c r="D442" s="8">
        <f>COUNTIF(Table4[کد سیستم],Table2[[#This Row],[کد سیستم]])</f>
        <v>1</v>
      </c>
    </row>
    <row r="443" spans="1:4" hidden="1" x14ac:dyDescent="0.25">
      <c r="A443" s="35" t="s">
        <v>2354</v>
      </c>
      <c r="B443" s="35" t="s">
        <v>2354</v>
      </c>
      <c r="C443" s="35" t="s">
        <v>2355</v>
      </c>
      <c r="D443" s="8">
        <f>COUNTIF(Table4[کد سیستم],Table2[[#This Row],[کد سیستم]])</f>
        <v>1</v>
      </c>
    </row>
    <row r="444" spans="1:4" hidden="1" x14ac:dyDescent="0.25">
      <c r="A444" s="35" t="s">
        <v>2356</v>
      </c>
      <c r="B444" s="35" t="s">
        <v>2356</v>
      </c>
      <c r="C444" s="35" t="s">
        <v>2357</v>
      </c>
      <c r="D444" s="8">
        <f>COUNTIF(Table4[کد سیستم],Table2[[#This Row],[کد سیستم]])</f>
        <v>1</v>
      </c>
    </row>
    <row r="445" spans="1:4" hidden="1" x14ac:dyDescent="0.25">
      <c r="A445" s="35" t="s">
        <v>2358</v>
      </c>
      <c r="B445" s="35" t="s">
        <v>2358</v>
      </c>
      <c r="C445" s="35" t="s">
        <v>2359</v>
      </c>
      <c r="D445" s="8">
        <f>COUNTIF(Table4[کد سیستم],Table2[[#This Row],[کد سیستم]])</f>
        <v>1</v>
      </c>
    </row>
    <row r="446" spans="1:4" hidden="1" x14ac:dyDescent="0.25">
      <c r="A446" s="35" t="s">
        <v>2360</v>
      </c>
      <c r="B446" s="35" t="s">
        <v>2360</v>
      </c>
      <c r="C446" s="35" t="s">
        <v>2361</v>
      </c>
      <c r="D446" s="8">
        <f>COUNTIF(Table4[کد سیستم],Table2[[#This Row],[کد سیستم]])</f>
        <v>1</v>
      </c>
    </row>
    <row r="447" spans="1:4" hidden="1" x14ac:dyDescent="0.25">
      <c r="A447" s="35" t="s">
        <v>2362</v>
      </c>
      <c r="B447" s="35" t="s">
        <v>2362</v>
      </c>
      <c r="C447" s="35" t="s">
        <v>2363</v>
      </c>
      <c r="D447" s="8">
        <f>COUNTIF(Table4[کد سیستم],Table2[[#This Row],[کد سیستم]])</f>
        <v>1</v>
      </c>
    </row>
    <row r="448" spans="1:4" hidden="1" x14ac:dyDescent="0.25">
      <c r="A448" s="35" t="s">
        <v>2364</v>
      </c>
      <c r="B448" s="35" t="s">
        <v>2364</v>
      </c>
      <c r="C448" s="35" t="s">
        <v>2365</v>
      </c>
      <c r="D448" s="8">
        <f>COUNTIF(Table4[کد سیستم],Table2[[#This Row],[کد سیستم]])</f>
        <v>1</v>
      </c>
    </row>
    <row r="449" spans="1:4" hidden="1" x14ac:dyDescent="0.25">
      <c r="A449" s="35" t="s">
        <v>2366</v>
      </c>
      <c r="B449" s="35" t="s">
        <v>2366</v>
      </c>
      <c r="C449" s="35" t="s">
        <v>2367</v>
      </c>
      <c r="D449" s="8">
        <f>COUNTIF(Table4[کد سیستم],Table2[[#This Row],[کد سیستم]])</f>
        <v>1</v>
      </c>
    </row>
    <row r="450" spans="1:4" hidden="1" x14ac:dyDescent="0.25">
      <c r="A450" s="35" t="s">
        <v>2368</v>
      </c>
      <c r="B450" s="35" t="s">
        <v>2368</v>
      </c>
      <c r="C450" s="35" t="s">
        <v>2369</v>
      </c>
      <c r="D450" s="8">
        <f>COUNTIF(Table4[کد سیستم],Table2[[#This Row],[کد سیستم]])</f>
        <v>1</v>
      </c>
    </row>
    <row r="451" spans="1:4" hidden="1" x14ac:dyDescent="0.25">
      <c r="A451" s="35" t="s">
        <v>2370</v>
      </c>
      <c r="B451" s="35" t="s">
        <v>2370</v>
      </c>
      <c r="C451" s="35" t="s">
        <v>2371</v>
      </c>
      <c r="D451" s="8">
        <f>COUNTIF(Table4[کد سیستم],Table2[[#This Row],[کد سیستم]])</f>
        <v>1</v>
      </c>
    </row>
    <row r="452" spans="1:4" hidden="1" x14ac:dyDescent="0.25">
      <c r="A452" s="35" t="s">
        <v>2372</v>
      </c>
      <c r="B452" s="35" t="s">
        <v>2372</v>
      </c>
      <c r="C452" s="35" t="s">
        <v>2373</v>
      </c>
      <c r="D452" s="8">
        <f>COUNTIF(Table4[کد سیستم],Table2[[#This Row],[کد سیستم]])</f>
        <v>1</v>
      </c>
    </row>
    <row r="453" spans="1:4" hidden="1" x14ac:dyDescent="0.25">
      <c r="A453" s="35" t="s">
        <v>2374</v>
      </c>
      <c r="B453" s="35" t="s">
        <v>2374</v>
      </c>
      <c r="C453" s="35" t="s">
        <v>2375</v>
      </c>
      <c r="D453" s="8">
        <f>COUNTIF(Table4[کد سیستم],Table2[[#This Row],[کد سیستم]])</f>
        <v>1</v>
      </c>
    </row>
    <row r="454" spans="1:4" hidden="1" x14ac:dyDescent="0.25">
      <c r="A454" s="35" t="s">
        <v>2376</v>
      </c>
      <c r="B454" s="35" t="s">
        <v>2376</v>
      </c>
      <c r="C454" s="35" t="s">
        <v>2377</v>
      </c>
      <c r="D454" s="8">
        <f>COUNTIF(Table4[کد سیستم],Table2[[#This Row],[کد سیستم]])</f>
        <v>1</v>
      </c>
    </row>
    <row r="455" spans="1:4" hidden="1" x14ac:dyDescent="0.25">
      <c r="A455" s="35" t="s">
        <v>2378</v>
      </c>
      <c r="B455" s="35" t="s">
        <v>2378</v>
      </c>
      <c r="C455" s="35" t="s">
        <v>2379</v>
      </c>
      <c r="D455" s="8">
        <f>COUNTIF(Table4[کد سیستم],Table2[[#This Row],[کد سیستم]])</f>
        <v>1</v>
      </c>
    </row>
    <row r="456" spans="1:4" hidden="1" x14ac:dyDescent="0.25">
      <c r="A456" s="35" t="s">
        <v>2380</v>
      </c>
      <c r="B456" s="35" t="s">
        <v>2380</v>
      </c>
      <c r="C456" s="35" t="s">
        <v>2381</v>
      </c>
      <c r="D456" s="8">
        <f>COUNTIF(Table4[کد سیستم],Table2[[#This Row],[کد سیستم]])</f>
        <v>1</v>
      </c>
    </row>
    <row r="457" spans="1:4" hidden="1" x14ac:dyDescent="0.25">
      <c r="A457" s="35" t="s">
        <v>2382</v>
      </c>
      <c r="B457" s="35" t="s">
        <v>2382</v>
      </c>
      <c r="C457" s="35" t="s">
        <v>2383</v>
      </c>
      <c r="D457" s="8">
        <f>COUNTIF(Table4[کد سیستم],Table2[[#This Row],[کد سیستم]])</f>
        <v>1</v>
      </c>
    </row>
    <row r="458" spans="1:4" hidden="1" x14ac:dyDescent="0.25">
      <c r="A458" s="35" t="s">
        <v>2384</v>
      </c>
      <c r="B458" s="35" t="s">
        <v>2384</v>
      </c>
      <c r="C458" s="35" t="s">
        <v>2385</v>
      </c>
      <c r="D458" s="8">
        <f>COUNTIF(Table4[کد سیستم],Table2[[#This Row],[کد سیستم]])</f>
        <v>1</v>
      </c>
    </row>
    <row r="459" spans="1:4" hidden="1" x14ac:dyDescent="0.25">
      <c r="A459" s="35" t="s">
        <v>2386</v>
      </c>
      <c r="B459" s="35" t="s">
        <v>2386</v>
      </c>
      <c r="C459" s="35" t="s">
        <v>2387</v>
      </c>
      <c r="D459" s="8">
        <f>COUNTIF(Table4[کد سیستم],Table2[[#This Row],[کد سیستم]])</f>
        <v>1</v>
      </c>
    </row>
    <row r="460" spans="1:4" hidden="1" x14ac:dyDescent="0.25">
      <c r="A460" s="35" t="s">
        <v>2388</v>
      </c>
      <c r="B460" s="35" t="s">
        <v>2388</v>
      </c>
      <c r="C460" s="35" t="s">
        <v>2389</v>
      </c>
      <c r="D460" s="8">
        <f>COUNTIF(Table4[کد سیستم],Table2[[#This Row],[کد سیستم]])</f>
        <v>1</v>
      </c>
    </row>
    <row r="461" spans="1:4" hidden="1" x14ac:dyDescent="0.25">
      <c r="A461" s="35" t="s">
        <v>2390</v>
      </c>
      <c r="B461" s="35" t="s">
        <v>2390</v>
      </c>
      <c r="C461" s="35" t="s">
        <v>2391</v>
      </c>
      <c r="D461" s="8">
        <f>COUNTIF(Table4[کد سیستم],Table2[[#This Row],[کد سیستم]])</f>
        <v>1</v>
      </c>
    </row>
    <row r="462" spans="1:4" hidden="1" x14ac:dyDescent="0.25">
      <c r="A462" s="35" t="s">
        <v>2392</v>
      </c>
      <c r="B462" s="35" t="s">
        <v>2392</v>
      </c>
      <c r="C462" s="35" t="s">
        <v>2393</v>
      </c>
      <c r="D462" s="8">
        <f>COUNTIF(Table4[کد سیستم],Table2[[#This Row],[کد سیستم]])</f>
        <v>1</v>
      </c>
    </row>
    <row r="463" spans="1:4" hidden="1" x14ac:dyDescent="0.25">
      <c r="A463" s="35" t="s">
        <v>2394</v>
      </c>
      <c r="B463" s="35" t="s">
        <v>2394</v>
      </c>
      <c r="C463" s="35" t="s">
        <v>2395</v>
      </c>
      <c r="D463" s="8">
        <f>COUNTIF(Table4[کد سیستم],Table2[[#This Row],[کد سیستم]])</f>
        <v>1</v>
      </c>
    </row>
    <row r="464" spans="1:4" hidden="1" x14ac:dyDescent="0.25">
      <c r="A464" s="35" t="s">
        <v>2396</v>
      </c>
      <c r="B464" s="35" t="s">
        <v>2396</v>
      </c>
      <c r="C464" s="35" t="s">
        <v>2397</v>
      </c>
      <c r="D464" s="8">
        <f>COUNTIF(Table4[کد سیستم],Table2[[#This Row],[کد سیستم]])</f>
        <v>1</v>
      </c>
    </row>
    <row r="465" spans="1:4" hidden="1" x14ac:dyDescent="0.25">
      <c r="A465" s="35" t="s">
        <v>2398</v>
      </c>
      <c r="B465" s="35" t="s">
        <v>2398</v>
      </c>
      <c r="C465" s="35" t="s">
        <v>2399</v>
      </c>
      <c r="D465" s="8">
        <f>COUNTIF(Table4[کد سیستم],Table2[[#This Row],[کد سیستم]])</f>
        <v>1</v>
      </c>
    </row>
    <row r="466" spans="1:4" hidden="1" x14ac:dyDescent="0.25">
      <c r="A466" s="35" t="s">
        <v>2400</v>
      </c>
      <c r="B466" s="35" t="s">
        <v>2400</v>
      </c>
      <c r="C466" s="35" t="s">
        <v>2401</v>
      </c>
      <c r="D466" s="8">
        <f>COUNTIF(Table4[کد سیستم],Table2[[#This Row],[کد سیستم]])</f>
        <v>1</v>
      </c>
    </row>
    <row r="467" spans="1:4" hidden="1" x14ac:dyDescent="0.25">
      <c r="A467" s="35" t="s">
        <v>2402</v>
      </c>
      <c r="B467" s="35" t="s">
        <v>2402</v>
      </c>
      <c r="C467" s="35" t="s">
        <v>2403</v>
      </c>
      <c r="D467" s="8">
        <f>COUNTIF(Table4[کد سیستم],Table2[[#This Row],[کد سیستم]])</f>
        <v>1</v>
      </c>
    </row>
    <row r="468" spans="1:4" hidden="1" x14ac:dyDescent="0.25">
      <c r="A468" s="35" t="s">
        <v>2404</v>
      </c>
      <c r="B468" s="35" t="s">
        <v>2404</v>
      </c>
      <c r="C468" s="35" t="s">
        <v>2405</v>
      </c>
      <c r="D468" s="8">
        <f>COUNTIF(Table4[کد سیستم],Table2[[#This Row],[کد سیستم]])</f>
        <v>1</v>
      </c>
    </row>
    <row r="469" spans="1:4" hidden="1" x14ac:dyDescent="0.25">
      <c r="A469" s="35" t="s">
        <v>2406</v>
      </c>
      <c r="B469" s="35" t="s">
        <v>2406</v>
      </c>
      <c r="C469" s="35" t="s">
        <v>2407</v>
      </c>
      <c r="D469" s="8">
        <f>COUNTIF(Table4[کد سیستم],Table2[[#This Row],[کد سیستم]])</f>
        <v>1</v>
      </c>
    </row>
    <row r="470" spans="1:4" hidden="1" x14ac:dyDescent="0.25">
      <c r="A470" s="35" t="s">
        <v>2408</v>
      </c>
      <c r="B470" s="35" t="s">
        <v>2408</v>
      </c>
      <c r="C470" s="35" t="s">
        <v>2409</v>
      </c>
      <c r="D470" s="8">
        <f>COUNTIF(Table4[کد سیستم],Table2[[#This Row],[کد سیستم]])</f>
        <v>1</v>
      </c>
    </row>
    <row r="471" spans="1:4" hidden="1" x14ac:dyDescent="0.25">
      <c r="A471" s="35" t="s">
        <v>2410</v>
      </c>
      <c r="B471" s="35" t="s">
        <v>2410</v>
      </c>
      <c r="C471" s="35" t="s">
        <v>2411</v>
      </c>
      <c r="D471" s="8">
        <f>COUNTIF(Table4[کد سیستم],Table2[[#This Row],[کد سیستم]])</f>
        <v>1</v>
      </c>
    </row>
    <row r="472" spans="1:4" hidden="1" x14ac:dyDescent="0.25">
      <c r="A472" s="35" t="s">
        <v>2412</v>
      </c>
      <c r="B472" s="35" t="s">
        <v>2412</v>
      </c>
      <c r="C472" s="35" t="s">
        <v>2413</v>
      </c>
      <c r="D472" s="8">
        <f>COUNTIF(Table4[کد سیستم],Table2[[#This Row],[کد سیستم]])</f>
        <v>1</v>
      </c>
    </row>
    <row r="473" spans="1:4" hidden="1" x14ac:dyDescent="0.25">
      <c r="A473" s="35" t="s">
        <v>2414</v>
      </c>
      <c r="B473" s="35" t="s">
        <v>2414</v>
      </c>
      <c r="C473" s="35" t="s">
        <v>2415</v>
      </c>
      <c r="D473" s="8">
        <f>COUNTIF(Table4[کد سیستم],Table2[[#This Row],[کد سیستم]])</f>
        <v>1</v>
      </c>
    </row>
    <row r="474" spans="1:4" hidden="1" x14ac:dyDescent="0.25">
      <c r="A474" s="35" t="s">
        <v>2416</v>
      </c>
      <c r="B474" s="35" t="s">
        <v>2416</v>
      </c>
      <c r="C474" s="35" t="s">
        <v>2417</v>
      </c>
      <c r="D474" s="8">
        <f>COUNTIF(Table4[کد سیستم],Table2[[#This Row],[کد سیستم]])</f>
        <v>1</v>
      </c>
    </row>
    <row r="475" spans="1:4" hidden="1" x14ac:dyDescent="0.25">
      <c r="A475" s="35" t="s">
        <v>2418</v>
      </c>
      <c r="B475" s="35" t="s">
        <v>2418</v>
      </c>
      <c r="C475" s="35" t="s">
        <v>2419</v>
      </c>
      <c r="D475" s="8">
        <f>COUNTIF(Table4[کد سیستم],Table2[[#This Row],[کد سیستم]])</f>
        <v>1</v>
      </c>
    </row>
    <row r="476" spans="1:4" hidden="1" x14ac:dyDescent="0.25">
      <c r="A476" s="35" t="s">
        <v>2420</v>
      </c>
      <c r="B476" s="35" t="s">
        <v>2420</v>
      </c>
      <c r="C476" s="35" t="s">
        <v>2421</v>
      </c>
      <c r="D476" s="8">
        <f>COUNTIF(Table4[کد سیستم],Table2[[#This Row],[کد سیستم]])</f>
        <v>1</v>
      </c>
    </row>
    <row r="477" spans="1:4" hidden="1" x14ac:dyDescent="0.25">
      <c r="A477" s="35" t="s">
        <v>2422</v>
      </c>
      <c r="B477" s="35" t="s">
        <v>2422</v>
      </c>
      <c r="C477" s="35" t="s">
        <v>2423</v>
      </c>
      <c r="D477" s="8">
        <f>COUNTIF(Table4[کد سیستم],Table2[[#This Row],[کد سیستم]])</f>
        <v>1</v>
      </c>
    </row>
    <row r="478" spans="1:4" hidden="1" x14ac:dyDescent="0.25">
      <c r="A478" s="35" t="s">
        <v>2424</v>
      </c>
      <c r="B478" s="35" t="s">
        <v>2424</v>
      </c>
      <c r="C478" s="35" t="s">
        <v>2425</v>
      </c>
      <c r="D478" s="8">
        <f>COUNTIF(Table4[کد سیستم],Table2[[#This Row],[کد سیستم]])</f>
        <v>1</v>
      </c>
    </row>
    <row r="479" spans="1:4" hidden="1" x14ac:dyDescent="0.25">
      <c r="A479" s="35" t="s">
        <v>2426</v>
      </c>
      <c r="B479" s="35" t="s">
        <v>2426</v>
      </c>
      <c r="C479" s="35" t="s">
        <v>2427</v>
      </c>
      <c r="D479" s="8">
        <f>COUNTIF(Table4[کد سیستم],Table2[[#This Row],[کد سیستم]])</f>
        <v>1</v>
      </c>
    </row>
    <row r="480" spans="1:4" hidden="1" x14ac:dyDescent="0.25">
      <c r="A480" s="35" t="s">
        <v>2428</v>
      </c>
      <c r="B480" s="35" t="s">
        <v>2428</v>
      </c>
      <c r="C480" s="35" t="s">
        <v>2429</v>
      </c>
      <c r="D480" s="8">
        <f>COUNTIF(Table4[کد سیستم],Table2[[#This Row],[کد سیستم]])</f>
        <v>1</v>
      </c>
    </row>
    <row r="481" spans="1:4" hidden="1" x14ac:dyDescent="0.25">
      <c r="A481" s="35" t="s">
        <v>2430</v>
      </c>
      <c r="B481" s="35" t="s">
        <v>2430</v>
      </c>
      <c r="C481" s="35" t="s">
        <v>2431</v>
      </c>
      <c r="D481" s="8">
        <f>COUNTIF(Table4[کد سیستم],Table2[[#This Row],[کد سیستم]])</f>
        <v>1</v>
      </c>
    </row>
    <row r="482" spans="1:4" hidden="1" x14ac:dyDescent="0.25">
      <c r="A482" s="35" t="s">
        <v>2432</v>
      </c>
      <c r="B482" s="35" t="s">
        <v>2432</v>
      </c>
      <c r="C482" s="35" t="s">
        <v>2433</v>
      </c>
      <c r="D482" s="8">
        <f>COUNTIF(Table4[کد سیستم],Table2[[#This Row],[کد سیستم]])</f>
        <v>1</v>
      </c>
    </row>
    <row r="483" spans="1:4" hidden="1" x14ac:dyDescent="0.25">
      <c r="A483" s="35" t="s">
        <v>2434</v>
      </c>
      <c r="B483" s="35" t="s">
        <v>2434</v>
      </c>
      <c r="C483" s="35" t="s">
        <v>2435</v>
      </c>
      <c r="D483" s="8">
        <f>COUNTIF(Table4[کد سیستم],Table2[[#This Row],[کد سیستم]])</f>
        <v>1</v>
      </c>
    </row>
    <row r="484" spans="1:4" hidden="1" x14ac:dyDescent="0.25">
      <c r="A484" s="35" t="s">
        <v>2436</v>
      </c>
      <c r="B484" s="35" t="s">
        <v>2436</v>
      </c>
      <c r="C484" s="35" t="s">
        <v>2437</v>
      </c>
      <c r="D484" s="8">
        <f>COUNTIF(Table4[کد سیستم],Table2[[#This Row],[کد سیستم]])</f>
        <v>1</v>
      </c>
    </row>
    <row r="485" spans="1:4" hidden="1" x14ac:dyDescent="0.25">
      <c r="A485" s="35" t="s">
        <v>2438</v>
      </c>
      <c r="B485" s="35" t="s">
        <v>2438</v>
      </c>
      <c r="C485" s="35" t="s">
        <v>2439</v>
      </c>
      <c r="D485" s="8">
        <f>COUNTIF(Table4[کد سیستم],Table2[[#This Row],[کد سیستم]])</f>
        <v>1</v>
      </c>
    </row>
    <row r="486" spans="1:4" hidden="1" x14ac:dyDescent="0.25">
      <c r="A486" s="35" t="s">
        <v>2440</v>
      </c>
      <c r="B486" s="35" t="s">
        <v>2440</v>
      </c>
      <c r="C486" s="35" t="s">
        <v>2441</v>
      </c>
      <c r="D486" s="8">
        <f>COUNTIF(Table4[کد سیستم],Table2[[#This Row],[کد سیستم]])</f>
        <v>1</v>
      </c>
    </row>
    <row r="487" spans="1:4" hidden="1" x14ac:dyDescent="0.25">
      <c r="A487" s="35" t="s">
        <v>2442</v>
      </c>
      <c r="B487" s="35" t="s">
        <v>2442</v>
      </c>
      <c r="C487" s="35" t="s">
        <v>2443</v>
      </c>
      <c r="D487" s="8">
        <f>COUNTIF(Table4[کد سیستم],Table2[[#This Row],[کد سیستم]])</f>
        <v>1</v>
      </c>
    </row>
    <row r="488" spans="1:4" hidden="1" x14ac:dyDescent="0.25">
      <c r="A488" s="35" t="s">
        <v>2444</v>
      </c>
      <c r="B488" s="35" t="s">
        <v>2444</v>
      </c>
      <c r="C488" s="35" t="s">
        <v>2445</v>
      </c>
      <c r="D488" s="8">
        <f>COUNTIF(Table4[کد سیستم],Table2[[#This Row],[کد سیستم]])</f>
        <v>1</v>
      </c>
    </row>
    <row r="489" spans="1:4" hidden="1" x14ac:dyDescent="0.25">
      <c r="A489" s="35" t="s">
        <v>2446</v>
      </c>
      <c r="B489" s="35" t="s">
        <v>2446</v>
      </c>
      <c r="C489" s="35" t="s">
        <v>2447</v>
      </c>
      <c r="D489" s="8">
        <f>COUNTIF(Table4[کد سیستم],Table2[[#This Row],[کد سیستم]])</f>
        <v>1</v>
      </c>
    </row>
    <row r="490" spans="1:4" hidden="1" x14ac:dyDescent="0.25">
      <c r="A490" s="35" t="s">
        <v>2448</v>
      </c>
      <c r="B490" s="35" t="s">
        <v>2448</v>
      </c>
      <c r="C490" s="35" t="s">
        <v>2449</v>
      </c>
      <c r="D490" s="8">
        <f>COUNTIF(Table4[کد سیستم],Table2[[#This Row],[کد سیستم]])</f>
        <v>1</v>
      </c>
    </row>
    <row r="491" spans="1:4" hidden="1" x14ac:dyDescent="0.25">
      <c r="A491" s="35" t="s">
        <v>2450</v>
      </c>
      <c r="B491" s="35" t="s">
        <v>2450</v>
      </c>
      <c r="C491" s="35" t="s">
        <v>2451</v>
      </c>
      <c r="D491" s="8">
        <f>COUNTIF(Table4[کد سیستم],Table2[[#This Row],[کد سیستم]])</f>
        <v>1</v>
      </c>
    </row>
    <row r="492" spans="1:4" hidden="1" x14ac:dyDescent="0.25">
      <c r="A492" s="35" t="s">
        <v>2452</v>
      </c>
      <c r="B492" s="35" t="s">
        <v>2452</v>
      </c>
      <c r="C492" s="35" t="s">
        <v>2453</v>
      </c>
      <c r="D492" s="8">
        <f>COUNTIF(Table4[کد سیستم],Table2[[#This Row],[کد سیستم]])</f>
        <v>1</v>
      </c>
    </row>
    <row r="493" spans="1:4" hidden="1" x14ac:dyDescent="0.25">
      <c r="A493" s="35" t="s">
        <v>2454</v>
      </c>
      <c r="B493" s="35" t="s">
        <v>2454</v>
      </c>
      <c r="C493" s="35" t="s">
        <v>2455</v>
      </c>
      <c r="D493" s="8">
        <f>COUNTIF(Table4[کد سیستم],Table2[[#This Row],[کد سیستم]])</f>
        <v>1</v>
      </c>
    </row>
    <row r="494" spans="1:4" hidden="1" x14ac:dyDescent="0.25">
      <c r="A494" s="35" t="s">
        <v>2456</v>
      </c>
      <c r="B494" s="35" t="s">
        <v>2456</v>
      </c>
      <c r="C494" s="35" t="s">
        <v>2457</v>
      </c>
      <c r="D494" s="8">
        <f>COUNTIF(Table4[کد سیستم],Table2[[#This Row],[کد سیستم]])</f>
        <v>1</v>
      </c>
    </row>
    <row r="495" spans="1:4" hidden="1" x14ac:dyDescent="0.25">
      <c r="A495" s="35" t="s">
        <v>2458</v>
      </c>
      <c r="B495" s="35" t="s">
        <v>2458</v>
      </c>
      <c r="C495" s="35" t="s">
        <v>2459</v>
      </c>
      <c r="D495" s="8">
        <f>COUNTIF(Table4[کد سیستم],Table2[[#This Row],[کد سیستم]])</f>
        <v>1</v>
      </c>
    </row>
    <row r="496" spans="1:4" hidden="1" x14ac:dyDescent="0.25">
      <c r="A496" s="35" t="s">
        <v>2460</v>
      </c>
      <c r="B496" s="35" t="s">
        <v>2460</v>
      </c>
      <c r="C496" s="35" t="s">
        <v>2461</v>
      </c>
      <c r="D496" s="8">
        <f>COUNTIF(Table4[کد سیستم],Table2[[#This Row],[کد سیستم]])</f>
        <v>1</v>
      </c>
    </row>
    <row r="497" spans="1:4" hidden="1" x14ac:dyDescent="0.25">
      <c r="A497" s="35" t="s">
        <v>2462</v>
      </c>
      <c r="B497" s="35" t="s">
        <v>2462</v>
      </c>
      <c r="C497" s="35" t="s">
        <v>2463</v>
      </c>
      <c r="D497" s="8">
        <f>COUNTIF(Table4[کد سیستم],Table2[[#This Row],[کد سیستم]])</f>
        <v>1</v>
      </c>
    </row>
    <row r="498" spans="1:4" hidden="1" x14ac:dyDescent="0.25">
      <c r="A498" s="35" t="s">
        <v>2464</v>
      </c>
      <c r="B498" s="35" t="s">
        <v>2464</v>
      </c>
      <c r="C498" s="35" t="s">
        <v>2465</v>
      </c>
      <c r="D498" s="8">
        <f>COUNTIF(Table4[کد سیستم],Table2[[#This Row],[کد سیستم]])</f>
        <v>1</v>
      </c>
    </row>
    <row r="499" spans="1:4" hidden="1" x14ac:dyDescent="0.25">
      <c r="A499" s="35" t="s">
        <v>2466</v>
      </c>
      <c r="B499" s="35" t="s">
        <v>2466</v>
      </c>
      <c r="C499" s="35" t="s">
        <v>2467</v>
      </c>
      <c r="D499" s="8">
        <f>COUNTIF(Table4[کد سیستم],Table2[[#This Row],[کد سیستم]])</f>
        <v>1</v>
      </c>
    </row>
    <row r="500" spans="1:4" hidden="1" x14ac:dyDescent="0.25">
      <c r="A500" s="35" t="s">
        <v>2468</v>
      </c>
      <c r="B500" s="35" t="s">
        <v>2468</v>
      </c>
      <c r="C500" s="35" t="s">
        <v>2469</v>
      </c>
      <c r="D500" s="8">
        <f>COUNTIF(Table4[کد سیستم],Table2[[#This Row],[کد سیستم]])</f>
        <v>1</v>
      </c>
    </row>
    <row r="501" spans="1:4" hidden="1" x14ac:dyDescent="0.25">
      <c r="A501" s="35" t="s">
        <v>2470</v>
      </c>
      <c r="B501" s="35" t="s">
        <v>2470</v>
      </c>
      <c r="C501" s="35" t="s">
        <v>2471</v>
      </c>
      <c r="D501" s="8">
        <f>COUNTIF(Table4[کد سیستم],Table2[[#This Row],[کد سیستم]])</f>
        <v>1</v>
      </c>
    </row>
    <row r="502" spans="1:4" hidden="1" x14ac:dyDescent="0.25">
      <c r="A502" s="35" t="s">
        <v>2472</v>
      </c>
      <c r="B502" s="35" t="s">
        <v>2472</v>
      </c>
      <c r="C502" s="35" t="s">
        <v>2473</v>
      </c>
      <c r="D502" s="8">
        <f>COUNTIF(Table4[کد سیستم],Table2[[#This Row],[کد سیستم]])</f>
        <v>1</v>
      </c>
    </row>
    <row r="503" spans="1:4" hidden="1" x14ac:dyDescent="0.25">
      <c r="A503" s="35" t="s">
        <v>2474</v>
      </c>
      <c r="B503" s="35" t="s">
        <v>2474</v>
      </c>
      <c r="C503" s="35" t="s">
        <v>2475</v>
      </c>
      <c r="D503" s="8">
        <f>COUNTIF(Table4[کد سیستم],Table2[[#This Row],[کد سیستم]])</f>
        <v>1</v>
      </c>
    </row>
    <row r="504" spans="1:4" hidden="1" x14ac:dyDescent="0.25">
      <c r="A504" s="35" t="s">
        <v>2476</v>
      </c>
      <c r="B504" s="35" t="s">
        <v>2476</v>
      </c>
      <c r="C504" s="35" t="s">
        <v>2477</v>
      </c>
      <c r="D504" s="8">
        <f>COUNTIF(Table4[کد سیستم],Table2[[#This Row],[کد سیستم]])</f>
        <v>1</v>
      </c>
    </row>
    <row r="505" spans="1:4" x14ac:dyDescent="0.25">
      <c r="A505" s="35" t="s">
        <v>2478</v>
      </c>
      <c r="B505" s="35" t="s">
        <v>3916</v>
      </c>
      <c r="C505" s="35" t="s">
        <v>2479</v>
      </c>
      <c r="D505" s="8">
        <f>COUNTIF(Table4[کد سیستم],Table2[[#This Row],[کد سیستم]])</f>
        <v>1</v>
      </c>
    </row>
    <row r="506" spans="1:4" x14ac:dyDescent="0.25">
      <c r="A506" s="35" t="s">
        <v>2480</v>
      </c>
      <c r="B506" s="35" t="s">
        <v>3917</v>
      </c>
      <c r="C506" s="35" t="s">
        <v>2481</v>
      </c>
      <c r="D506" s="8">
        <f>COUNTIF(Table4[کد سیستم],Table2[[#This Row],[کد سیستم]])</f>
        <v>1</v>
      </c>
    </row>
    <row r="507" spans="1:4" hidden="1" x14ac:dyDescent="0.25">
      <c r="A507" s="35" t="s">
        <v>2482</v>
      </c>
      <c r="B507" s="35" t="s">
        <v>3918</v>
      </c>
      <c r="C507" s="35" t="s">
        <v>2483</v>
      </c>
      <c r="D507" s="8">
        <f>COUNTIF(Table4[کد سیستم],Table2[[#This Row],[کد سیستم]])</f>
        <v>1</v>
      </c>
    </row>
    <row r="508" spans="1:4" hidden="1" x14ac:dyDescent="0.25">
      <c r="A508" s="35" t="s">
        <v>2484</v>
      </c>
      <c r="B508" s="35" t="s">
        <v>2484</v>
      </c>
      <c r="C508" s="35" t="s">
        <v>2485</v>
      </c>
      <c r="D508" s="8">
        <f>COUNTIF(Table4[کد سیستم],Table2[[#This Row],[کد سیستم]])</f>
        <v>1</v>
      </c>
    </row>
    <row r="509" spans="1:4" hidden="1" x14ac:dyDescent="0.25">
      <c r="A509" s="35" t="s">
        <v>2486</v>
      </c>
      <c r="B509" s="35" t="s">
        <v>2486</v>
      </c>
      <c r="C509" s="35" t="s">
        <v>2487</v>
      </c>
      <c r="D509" s="8">
        <f>COUNTIF(Table4[کد سیستم],Table2[[#This Row],[کد سیستم]])</f>
        <v>1</v>
      </c>
    </row>
    <row r="510" spans="1:4" hidden="1" x14ac:dyDescent="0.25">
      <c r="A510" s="35" t="s">
        <v>2488</v>
      </c>
      <c r="B510" s="35" t="s">
        <v>2488</v>
      </c>
      <c r="C510" s="35" t="s">
        <v>2489</v>
      </c>
      <c r="D510" s="8">
        <f>COUNTIF(Table4[کد سیستم],Table2[[#This Row],[کد سیستم]])</f>
        <v>1</v>
      </c>
    </row>
    <row r="511" spans="1:4" hidden="1" x14ac:dyDescent="0.25">
      <c r="A511" s="35" t="s">
        <v>2490</v>
      </c>
      <c r="B511" s="35" t="s">
        <v>2490</v>
      </c>
      <c r="C511" s="35" t="s">
        <v>2491</v>
      </c>
      <c r="D511" s="8">
        <f>COUNTIF(Table4[کد سیستم],Table2[[#This Row],[کد سیستم]])</f>
        <v>1</v>
      </c>
    </row>
    <row r="512" spans="1:4" hidden="1" x14ac:dyDescent="0.25">
      <c r="A512" s="35" t="s">
        <v>2492</v>
      </c>
      <c r="B512" s="35" t="s">
        <v>2492</v>
      </c>
      <c r="C512" s="35" t="s">
        <v>2493</v>
      </c>
      <c r="D512" s="8">
        <f>COUNTIF(Table4[کد سیستم],Table2[[#This Row],[کد سیستم]])</f>
        <v>1</v>
      </c>
    </row>
    <row r="513" spans="1:4" hidden="1" x14ac:dyDescent="0.25">
      <c r="A513" s="35" t="s">
        <v>2494</v>
      </c>
      <c r="B513" s="35" t="s">
        <v>2494</v>
      </c>
      <c r="C513" s="35" t="s">
        <v>2495</v>
      </c>
      <c r="D513" s="8">
        <f>COUNTIF(Table4[کد سیستم],Table2[[#This Row],[کد سیستم]])</f>
        <v>1</v>
      </c>
    </row>
    <row r="514" spans="1:4" hidden="1" x14ac:dyDescent="0.25">
      <c r="A514" s="35" t="s">
        <v>2496</v>
      </c>
      <c r="B514" s="35" t="s">
        <v>2496</v>
      </c>
      <c r="C514" s="35" t="s">
        <v>2497</v>
      </c>
      <c r="D514" s="8">
        <f>COUNTIF(Table4[کد سیستم],Table2[[#This Row],[کد سیستم]])</f>
        <v>1</v>
      </c>
    </row>
    <row r="515" spans="1:4" hidden="1" x14ac:dyDescent="0.25">
      <c r="A515" s="35" t="s">
        <v>2498</v>
      </c>
      <c r="B515" s="35" t="s">
        <v>2498</v>
      </c>
      <c r="C515" s="35" t="s">
        <v>2499</v>
      </c>
      <c r="D515" s="8">
        <f>COUNTIF(Table4[کد سیستم],Table2[[#This Row],[کد سیستم]])</f>
        <v>1</v>
      </c>
    </row>
    <row r="516" spans="1:4" hidden="1" x14ac:dyDescent="0.25">
      <c r="A516" s="35" t="s">
        <v>2500</v>
      </c>
      <c r="B516" s="35" t="s">
        <v>2500</v>
      </c>
      <c r="C516" s="35" t="s">
        <v>2501</v>
      </c>
      <c r="D516" s="8">
        <f>COUNTIF(Table4[کد سیستم],Table2[[#This Row],[کد سیستم]])</f>
        <v>1</v>
      </c>
    </row>
    <row r="517" spans="1:4" hidden="1" x14ac:dyDescent="0.25">
      <c r="A517" s="35" t="s">
        <v>2502</v>
      </c>
      <c r="B517" s="35" t="s">
        <v>2502</v>
      </c>
      <c r="C517" s="35" t="s">
        <v>2503</v>
      </c>
      <c r="D517" s="8">
        <f>COUNTIF(Table4[کد سیستم],Table2[[#This Row],[کد سیستم]])</f>
        <v>1</v>
      </c>
    </row>
    <row r="518" spans="1:4" hidden="1" x14ac:dyDescent="0.25">
      <c r="A518" s="35" t="s">
        <v>2504</v>
      </c>
      <c r="B518" s="35" t="s">
        <v>2504</v>
      </c>
      <c r="C518" s="35" t="s">
        <v>2505</v>
      </c>
      <c r="D518" s="8">
        <f>COUNTIF(Table4[کد سیستم],Table2[[#This Row],[کد سیستم]])</f>
        <v>1</v>
      </c>
    </row>
    <row r="519" spans="1:4" hidden="1" x14ac:dyDescent="0.25">
      <c r="A519" s="35" t="s">
        <v>2506</v>
      </c>
      <c r="B519" s="35" t="s">
        <v>2506</v>
      </c>
      <c r="C519" s="35" t="s">
        <v>2507</v>
      </c>
      <c r="D519" s="8">
        <f>COUNTIF(Table4[کد سیستم],Table2[[#This Row],[کد سیستم]])</f>
        <v>1</v>
      </c>
    </row>
    <row r="520" spans="1:4" hidden="1" x14ac:dyDescent="0.25">
      <c r="A520" s="35" t="s">
        <v>2508</v>
      </c>
      <c r="B520" s="35" t="s">
        <v>2508</v>
      </c>
      <c r="C520" s="35" t="s">
        <v>2509</v>
      </c>
      <c r="D520" s="8">
        <f>COUNTIF(Table4[کد سیستم],Table2[[#This Row],[کد سیستم]])</f>
        <v>1</v>
      </c>
    </row>
    <row r="521" spans="1:4" hidden="1" x14ac:dyDescent="0.25">
      <c r="A521" s="35" t="s">
        <v>2510</v>
      </c>
      <c r="B521" s="35" t="s">
        <v>2510</v>
      </c>
      <c r="C521" s="35" t="s">
        <v>2511</v>
      </c>
      <c r="D521" s="8">
        <f>COUNTIF(Table4[کد سیستم],Table2[[#This Row],[کد سیستم]])</f>
        <v>1</v>
      </c>
    </row>
    <row r="522" spans="1:4" hidden="1" x14ac:dyDescent="0.25">
      <c r="A522" s="35" t="s">
        <v>2512</v>
      </c>
      <c r="B522" s="35" t="s">
        <v>2512</v>
      </c>
      <c r="C522" s="35" t="s">
        <v>2513</v>
      </c>
      <c r="D522" s="8">
        <f>COUNTIF(Table4[کد سیستم],Table2[[#This Row],[کد سیستم]])</f>
        <v>1</v>
      </c>
    </row>
    <row r="523" spans="1:4" hidden="1" x14ac:dyDescent="0.25">
      <c r="A523" s="35" t="s">
        <v>2514</v>
      </c>
      <c r="B523" s="35" t="s">
        <v>2514</v>
      </c>
      <c r="C523" s="35" t="s">
        <v>2515</v>
      </c>
      <c r="D523" s="8">
        <f>COUNTIF(Table4[کد سیستم],Table2[[#This Row],[کد سیستم]])</f>
        <v>1</v>
      </c>
    </row>
    <row r="524" spans="1:4" hidden="1" x14ac:dyDescent="0.25">
      <c r="A524" s="35" t="s">
        <v>2516</v>
      </c>
      <c r="B524" s="35" t="s">
        <v>2516</v>
      </c>
      <c r="C524" s="35" t="s">
        <v>2517</v>
      </c>
      <c r="D524" s="8">
        <f>COUNTIF(Table4[کد سیستم],Table2[[#This Row],[کد سیستم]])</f>
        <v>1</v>
      </c>
    </row>
    <row r="525" spans="1:4" hidden="1" x14ac:dyDescent="0.25">
      <c r="A525" s="35" t="s">
        <v>2518</v>
      </c>
      <c r="B525" s="35" t="s">
        <v>2518</v>
      </c>
      <c r="C525" s="35" t="s">
        <v>2519</v>
      </c>
      <c r="D525" s="8">
        <f>COUNTIF(Table4[کد سیستم],Table2[[#This Row],[کد سیستم]])</f>
        <v>1</v>
      </c>
    </row>
    <row r="526" spans="1:4" hidden="1" x14ac:dyDescent="0.25">
      <c r="A526" s="35" t="s">
        <v>2520</v>
      </c>
      <c r="B526" s="35" t="s">
        <v>2520</v>
      </c>
      <c r="C526" s="35" t="s">
        <v>2521</v>
      </c>
      <c r="D526" s="8">
        <f>COUNTIF(Table4[کد سیستم],Table2[[#This Row],[کد سیستم]])</f>
        <v>1</v>
      </c>
    </row>
    <row r="527" spans="1:4" hidden="1" x14ac:dyDescent="0.25">
      <c r="A527" s="35" t="s">
        <v>2522</v>
      </c>
      <c r="B527" s="35" t="s">
        <v>2522</v>
      </c>
      <c r="C527" s="35" t="s">
        <v>2523</v>
      </c>
      <c r="D527" s="8">
        <f>COUNTIF(Table4[کد سیستم],Table2[[#This Row],[کد سیستم]])</f>
        <v>1</v>
      </c>
    </row>
    <row r="528" spans="1:4" hidden="1" x14ac:dyDescent="0.25">
      <c r="A528" s="35" t="s">
        <v>2524</v>
      </c>
      <c r="B528" s="35" t="s">
        <v>2524</v>
      </c>
      <c r="C528" s="35" t="s">
        <v>2525</v>
      </c>
      <c r="D528" s="8">
        <f>COUNTIF(Table4[کد سیستم],Table2[[#This Row],[کد سیستم]])</f>
        <v>1</v>
      </c>
    </row>
    <row r="529" spans="1:4" hidden="1" x14ac:dyDescent="0.25">
      <c r="A529" s="35" t="s">
        <v>2526</v>
      </c>
      <c r="B529" s="35" t="s">
        <v>2526</v>
      </c>
      <c r="C529" s="35" t="s">
        <v>2527</v>
      </c>
      <c r="D529" s="8">
        <f>COUNTIF(Table4[کد سیستم],Table2[[#This Row],[کد سیستم]])</f>
        <v>1</v>
      </c>
    </row>
    <row r="530" spans="1:4" hidden="1" x14ac:dyDescent="0.25">
      <c r="A530" s="35" t="s">
        <v>2528</v>
      </c>
      <c r="B530" s="35" t="s">
        <v>2528</v>
      </c>
      <c r="C530" s="35" t="s">
        <v>2529</v>
      </c>
      <c r="D530" s="8">
        <f>COUNTIF(Table4[کد سیستم],Table2[[#This Row],[کد سیستم]])</f>
        <v>1</v>
      </c>
    </row>
    <row r="531" spans="1:4" hidden="1" x14ac:dyDescent="0.25">
      <c r="A531" s="35" t="s">
        <v>2530</v>
      </c>
      <c r="B531" s="35" t="s">
        <v>3919</v>
      </c>
      <c r="C531" s="35" t="s">
        <v>2531</v>
      </c>
      <c r="D531" s="8">
        <f>COUNTIF(Table4[کد سیستم],Table2[[#This Row],[کد سیستم]])</f>
        <v>1</v>
      </c>
    </row>
    <row r="532" spans="1:4" x14ac:dyDescent="0.25">
      <c r="A532" s="35" t="s">
        <v>2532</v>
      </c>
      <c r="B532" s="35" t="s">
        <v>3920</v>
      </c>
      <c r="C532" s="35" t="s">
        <v>2533</v>
      </c>
      <c r="D532" s="8">
        <f>COUNTIF(Table4[کد سیستم],Table2[[#This Row],[کد سیستم]])</f>
        <v>1</v>
      </c>
    </row>
    <row r="533" spans="1:4" hidden="1" x14ac:dyDescent="0.25">
      <c r="A533" s="35" t="s">
        <v>2534</v>
      </c>
      <c r="B533" s="35" t="s">
        <v>3921</v>
      </c>
      <c r="C533" s="35" t="s">
        <v>2535</v>
      </c>
      <c r="D533" s="8">
        <f>COUNTIF(Table4[کد سیستم],Table2[[#This Row],[کد سیستم]])</f>
        <v>1</v>
      </c>
    </row>
    <row r="534" spans="1:4" x14ac:dyDescent="0.25">
      <c r="A534" s="35" t="s">
        <v>3922</v>
      </c>
      <c r="B534" s="35" t="s">
        <v>3922</v>
      </c>
      <c r="C534" s="35" t="s">
        <v>3923</v>
      </c>
      <c r="D534" s="8">
        <f>COUNTIF(Table4[کد سیستم],Table2[[#This Row],[کد سیستم]])</f>
        <v>1</v>
      </c>
    </row>
    <row r="535" spans="1:4" hidden="1" x14ac:dyDescent="0.25">
      <c r="A535" s="35" t="s">
        <v>2536</v>
      </c>
      <c r="B535" s="35" t="s">
        <v>2536</v>
      </c>
      <c r="C535" s="35" t="s">
        <v>2537</v>
      </c>
      <c r="D535" s="8">
        <f>COUNTIF(Table4[کد سیستم],Table2[[#This Row],[کد سیستم]])</f>
        <v>1</v>
      </c>
    </row>
    <row r="536" spans="1:4" hidden="1" x14ac:dyDescent="0.25">
      <c r="A536" s="35" t="s">
        <v>2538</v>
      </c>
      <c r="B536" s="35" t="s">
        <v>3924</v>
      </c>
      <c r="C536" s="35" t="s">
        <v>2539</v>
      </c>
      <c r="D536" s="8">
        <f>COUNTIF(Table4[کد سیستم],Table2[[#This Row],[کد سیستم]])</f>
        <v>1</v>
      </c>
    </row>
    <row r="537" spans="1:4" x14ac:dyDescent="0.25">
      <c r="A537" s="35" t="s">
        <v>2540</v>
      </c>
      <c r="B537" s="35" t="s">
        <v>3925</v>
      </c>
      <c r="C537" s="35" t="s">
        <v>2541</v>
      </c>
      <c r="D537" s="8">
        <f>COUNTIF(Table4[کد سیستم],Table2[[#This Row],[کد سیستم]])</f>
        <v>1</v>
      </c>
    </row>
    <row r="538" spans="1:4" hidden="1" x14ac:dyDescent="0.25">
      <c r="A538" s="35" t="s">
        <v>2542</v>
      </c>
      <c r="B538" s="35" t="s">
        <v>3926</v>
      </c>
      <c r="C538" s="35" t="s">
        <v>2543</v>
      </c>
      <c r="D538" s="8">
        <f>COUNTIF(Table4[کد سیستم],Table2[[#This Row],[کد سیستم]])</f>
        <v>1</v>
      </c>
    </row>
    <row r="539" spans="1:4" hidden="1" x14ac:dyDescent="0.25">
      <c r="A539" s="35" t="s">
        <v>2544</v>
      </c>
      <c r="B539" s="35" t="s">
        <v>2544</v>
      </c>
      <c r="C539" s="35" t="s">
        <v>2545</v>
      </c>
      <c r="D539" s="8">
        <f>COUNTIF(Table4[کد سیستم],Table2[[#This Row],[کد سیستم]])</f>
        <v>1</v>
      </c>
    </row>
    <row r="540" spans="1:4" hidden="1" x14ac:dyDescent="0.25">
      <c r="A540" s="35" t="s">
        <v>2546</v>
      </c>
      <c r="B540" s="35" t="s">
        <v>2546</v>
      </c>
      <c r="C540" s="35" t="s">
        <v>2547</v>
      </c>
      <c r="D540" s="8">
        <f>COUNTIF(Table4[کد سیستم],Table2[[#This Row],[کد سیستم]])</f>
        <v>1</v>
      </c>
    </row>
    <row r="541" spans="1:4" hidden="1" x14ac:dyDescent="0.25">
      <c r="A541" s="35" t="s">
        <v>2548</v>
      </c>
      <c r="B541" s="35" t="s">
        <v>2548</v>
      </c>
      <c r="C541" s="35" t="s">
        <v>2549</v>
      </c>
      <c r="D541" s="8">
        <f>COUNTIF(Table4[کد سیستم],Table2[[#This Row],[کد سیستم]])</f>
        <v>1</v>
      </c>
    </row>
    <row r="542" spans="1:4" hidden="1" x14ac:dyDescent="0.25">
      <c r="A542" s="35" t="s">
        <v>2550</v>
      </c>
      <c r="B542" s="35" t="s">
        <v>2550</v>
      </c>
      <c r="C542" s="35" t="s">
        <v>2551</v>
      </c>
      <c r="D542" s="8">
        <f>COUNTIF(Table4[کد سیستم],Table2[[#This Row],[کد سیستم]])</f>
        <v>1</v>
      </c>
    </row>
    <row r="543" spans="1:4" hidden="1" x14ac:dyDescent="0.25">
      <c r="A543" s="35" t="s">
        <v>2552</v>
      </c>
      <c r="B543" s="35" t="s">
        <v>2552</v>
      </c>
      <c r="C543" s="35" t="s">
        <v>2553</v>
      </c>
      <c r="D543" s="8">
        <f>COUNTIF(Table4[کد سیستم],Table2[[#This Row],[کد سیستم]])</f>
        <v>1</v>
      </c>
    </row>
    <row r="544" spans="1:4" hidden="1" x14ac:dyDescent="0.25">
      <c r="A544" s="35" t="s">
        <v>2554</v>
      </c>
      <c r="B544" s="35" t="s">
        <v>2554</v>
      </c>
      <c r="C544" s="35" t="s">
        <v>2555</v>
      </c>
      <c r="D544" s="8">
        <f>COUNTIF(Table4[کد سیستم],Table2[[#This Row],[کد سیستم]])</f>
        <v>1</v>
      </c>
    </row>
    <row r="545" spans="1:4" hidden="1" x14ac:dyDescent="0.25">
      <c r="A545" s="35" t="s">
        <v>2556</v>
      </c>
      <c r="B545" s="35" t="s">
        <v>2556</v>
      </c>
      <c r="C545" s="35" t="s">
        <v>2557</v>
      </c>
      <c r="D545" s="8">
        <f>COUNTIF(Table4[کد سیستم],Table2[[#This Row],[کد سیستم]])</f>
        <v>1</v>
      </c>
    </row>
    <row r="546" spans="1:4" hidden="1" x14ac:dyDescent="0.25">
      <c r="A546" s="35" t="s">
        <v>2558</v>
      </c>
      <c r="B546" s="35" t="s">
        <v>3927</v>
      </c>
      <c r="C546" s="35" t="s">
        <v>2559</v>
      </c>
      <c r="D546" s="8">
        <f>COUNTIF(Table4[کد سیستم],Table2[[#This Row],[کد سیستم]])</f>
        <v>1</v>
      </c>
    </row>
    <row r="547" spans="1:4" hidden="1" x14ac:dyDescent="0.25">
      <c r="A547" s="35" t="s">
        <v>2560</v>
      </c>
      <c r="B547" s="35" t="s">
        <v>3928</v>
      </c>
      <c r="C547" s="35" t="s">
        <v>2561</v>
      </c>
      <c r="D547" s="8">
        <f>COUNTIF(Table4[کد سیستم],Table2[[#This Row],[کد سیستم]])</f>
        <v>1</v>
      </c>
    </row>
    <row r="548" spans="1:4" hidden="1" x14ac:dyDescent="0.25">
      <c r="A548" s="35" t="s">
        <v>2562</v>
      </c>
      <c r="B548" s="35" t="s">
        <v>3929</v>
      </c>
      <c r="C548" s="35" t="s">
        <v>2563</v>
      </c>
      <c r="D548" s="8">
        <f>COUNTIF(Table4[کد سیستم],Table2[[#This Row],[کد سیستم]])</f>
        <v>1</v>
      </c>
    </row>
    <row r="549" spans="1:4" hidden="1" x14ac:dyDescent="0.25">
      <c r="A549" s="35" t="s">
        <v>2564</v>
      </c>
      <c r="B549" s="35" t="s">
        <v>2564</v>
      </c>
      <c r="C549" s="35" t="s">
        <v>2565</v>
      </c>
      <c r="D549" s="8">
        <f>COUNTIF(Table4[کد سیستم],Table2[[#This Row],[کد سیستم]])</f>
        <v>1</v>
      </c>
    </row>
    <row r="550" spans="1:4" hidden="1" x14ac:dyDescent="0.25">
      <c r="A550" s="35" t="s">
        <v>2566</v>
      </c>
      <c r="B550" s="35" t="s">
        <v>2566</v>
      </c>
      <c r="C550" s="35" t="s">
        <v>2567</v>
      </c>
      <c r="D550" s="8">
        <f>COUNTIF(Table4[کد سیستم],Table2[[#This Row],[کد سیستم]])</f>
        <v>1</v>
      </c>
    </row>
    <row r="551" spans="1:4" hidden="1" x14ac:dyDescent="0.25">
      <c r="A551" s="35" t="s">
        <v>2568</v>
      </c>
      <c r="B551" s="35" t="s">
        <v>2568</v>
      </c>
      <c r="C551" s="35" t="s">
        <v>2569</v>
      </c>
      <c r="D551" s="8">
        <f>COUNTIF(Table4[کد سیستم],Table2[[#This Row],[کد سیستم]])</f>
        <v>1</v>
      </c>
    </row>
    <row r="552" spans="1:4" hidden="1" x14ac:dyDescent="0.25">
      <c r="A552" s="35" t="s">
        <v>2570</v>
      </c>
      <c r="B552" s="35" t="s">
        <v>2570</v>
      </c>
      <c r="C552" s="35" t="s">
        <v>2571</v>
      </c>
      <c r="D552" s="8">
        <f>COUNTIF(Table4[کد سیستم],Table2[[#This Row],[کد سیستم]])</f>
        <v>1</v>
      </c>
    </row>
    <row r="553" spans="1:4" hidden="1" x14ac:dyDescent="0.25">
      <c r="A553" s="35" t="s">
        <v>2572</v>
      </c>
      <c r="B553" s="35" t="s">
        <v>2572</v>
      </c>
      <c r="C553" s="35" t="s">
        <v>2573</v>
      </c>
      <c r="D553" s="8">
        <f>COUNTIF(Table4[کد سیستم],Table2[[#This Row],[کد سیستم]])</f>
        <v>1</v>
      </c>
    </row>
    <row r="554" spans="1:4" hidden="1" x14ac:dyDescent="0.25">
      <c r="A554" s="35" t="s">
        <v>2574</v>
      </c>
      <c r="B554" s="35" t="s">
        <v>2574</v>
      </c>
      <c r="C554" s="35" t="s">
        <v>2575</v>
      </c>
      <c r="D554" s="8">
        <f>COUNTIF(Table4[کد سیستم],Table2[[#This Row],[کد سیستم]])</f>
        <v>1</v>
      </c>
    </row>
    <row r="555" spans="1:4" hidden="1" x14ac:dyDescent="0.25">
      <c r="A555" s="35" t="s">
        <v>2576</v>
      </c>
      <c r="B555" s="35" t="s">
        <v>3930</v>
      </c>
      <c r="C555" s="35" t="s">
        <v>2577</v>
      </c>
      <c r="D555" s="8">
        <f>COUNTIF(Table4[کد سیستم],Table2[[#This Row],[کد سیستم]])</f>
        <v>1</v>
      </c>
    </row>
    <row r="556" spans="1:4" hidden="1" x14ac:dyDescent="0.25">
      <c r="A556" s="35" t="s">
        <v>2578</v>
      </c>
      <c r="B556" s="35" t="s">
        <v>2578</v>
      </c>
      <c r="C556" s="35" t="s">
        <v>2579</v>
      </c>
      <c r="D556" s="8">
        <f>COUNTIF(Table4[کد سیستم],Table2[[#This Row],[کد سیستم]])</f>
        <v>1</v>
      </c>
    </row>
    <row r="557" spans="1:4" hidden="1" x14ac:dyDescent="0.25">
      <c r="A557" s="35" t="s">
        <v>2580</v>
      </c>
      <c r="B557" s="35" t="s">
        <v>2580</v>
      </c>
      <c r="C557" s="35" t="s">
        <v>2581</v>
      </c>
      <c r="D557" s="8">
        <f>COUNTIF(Table4[کد سیستم],Table2[[#This Row],[کد سیستم]])</f>
        <v>1</v>
      </c>
    </row>
    <row r="558" spans="1:4" hidden="1" x14ac:dyDescent="0.25">
      <c r="A558" s="35" t="s">
        <v>2582</v>
      </c>
      <c r="B558" s="35" t="s">
        <v>2582</v>
      </c>
      <c r="C558" s="35" t="s">
        <v>2583</v>
      </c>
      <c r="D558" s="8">
        <f>COUNTIF(Table4[کد سیستم],Table2[[#This Row],[کد سیستم]])</f>
        <v>1</v>
      </c>
    </row>
    <row r="559" spans="1:4" hidden="1" x14ac:dyDescent="0.25">
      <c r="A559" s="35" t="s">
        <v>2584</v>
      </c>
      <c r="B559" s="35" t="s">
        <v>2584</v>
      </c>
      <c r="C559" s="35" t="s">
        <v>2585</v>
      </c>
      <c r="D559" s="8">
        <f>COUNTIF(Table4[کد سیستم],Table2[[#This Row],[کد سیستم]])</f>
        <v>1</v>
      </c>
    </row>
    <row r="560" spans="1:4" hidden="1" x14ac:dyDescent="0.25">
      <c r="A560" s="35" t="s">
        <v>2586</v>
      </c>
      <c r="B560" s="35" t="s">
        <v>2586</v>
      </c>
      <c r="C560" s="35" t="s">
        <v>2587</v>
      </c>
      <c r="D560" s="8">
        <f>COUNTIF(Table4[کد سیستم],Table2[[#This Row],[کد سیستم]])</f>
        <v>1</v>
      </c>
    </row>
    <row r="561" spans="1:4" hidden="1" x14ac:dyDescent="0.25">
      <c r="A561" s="35" t="s">
        <v>2588</v>
      </c>
      <c r="B561" s="35" t="s">
        <v>2588</v>
      </c>
      <c r="C561" s="35" t="s">
        <v>2589</v>
      </c>
      <c r="D561" s="8">
        <f>COUNTIF(Table4[کد سیستم],Table2[[#This Row],[کد سیستم]])</f>
        <v>1</v>
      </c>
    </row>
    <row r="562" spans="1:4" hidden="1" x14ac:dyDescent="0.25">
      <c r="A562" s="35" t="s">
        <v>2590</v>
      </c>
      <c r="B562" s="35" t="s">
        <v>2590</v>
      </c>
      <c r="C562" s="35" t="s">
        <v>2591</v>
      </c>
      <c r="D562" s="8">
        <f>COUNTIF(Table4[کد سیستم],Table2[[#This Row],[کد سیستم]])</f>
        <v>1</v>
      </c>
    </row>
    <row r="563" spans="1:4" x14ac:dyDescent="0.25">
      <c r="A563" s="35" t="s">
        <v>3931</v>
      </c>
      <c r="B563" s="35" t="s">
        <v>3931</v>
      </c>
      <c r="C563" s="35" t="s">
        <v>3932</v>
      </c>
      <c r="D563" s="8">
        <f>COUNTIF(Table4[کد سیستم],Table2[[#This Row],[کد سیستم]])</f>
        <v>1</v>
      </c>
    </row>
    <row r="564" spans="1:4" x14ac:dyDescent="0.25">
      <c r="A564" s="35" t="s">
        <v>3933</v>
      </c>
      <c r="B564" s="35" t="s">
        <v>3933</v>
      </c>
      <c r="C564" s="35" t="s">
        <v>3934</v>
      </c>
      <c r="D564" s="8">
        <f>COUNTIF(Table4[کد سیستم],Table2[[#This Row],[کد سیستم]])</f>
        <v>1</v>
      </c>
    </row>
    <row r="565" spans="1:4" x14ac:dyDescent="0.25">
      <c r="A565" s="35" t="s">
        <v>3935</v>
      </c>
      <c r="B565" s="35" t="s">
        <v>3935</v>
      </c>
      <c r="C565" s="35" t="s">
        <v>3936</v>
      </c>
      <c r="D565" s="8">
        <f>COUNTIF(Table4[کد سیستم],Table2[[#This Row],[کد سیستم]])</f>
        <v>1</v>
      </c>
    </row>
    <row r="566" spans="1:4" x14ac:dyDescent="0.25">
      <c r="A566" s="35" t="s">
        <v>3937</v>
      </c>
      <c r="B566" s="35" t="s">
        <v>3937</v>
      </c>
      <c r="C566" s="35" t="s">
        <v>3938</v>
      </c>
      <c r="D566" s="8">
        <f>COUNTIF(Table4[کد سیستم],Table2[[#This Row],[کد سیستم]])</f>
        <v>1</v>
      </c>
    </row>
    <row r="567" spans="1:4" x14ac:dyDescent="0.25">
      <c r="A567" s="35" t="s">
        <v>3939</v>
      </c>
      <c r="B567" s="35" t="s">
        <v>3939</v>
      </c>
      <c r="C567" s="35" t="s">
        <v>3940</v>
      </c>
      <c r="D567" s="8">
        <f>COUNTIF(Table4[کد سیستم],Table2[[#This Row],[کد سیستم]])</f>
        <v>1</v>
      </c>
    </row>
    <row r="568" spans="1:4" x14ac:dyDescent="0.25">
      <c r="A568" s="35" t="s">
        <v>3941</v>
      </c>
      <c r="B568" s="35" t="s">
        <v>3941</v>
      </c>
      <c r="C568" s="35" t="s">
        <v>3942</v>
      </c>
      <c r="D568" s="8">
        <f>COUNTIF(Table4[کد سیستم],Table2[[#This Row],[کد سیستم]])</f>
        <v>1</v>
      </c>
    </row>
    <row r="569" spans="1:4" x14ac:dyDescent="0.25">
      <c r="A569" s="35" t="s">
        <v>3943</v>
      </c>
      <c r="B569" s="35" t="s">
        <v>3943</v>
      </c>
      <c r="C569" s="35" t="s">
        <v>3944</v>
      </c>
      <c r="D569" s="8">
        <f>COUNTIF(Table4[کد سیستم],Table2[[#This Row],[کد سیستم]])</f>
        <v>1</v>
      </c>
    </row>
    <row r="570" spans="1:4" hidden="1" x14ac:dyDescent="0.25">
      <c r="A570" s="35" t="s">
        <v>2592</v>
      </c>
      <c r="B570" s="35" t="s">
        <v>2592</v>
      </c>
      <c r="C570" s="35" t="s">
        <v>2593</v>
      </c>
      <c r="D570" s="8">
        <f>COUNTIF(Table4[کد سیستم],Table2[[#This Row],[کد سیستم]])</f>
        <v>1</v>
      </c>
    </row>
    <row r="571" spans="1:4" hidden="1" x14ac:dyDescent="0.25">
      <c r="A571" s="35" t="s">
        <v>2594</v>
      </c>
      <c r="B571" s="35" t="s">
        <v>2594</v>
      </c>
      <c r="C571" s="35" t="s">
        <v>2595</v>
      </c>
      <c r="D571" s="8">
        <f>COUNTIF(Table4[کد سیستم],Table2[[#This Row],[کد سیستم]])</f>
        <v>1</v>
      </c>
    </row>
    <row r="572" spans="1:4" hidden="1" x14ac:dyDescent="0.25">
      <c r="A572" s="35" t="s">
        <v>2596</v>
      </c>
      <c r="B572" s="35" t="s">
        <v>2596</v>
      </c>
      <c r="C572" s="35" t="s">
        <v>2597</v>
      </c>
      <c r="D572" s="8">
        <f>COUNTIF(Table4[کد سیستم],Table2[[#This Row],[کد سیستم]])</f>
        <v>1</v>
      </c>
    </row>
    <row r="573" spans="1:4" hidden="1" x14ac:dyDescent="0.25">
      <c r="A573" s="35" t="s">
        <v>2598</v>
      </c>
      <c r="B573" s="35" t="s">
        <v>2598</v>
      </c>
      <c r="C573" s="35" t="s">
        <v>2599</v>
      </c>
      <c r="D573" s="8">
        <f>COUNTIF(Table4[کد سیستم],Table2[[#This Row],[کد سیستم]])</f>
        <v>1</v>
      </c>
    </row>
    <row r="574" spans="1:4" hidden="1" x14ac:dyDescent="0.25">
      <c r="A574" s="35" t="s">
        <v>2600</v>
      </c>
      <c r="B574" s="35" t="s">
        <v>2600</v>
      </c>
      <c r="C574" s="35" t="s">
        <v>2601</v>
      </c>
      <c r="D574" s="8">
        <f>COUNTIF(Table4[کد سیستم],Table2[[#This Row],[کد سیستم]])</f>
        <v>1</v>
      </c>
    </row>
    <row r="575" spans="1:4" hidden="1" x14ac:dyDescent="0.25">
      <c r="A575" s="35" t="s">
        <v>2602</v>
      </c>
      <c r="B575" s="35" t="s">
        <v>2602</v>
      </c>
      <c r="C575" s="35" t="s">
        <v>2603</v>
      </c>
      <c r="D575" s="8">
        <f>COUNTIF(Table4[کد سیستم],Table2[[#This Row],[کد سیستم]])</f>
        <v>1</v>
      </c>
    </row>
    <row r="576" spans="1:4" hidden="1" x14ac:dyDescent="0.25">
      <c r="A576" s="35" t="s">
        <v>2604</v>
      </c>
      <c r="B576" s="35" t="s">
        <v>2604</v>
      </c>
      <c r="C576" s="35" t="s">
        <v>2605</v>
      </c>
      <c r="D576" s="8">
        <f>COUNTIF(Table4[کد سیستم],Table2[[#This Row],[کد سیستم]])</f>
        <v>1</v>
      </c>
    </row>
    <row r="577" spans="1:4" hidden="1" x14ac:dyDescent="0.25">
      <c r="A577" s="35" t="s">
        <v>2606</v>
      </c>
      <c r="B577" s="35" t="s">
        <v>2606</v>
      </c>
      <c r="C577" s="35" t="s">
        <v>2607</v>
      </c>
      <c r="D577" s="8">
        <f>COUNTIF(Table4[کد سیستم],Table2[[#This Row],[کد سیستم]])</f>
        <v>1</v>
      </c>
    </row>
    <row r="578" spans="1:4" hidden="1" x14ac:dyDescent="0.25">
      <c r="A578" s="35" t="s">
        <v>2608</v>
      </c>
      <c r="B578" s="35" t="s">
        <v>2608</v>
      </c>
      <c r="C578" s="35" t="s">
        <v>2609</v>
      </c>
      <c r="D578" s="8">
        <f>COUNTIF(Table4[کد سیستم],Table2[[#This Row],[کد سیستم]])</f>
        <v>1</v>
      </c>
    </row>
    <row r="579" spans="1:4" hidden="1" x14ac:dyDescent="0.25">
      <c r="A579" s="35" t="s">
        <v>2610</v>
      </c>
      <c r="B579" s="35" t="s">
        <v>2610</v>
      </c>
      <c r="C579" s="35" t="s">
        <v>2611</v>
      </c>
      <c r="D579" s="8">
        <f>COUNTIF(Table4[کد سیستم],Table2[[#This Row],[کد سیستم]])</f>
        <v>1</v>
      </c>
    </row>
    <row r="580" spans="1:4" hidden="1" x14ac:dyDescent="0.25">
      <c r="A580" s="35" t="s">
        <v>2612</v>
      </c>
      <c r="B580" s="35" t="s">
        <v>2612</v>
      </c>
      <c r="C580" s="35" t="s">
        <v>2613</v>
      </c>
      <c r="D580" s="8">
        <f>COUNTIF(Table4[کد سیستم],Table2[[#This Row],[کد سیستم]])</f>
        <v>1</v>
      </c>
    </row>
    <row r="581" spans="1:4" hidden="1" x14ac:dyDescent="0.25">
      <c r="A581" s="35" t="s">
        <v>2614</v>
      </c>
      <c r="B581" s="35" t="s">
        <v>2614</v>
      </c>
      <c r="C581" s="35" t="s">
        <v>2615</v>
      </c>
      <c r="D581" s="8">
        <f>COUNTIF(Table4[کد سیستم],Table2[[#This Row],[کد سیستم]])</f>
        <v>1</v>
      </c>
    </row>
    <row r="582" spans="1:4" hidden="1" x14ac:dyDescent="0.25">
      <c r="A582" s="35" t="s">
        <v>2616</v>
      </c>
      <c r="B582" s="35" t="s">
        <v>2616</v>
      </c>
      <c r="C582" s="35" t="s">
        <v>2617</v>
      </c>
      <c r="D582" s="8">
        <f>COUNTIF(Table4[کد سیستم],Table2[[#This Row],[کد سیستم]])</f>
        <v>1</v>
      </c>
    </row>
    <row r="583" spans="1:4" hidden="1" x14ac:dyDescent="0.25">
      <c r="A583" s="35" t="s">
        <v>2618</v>
      </c>
      <c r="B583" s="35" t="s">
        <v>2618</v>
      </c>
      <c r="C583" s="35" t="s">
        <v>2619</v>
      </c>
      <c r="D583" s="8">
        <f>COUNTIF(Table4[کد سیستم],Table2[[#This Row],[کد سیستم]])</f>
        <v>1</v>
      </c>
    </row>
    <row r="584" spans="1:4" hidden="1" x14ac:dyDescent="0.25">
      <c r="A584" s="35" t="s">
        <v>2620</v>
      </c>
      <c r="B584" s="35" t="s">
        <v>2620</v>
      </c>
      <c r="C584" s="35" t="s">
        <v>2621</v>
      </c>
      <c r="D584" s="8">
        <f>COUNTIF(Table4[کد سیستم],Table2[[#This Row],[کد سیستم]])</f>
        <v>1</v>
      </c>
    </row>
    <row r="585" spans="1:4" x14ac:dyDescent="0.25">
      <c r="A585" s="35" t="s">
        <v>3945</v>
      </c>
      <c r="B585" s="35" t="s">
        <v>3945</v>
      </c>
      <c r="C585" s="35" t="s">
        <v>3946</v>
      </c>
      <c r="D585" s="8">
        <f>COUNTIF(Table4[کد سیستم],Table2[[#This Row],[کد سیستم]])</f>
        <v>1</v>
      </c>
    </row>
    <row r="586" spans="1:4" x14ac:dyDescent="0.25">
      <c r="A586" s="35" t="s">
        <v>3947</v>
      </c>
      <c r="B586" s="35" t="s">
        <v>3947</v>
      </c>
      <c r="C586" s="35" t="s">
        <v>3948</v>
      </c>
      <c r="D586" s="8">
        <f>COUNTIF(Table4[کد سیستم],Table2[[#This Row],[کد سیستم]])</f>
        <v>1</v>
      </c>
    </row>
    <row r="587" spans="1:4" x14ac:dyDescent="0.25">
      <c r="A587" s="35" t="s">
        <v>3949</v>
      </c>
      <c r="B587" s="35" t="s">
        <v>3949</v>
      </c>
      <c r="C587" s="35" t="s">
        <v>3950</v>
      </c>
      <c r="D587" s="8">
        <f>COUNTIF(Table4[کد سیستم],Table2[[#This Row],[کد سیستم]])</f>
        <v>1</v>
      </c>
    </row>
    <row r="588" spans="1:4" x14ac:dyDescent="0.25">
      <c r="A588" s="35" t="s">
        <v>3951</v>
      </c>
      <c r="B588" s="35" t="s">
        <v>3951</v>
      </c>
      <c r="C588" s="35" t="s">
        <v>3952</v>
      </c>
      <c r="D588" s="8">
        <f>COUNTIF(Table4[کد سیستم],Table2[[#This Row],[کد سیستم]])</f>
        <v>1</v>
      </c>
    </row>
    <row r="589" spans="1:4" x14ac:dyDescent="0.25">
      <c r="A589" s="35" t="s">
        <v>3953</v>
      </c>
      <c r="B589" s="35" t="s">
        <v>3953</v>
      </c>
      <c r="C589" s="35" t="s">
        <v>3954</v>
      </c>
      <c r="D589" s="8">
        <f>COUNTIF(Table4[کد سیستم],Table2[[#This Row],[کد سیستم]])</f>
        <v>1</v>
      </c>
    </row>
    <row r="590" spans="1:4" hidden="1" x14ac:dyDescent="0.25">
      <c r="A590" s="35" t="s">
        <v>2622</v>
      </c>
      <c r="B590" s="35" t="s">
        <v>2622</v>
      </c>
      <c r="C590" s="35" t="s">
        <v>2623</v>
      </c>
      <c r="D590" s="8">
        <f>COUNTIF(Table4[کد سیستم],Table2[[#This Row],[کد سیستم]])</f>
        <v>1</v>
      </c>
    </row>
    <row r="591" spans="1:4" hidden="1" x14ac:dyDescent="0.25">
      <c r="A591" s="35" t="s">
        <v>2624</v>
      </c>
      <c r="B591" s="35" t="s">
        <v>2624</v>
      </c>
      <c r="C591" s="35" t="s">
        <v>2625</v>
      </c>
      <c r="D591" s="8">
        <f>COUNTIF(Table4[کد سیستم],Table2[[#This Row],[کد سیستم]])</f>
        <v>1</v>
      </c>
    </row>
    <row r="592" spans="1:4" hidden="1" x14ac:dyDescent="0.25">
      <c r="A592" s="35" t="s">
        <v>2626</v>
      </c>
      <c r="B592" s="35" t="s">
        <v>3955</v>
      </c>
      <c r="C592" s="35" t="s">
        <v>2627</v>
      </c>
      <c r="D592" s="8">
        <f>COUNTIF(Table4[کد سیستم],Table2[[#This Row],[کد سیستم]])</f>
        <v>1</v>
      </c>
    </row>
    <row r="593" spans="1:4" hidden="1" x14ac:dyDescent="0.25">
      <c r="A593" s="35" t="s">
        <v>2628</v>
      </c>
      <c r="B593" s="35" t="s">
        <v>2628</v>
      </c>
      <c r="C593" s="35" t="s">
        <v>2629</v>
      </c>
      <c r="D593" s="8">
        <f>COUNTIF(Table4[کد سیستم],Table2[[#This Row],[کد سیستم]])</f>
        <v>1</v>
      </c>
    </row>
    <row r="594" spans="1:4" hidden="1" x14ac:dyDescent="0.25">
      <c r="A594" s="35" t="s">
        <v>2630</v>
      </c>
      <c r="B594" s="35" t="s">
        <v>2630</v>
      </c>
      <c r="C594" s="35" t="s">
        <v>2631</v>
      </c>
      <c r="D594" s="8">
        <f>COUNTIF(Table4[کد سیستم],Table2[[#This Row],[کد سیستم]])</f>
        <v>1</v>
      </c>
    </row>
    <row r="595" spans="1:4" hidden="1" x14ac:dyDescent="0.25">
      <c r="A595" s="35" t="s">
        <v>2632</v>
      </c>
      <c r="B595" s="35" t="s">
        <v>2632</v>
      </c>
      <c r="C595" s="35" t="s">
        <v>2633</v>
      </c>
      <c r="D595" s="8">
        <f>COUNTIF(Table4[کد سیستم],Table2[[#This Row],[کد سیستم]])</f>
        <v>1</v>
      </c>
    </row>
    <row r="596" spans="1:4" hidden="1" x14ac:dyDescent="0.25">
      <c r="A596" s="35" t="s">
        <v>2634</v>
      </c>
      <c r="B596" s="35" t="s">
        <v>2634</v>
      </c>
      <c r="C596" s="35" t="s">
        <v>2635</v>
      </c>
      <c r="D596" s="8">
        <f>COUNTIF(Table4[کد سیستم],Table2[[#This Row],[کد سیستم]])</f>
        <v>1</v>
      </c>
    </row>
    <row r="597" spans="1:4" hidden="1" x14ac:dyDescent="0.25">
      <c r="A597" s="35" t="s">
        <v>2636</v>
      </c>
      <c r="B597" s="35" t="s">
        <v>2636</v>
      </c>
      <c r="C597" s="35" t="s">
        <v>2637</v>
      </c>
      <c r="D597" s="8">
        <f>COUNTIF(Table4[کد سیستم],Table2[[#This Row],[کد سیستم]])</f>
        <v>1</v>
      </c>
    </row>
    <row r="598" spans="1:4" hidden="1" x14ac:dyDescent="0.25">
      <c r="A598" s="35" t="s">
        <v>2638</v>
      </c>
      <c r="B598" s="35" t="s">
        <v>2638</v>
      </c>
      <c r="C598" s="35" t="s">
        <v>2639</v>
      </c>
      <c r="D598" s="8">
        <f>COUNTIF(Table4[کد سیستم],Table2[[#This Row],[کد سیستم]])</f>
        <v>1</v>
      </c>
    </row>
    <row r="599" spans="1:4" hidden="1" x14ac:dyDescent="0.25">
      <c r="A599" s="35" t="s">
        <v>2640</v>
      </c>
      <c r="B599" s="35" t="s">
        <v>2640</v>
      </c>
      <c r="C599" s="35" t="s">
        <v>2641</v>
      </c>
      <c r="D599" s="8">
        <f>COUNTIF(Table4[کد سیستم],Table2[[#This Row],[کد سیستم]])</f>
        <v>1</v>
      </c>
    </row>
    <row r="600" spans="1:4" hidden="1" x14ac:dyDescent="0.25">
      <c r="A600" s="35" t="s">
        <v>2642</v>
      </c>
      <c r="B600" s="35" t="s">
        <v>3956</v>
      </c>
      <c r="C600" s="35" t="s">
        <v>2643</v>
      </c>
      <c r="D600" s="8">
        <f>COUNTIF(Table4[کد سیستم],Table2[[#This Row],[کد سیستم]])</f>
        <v>1</v>
      </c>
    </row>
    <row r="601" spans="1:4" hidden="1" x14ac:dyDescent="0.25">
      <c r="A601" s="35" t="s">
        <v>2644</v>
      </c>
      <c r="B601" s="35" t="s">
        <v>2644</v>
      </c>
      <c r="C601" s="35" t="s">
        <v>2645</v>
      </c>
      <c r="D601" s="8">
        <f>COUNTIF(Table4[کد سیستم],Table2[[#This Row],[کد سیستم]])</f>
        <v>1</v>
      </c>
    </row>
    <row r="602" spans="1:4" hidden="1" x14ac:dyDescent="0.25">
      <c r="A602" s="35" t="s">
        <v>2646</v>
      </c>
      <c r="B602" s="35" t="s">
        <v>3957</v>
      </c>
      <c r="C602" s="35" t="s">
        <v>2647</v>
      </c>
      <c r="D602" s="8">
        <f>COUNTIF(Table4[کد سیستم],Table2[[#This Row],[کد سیستم]])</f>
        <v>1</v>
      </c>
    </row>
    <row r="603" spans="1:4" hidden="1" x14ac:dyDescent="0.25">
      <c r="A603" s="35" t="s">
        <v>2648</v>
      </c>
      <c r="B603" s="35" t="s">
        <v>2648</v>
      </c>
      <c r="C603" s="35" t="s">
        <v>2649</v>
      </c>
      <c r="D603" s="8">
        <f>COUNTIF(Table4[کد سیستم],Table2[[#This Row],[کد سیستم]])</f>
        <v>1</v>
      </c>
    </row>
    <row r="604" spans="1:4" hidden="1" x14ac:dyDescent="0.25">
      <c r="A604" s="35" t="s">
        <v>2650</v>
      </c>
      <c r="B604" s="35" t="s">
        <v>2650</v>
      </c>
      <c r="C604" s="35" t="s">
        <v>2651</v>
      </c>
      <c r="D604" s="8">
        <f>COUNTIF(Table4[کد سیستم],Table2[[#This Row],[کد سیستم]])</f>
        <v>1</v>
      </c>
    </row>
    <row r="605" spans="1:4" hidden="1" x14ac:dyDescent="0.25">
      <c r="A605" s="35" t="s">
        <v>2652</v>
      </c>
      <c r="B605" s="35" t="s">
        <v>2652</v>
      </c>
      <c r="C605" s="35" t="s">
        <v>2653</v>
      </c>
      <c r="D605" s="8">
        <f>COUNTIF(Table4[کد سیستم],Table2[[#This Row],[کد سیستم]])</f>
        <v>1</v>
      </c>
    </row>
    <row r="606" spans="1:4" hidden="1" x14ac:dyDescent="0.25">
      <c r="A606" s="35" t="s">
        <v>2654</v>
      </c>
      <c r="B606" s="35" t="s">
        <v>2654</v>
      </c>
      <c r="C606" s="35" t="s">
        <v>2655</v>
      </c>
      <c r="D606" s="8">
        <f>COUNTIF(Table4[کد سیستم],Table2[[#This Row],[کد سیستم]])</f>
        <v>1</v>
      </c>
    </row>
    <row r="607" spans="1:4" hidden="1" x14ac:dyDescent="0.25">
      <c r="A607" s="35" t="s">
        <v>2656</v>
      </c>
      <c r="B607" s="35" t="s">
        <v>2656</v>
      </c>
      <c r="C607" s="35" t="s">
        <v>2657</v>
      </c>
      <c r="D607" s="8">
        <f>COUNTIF(Table4[کد سیستم],Table2[[#This Row],[کد سیستم]])</f>
        <v>1</v>
      </c>
    </row>
    <row r="608" spans="1:4" hidden="1" x14ac:dyDescent="0.25">
      <c r="A608" s="35" t="s">
        <v>2658</v>
      </c>
      <c r="B608" s="35" t="s">
        <v>2658</v>
      </c>
      <c r="C608" s="35" t="s">
        <v>2659</v>
      </c>
      <c r="D608" s="8">
        <f>COUNTIF(Table4[کد سیستم],Table2[[#This Row],[کد سیستم]])</f>
        <v>1</v>
      </c>
    </row>
    <row r="609" spans="1:4" hidden="1" x14ac:dyDescent="0.25">
      <c r="A609" s="35" t="s">
        <v>2660</v>
      </c>
      <c r="B609" s="35" t="s">
        <v>2660</v>
      </c>
      <c r="C609" s="35" t="s">
        <v>2661</v>
      </c>
      <c r="D609" s="8">
        <f>COUNTIF(Table4[کد سیستم],Table2[[#This Row],[کد سیستم]])</f>
        <v>1</v>
      </c>
    </row>
    <row r="610" spans="1:4" hidden="1" x14ac:dyDescent="0.25">
      <c r="A610" s="35" t="s">
        <v>2662</v>
      </c>
      <c r="B610" s="35" t="s">
        <v>2662</v>
      </c>
      <c r="C610" s="35" t="s">
        <v>2663</v>
      </c>
      <c r="D610" s="8">
        <f>COUNTIF(Table4[کد سیستم],Table2[[#This Row],[کد سیستم]])</f>
        <v>1</v>
      </c>
    </row>
    <row r="611" spans="1:4" hidden="1" x14ac:dyDescent="0.25">
      <c r="A611" s="35" t="s">
        <v>2664</v>
      </c>
      <c r="B611" s="35" t="s">
        <v>2664</v>
      </c>
      <c r="C611" s="35" t="s">
        <v>2665</v>
      </c>
      <c r="D611" s="8">
        <f>COUNTIF(Table4[کد سیستم],Table2[[#This Row],[کد سیستم]])</f>
        <v>1</v>
      </c>
    </row>
    <row r="612" spans="1:4" hidden="1" x14ac:dyDescent="0.25">
      <c r="A612" s="35" t="s">
        <v>2666</v>
      </c>
      <c r="B612" s="35" t="s">
        <v>3958</v>
      </c>
      <c r="C612" s="35" t="s">
        <v>2667</v>
      </c>
      <c r="D612" s="8">
        <f>COUNTIF(Table4[کد سیستم],Table2[[#This Row],[کد سیستم]])</f>
        <v>1</v>
      </c>
    </row>
    <row r="613" spans="1:4" hidden="1" x14ac:dyDescent="0.25">
      <c r="A613" s="35" t="s">
        <v>2668</v>
      </c>
      <c r="B613" s="35" t="s">
        <v>2668</v>
      </c>
      <c r="C613" s="35" t="s">
        <v>2669</v>
      </c>
      <c r="D613" s="8">
        <f>COUNTIF(Table4[کد سیستم],Table2[[#This Row],[کد سیستم]])</f>
        <v>1</v>
      </c>
    </row>
    <row r="614" spans="1:4" hidden="1" x14ac:dyDescent="0.25">
      <c r="A614" s="35" t="s">
        <v>2670</v>
      </c>
      <c r="B614" s="35" t="s">
        <v>2670</v>
      </c>
      <c r="C614" s="35" t="s">
        <v>2671</v>
      </c>
      <c r="D614" s="8">
        <f>COUNTIF(Table4[کد سیستم],Table2[[#This Row],[کد سیستم]])</f>
        <v>1</v>
      </c>
    </row>
    <row r="615" spans="1:4" hidden="1" x14ac:dyDescent="0.25">
      <c r="A615" s="35" t="s">
        <v>2672</v>
      </c>
      <c r="B615" s="35" t="s">
        <v>2672</v>
      </c>
      <c r="C615" s="35" t="s">
        <v>2673</v>
      </c>
      <c r="D615" s="8">
        <f>COUNTIF(Table4[کد سیستم],Table2[[#This Row],[کد سیستم]])</f>
        <v>1</v>
      </c>
    </row>
    <row r="616" spans="1:4" hidden="1" x14ac:dyDescent="0.25">
      <c r="A616" s="35" t="s">
        <v>2674</v>
      </c>
      <c r="B616" s="35" t="s">
        <v>2674</v>
      </c>
      <c r="C616" s="35" t="s">
        <v>2675</v>
      </c>
      <c r="D616" s="8">
        <f>COUNTIF(Table4[کد سیستم],Table2[[#This Row],[کد سیستم]])</f>
        <v>1</v>
      </c>
    </row>
    <row r="617" spans="1:4" hidden="1" x14ac:dyDescent="0.25">
      <c r="A617" s="35" t="s">
        <v>2676</v>
      </c>
      <c r="B617" s="35" t="s">
        <v>2676</v>
      </c>
      <c r="C617" s="35" t="s">
        <v>2677</v>
      </c>
      <c r="D617" s="8">
        <f>COUNTIF(Table4[کد سیستم],Table2[[#This Row],[کد سیستم]])</f>
        <v>1</v>
      </c>
    </row>
    <row r="618" spans="1:4" hidden="1" x14ac:dyDescent="0.25">
      <c r="A618" s="35" t="s">
        <v>2678</v>
      </c>
      <c r="B618" s="35" t="s">
        <v>2678</v>
      </c>
      <c r="C618" s="35" t="s">
        <v>2679</v>
      </c>
      <c r="D618" s="8">
        <f>COUNTIF(Table4[کد سیستم],Table2[[#This Row],[کد سیستم]])</f>
        <v>1</v>
      </c>
    </row>
    <row r="619" spans="1:4" hidden="1" x14ac:dyDescent="0.25">
      <c r="A619" s="35" t="s">
        <v>3776</v>
      </c>
      <c r="B619" s="35" t="s">
        <v>3959</v>
      </c>
      <c r="C619" s="35" t="s">
        <v>2680</v>
      </c>
      <c r="D619" s="8">
        <f>COUNTIF(Table4[کد سیستم],Table2[[#This Row],[کد سیستم]])</f>
        <v>1</v>
      </c>
    </row>
    <row r="620" spans="1:4" hidden="1" x14ac:dyDescent="0.25">
      <c r="A620" s="35" t="s">
        <v>2681</v>
      </c>
      <c r="B620" s="35" t="s">
        <v>2681</v>
      </c>
      <c r="C620" s="35" t="s">
        <v>2682</v>
      </c>
      <c r="D620" s="8">
        <f>COUNTIF(Table4[کد سیستم],Table2[[#This Row],[کد سیستم]])</f>
        <v>1</v>
      </c>
    </row>
    <row r="621" spans="1:4" hidden="1" x14ac:dyDescent="0.25">
      <c r="A621" s="35" t="s">
        <v>2683</v>
      </c>
      <c r="B621" s="35" t="s">
        <v>3960</v>
      </c>
      <c r="C621" s="35" t="s">
        <v>2684</v>
      </c>
      <c r="D621" s="8">
        <f>COUNTIF(Table4[کد سیستم],Table2[[#This Row],[کد سیستم]])</f>
        <v>1</v>
      </c>
    </row>
    <row r="622" spans="1:4" hidden="1" x14ac:dyDescent="0.25">
      <c r="A622" s="35" t="s">
        <v>2685</v>
      </c>
      <c r="B622" s="35" t="s">
        <v>3961</v>
      </c>
      <c r="C622" s="35" t="s">
        <v>2686</v>
      </c>
      <c r="D622" s="8">
        <f>COUNTIF(Table4[کد سیستم],Table2[[#This Row],[کد سیستم]])</f>
        <v>1</v>
      </c>
    </row>
    <row r="623" spans="1:4" x14ac:dyDescent="0.25">
      <c r="A623" s="35" t="s">
        <v>3962</v>
      </c>
      <c r="B623" s="35" t="s">
        <v>3962</v>
      </c>
      <c r="C623" s="35" t="s">
        <v>3963</v>
      </c>
      <c r="D623" s="8">
        <f>COUNTIF(Table4[کد سیستم],Table2[[#This Row],[کد سیستم]])</f>
        <v>1</v>
      </c>
    </row>
    <row r="624" spans="1:4" x14ac:dyDescent="0.25">
      <c r="A624" s="35" t="s">
        <v>3964</v>
      </c>
      <c r="B624" s="35" t="s">
        <v>3964</v>
      </c>
      <c r="C624" s="35" t="s">
        <v>3965</v>
      </c>
      <c r="D624" s="8">
        <f>COUNTIF(Table4[کد سیستم],Table2[[#This Row],[کد سیستم]])</f>
        <v>1</v>
      </c>
    </row>
    <row r="625" spans="1:4" x14ac:dyDescent="0.25">
      <c r="A625" s="35" t="s">
        <v>3966</v>
      </c>
      <c r="B625" s="35" t="s">
        <v>3966</v>
      </c>
      <c r="C625" s="35" t="s">
        <v>3967</v>
      </c>
      <c r="D625" s="8">
        <f>COUNTIF(Table4[کد سیستم],Table2[[#This Row],[کد سیستم]])</f>
        <v>1</v>
      </c>
    </row>
    <row r="626" spans="1:4" hidden="1" x14ac:dyDescent="0.25">
      <c r="A626" s="35" t="s">
        <v>2687</v>
      </c>
      <c r="B626" s="35" t="s">
        <v>2687</v>
      </c>
      <c r="C626" s="35" t="s">
        <v>2688</v>
      </c>
      <c r="D626" s="8">
        <f>COUNTIF(Table4[کد سیستم],Table2[[#This Row],[کد سیستم]])</f>
        <v>1</v>
      </c>
    </row>
    <row r="627" spans="1:4" hidden="1" x14ac:dyDescent="0.25">
      <c r="A627" s="35" t="s">
        <v>2689</v>
      </c>
      <c r="B627" s="35" t="s">
        <v>2689</v>
      </c>
      <c r="C627" s="35" t="s">
        <v>2690</v>
      </c>
      <c r="D627" s="8">
        <f>COUNTIF(Table4[کد سیستم],Table2[[#This Row],[کد سیستم]])</f>
        <v>1</v>
      </c>
    </row>
    <row r="628" spans="1:4" hidden="1" x14ac:dyDescent="0.25">
      <c r="A628" s="35" t="s">
        <v>2691</v>
      </c>
      <c r="B628" s="35" t="s">
        <v>2691</v>
      </c>
      <c r="C628" s="35" t="s">
        <v>2692</v>
      </c>
      <c r="D628" s="8">
        <f>COUNTIF(Table4[کد سیستم],Table2[[#This Row],[کد سیستم]])</f>
        <v>1</v>
      </c>
    </row>
    <row r="629" spans="1:4" x14ac:dyDescent="0.25">
      <c r="A629" s="35" t="s">
        <v>2693</v>
      </c>
      <c r="B629" s="35" t="s">
        <v>3968</v>
      </c>
      <c r="C629" s="35" t="s">
        <v>2694</v>
      </c>
      <c r="D629" s="8">
        <f>COUNTIF(Table4[کد سیستم],Table2[[#This Row],[کد سیستم]])</f>
        <v>1</v>
      </c>
    </row>
    <row r="630" spans="1:4" hidden="1" x14ac:dyDescent="0.25">
      <c r="A630" s="35" t="s">
        <v>2695</v>
      </c>
      <c r="B630" s="35" t="s">
        <v>2695</v>
      </c>
      <c r="C630" s="35" t="s">
        <v>2696</v>
      </c>
      <c r="D630" s="8">
        <f>COUNTIF(Table4[کد سیستم],Table2[[#This Row],[کد سیستم]])</f>
        <v>1</v>
      </c>
    </row>
    <row r="631" spans="1:4" hidden="1" x14ac:dyDescent="0.25">
      <c r="A631" s="35" t="s">
        <v>2697</v>
      </c>
      <c r="B631" s="35" t="s">
        <v>2697</v>
      </c>
      <c r="C631" s="35" t="s">
        <v>2698</v>
      </c>
      <c r="D631" s="8">
        <f>COUNTIF(Table4[کد سیستم],Table2[[#This Row],[کد سیستم]])</f>
        <v>1</v>
      </c>
    </row>
    <row r="632" spans="1:4" hidden="1" x14ac:dyDescent="0.25">
      <c r="A632" s="35" t="s">
        <v>2699</v>
      </c>
      <c r="B632" s="35" t="s">
        <v>2699</v>
      </c>
      <c r="C632" s="35" t="s">
        <v>2700</v>
      </c>
      <c r="D632" s="8">
        <f>COUNTIF(Table4[کد سیستم],Table2[[#This Row],[کد سیستم]])</f>
        <v>1</v>
      </c>
    </row>
    <row r="633" spans="1:4" hidden="1" x14ac:dyDescent="0.25">
      <c r="A633" s="35" t="s">
        <v>2701</v>
      </c>
      <c r="B633" s="35" t="s">
        <v>2701</v>
      </c>
      <c r="C633" s="35" t="s">
        <v>2702</v>
      </c>
      <c r="D633" s="8">
        <f>COUNTIF(Table4[کد سیستم],Table2[[#This Row],[کد سیستم]])</f>
        <v>1</v>
      </c>
    </row>
    <row r="634" spans="1:4" hidden="1" x14ac:dyDescent="0.25">
      <c r="A634" s="35" t="s">
        <v>2703</v>
      </c>
      <c r="B634" s="35" t="s">
        <v>2703</v>
      </c>
      <c r="C634" s="35" t="s">
        <v>2704</v>
      </c>
      <c r="D634" s="8">
        <f>COUNTIF(Table4[کد سیستم],Table2[[#This Row],[کد سیستم]])</f>
        <v>1</v>
      </c>
    </row>
    <row r="635" spans="1:4" hidden="1" x14ac:dyDescent="0.25">
      <c r="A635" s="35" t="s">
        <v>2705</v>
      </c>
      <c r="B635" s="35" t="s">
        <v>3969</v>
      </c>
      <c r="C635" s="35" t="s">
        <v>2706</v>
      </c>
      <c r="D635" s="8">
        <f>COUNTIF(Table4[کد سیستم],Table2[[#This Row],[کد سیستم]])</f>
        <v>1</v>
      </c>
    </row>
    <row r="636" spans="1:4" x14ac:dyDescent="0.25">
      <c r="A636" s="35" t="s">
        <v>2707</v>
      </c>
      <c r="B636" s="35" t="s">
        <v>3970</v>
      </c>
      <c r="C636" s="35" t="s">
        <v>2708</v>
      </c>
      <c r="D636" s="8">
        <f>COUNTIF(Table4[کد سیستم],Table2[[#This Row],[کد سیستم]])</f>
        <v>1</v>
      </c>
    </row>
    <row r="637" spans="1:4" hidden="1" x14ac:dyDescent="0.25">
      <c r="A637" s="35" t="s">
        <v>2709</v>
      </c>
      <c r="B637" s="35" t="s">
        <v>2709</v>
      </c>
      <c r="C637" s="35" t="s">
        <v>2710</v>
      </c>
      <c r="D637" s="8">
        <f>COUNTIF(Table4[کد سیستم],Table2[[#This Row],[کد سیستم]])</f>
        <v>1</v>
      </c>
    </row>
    <row r="638" spans="1:4" hidden="1" x14ac:dyDescent="0.25">
      <c r="A638" s="35" t="s">
        <v>2711</v>
      </c>
      <c r="B638" s="35" t="s">
        <v>3971</v>
      </c>
      <c r="C638" s="35" t="s">
        <v>2712</v>
      </c>
      <c r="D638" s="8">
        <f>COUNTIF(Table4[کد سیستم],Table2[[#This Row],[کد سیستم]])</f>
        <v>1</v>
      </c>
    </row>
    <row r="639" spans="1:4" hidden="1" x14ac:dyDescent="0.25">
      <c r="A639" s="35" t="s">
        <v>2713</v>
      </c>
      <c r="B639" s="35" t="s">
        <v>2713</v>
      </c>
      <c r="C639" s="35" t="s">
        <v>2714</v>
      </c>
      <c r="D639" s="8">
        <f>COUNTIF(Table4[کد سیستم],Table2[[#This Row],[کد سیستم]])</f>
        <v>1</v>
      </c>
    </row>
    <row r="640" spans="1:4" hidden="1" x14ac:dyDescent="0.25">
      <c r="A640" s="35" t="s">
        <v>2715</v>
      </c>
      <c r="B640" s="35" t="s">
        <v>2715</v>
      </c>
      <c r="C640" s="35" t="s">
        <v>2716</v>
      </c>
      <c r="D640" s="8">
        <f>COUNTIF(Table4[کد سیستم],Table2[[#This Row],[کد سیستم]])</f>
        <v>1</v>
      </c>
    </row>
    <row r="641" spans="1:4" hidden="1" x14ac:dyDescent="0.25">
      <c r="A641" s="35" t="s">
        <v>2717</v>
      </c>
      <c r="B641" s="35" t="s">
        <v>2717</v>
      </c>
      <c r="C641" s="35" t="s">
        <v>2718</v>
      </c>
      <c r="D641" s="8">
        <f>COUNTIF(Table4[کد سیستم],Table2[[#This Row],[کد سیستم]])</f>
        <v>1</v>
      </c>
    </row>
    <row r="642" spans="1:4" hidden="1" x14ac:dyDescent="0.25">
      <c r="A642" s="35" t="s">
        <v>2719</v>
      </c>
      <c r="B642" s="35" t="s">
        <v>2719</v>
      </c>
      <c r="C642" s="35" t="s">
        <v>2720</v>
      </c>
      <c r="D642" s="8">
        <f>COUNTIF(Table4[کد سیستم],Table2[[#This Row],[کد سیستم]])</f>
        <v>1</v>
      </c>
    </row>
    <row r="643" spans="1:4" hidden="1" x14ac:dyDescent="0.25">
      <c r="A643" s="35" t="s">
        <v>2721</v>
      </c>
      <c r="B643" s="35" t="s">
        <v>2721</v>
      </c>
      <c r="C643" s="35" t="s">
        <v>2722</v>
      </c>
      <c r="D643" s="8">
        <f>COUNTIF(Table4[کد سیستم],Table2[[#This Row],[کد سیستم]])</f>
        <v>1</v>
      </c>
    </row>
    <row r="644" spans="1:4" hidden="1" x14ac:dyDescent="0.25">
      <c r="A644" s="35" t="s">
        <v>2723</v>
      </c>
      <c r="B644" s="35" t="s">
        <v>2723</v>
      </c>
      <c r="C644" s="35" t="s">
        <v>2724</v>
      </c>
      <c r="D644" s="8">
        <f>COUNTIF(Table4[کد سیستم],Table2[[#This Row],[کد سیستم]])</f>
        <v>1</v>
      </c>
    </row>
    <row r="645" spans="1:4" hidden="1" x14ac:dyDescent="0.25">
      <c r="A645" s="35" t="s">
        <v>2725</v>
      </c>
      <c r="B645" s="35" t="s">
        <v>2725</v>
      </c>
      <c r="C645" s="35" t="s">
        <v>2726</v>
      </c>
      <c r="D645" s="8">
        <f>COUNTIF(Table4[کد سیستم],Table2[[#This Row],[کد سیستم]])</f>
        <v>1</v>
      </c>
    </row>
    <row r="646" spans="1:4" hidden="1" x14ac:dyDescent="0.25">
      <c r="A646" s="35" t="s">
        <v>2727</v>
      </c>
      <c r="B646" s="35" t="s">
        <v>2727</v>
      </c>
      <c r="C646" s="35" t="s">
        <v>2728</v>
      </c>
      <c r="D646" s="8">
        <f>COUNTIF(Table4[کد سیستم],Table2[[#This Row],[کد سیستم]])</f>
        <v>1</v>
      </c>
    </row>
    <row r="647" spans="1:4" hidden="1" x14ac:dyDescent="0.25">
      <c r="A647" s="35" t="s">
        <v>2729</v>
      </c>
      <c r="B647" s="35" t="s">
        <v>2729</v>
      </c>
      <c r="C647" s="35" t="s">
        <v>2730</v>
      </c>
      <c r="D647" s="8">
        <f>COUNTIF(Table4[کد سیستم],Table2[[#This Row],[کد سیستم]])</f>
        <v>1</v>
      </c>
    </row>
    <row r="648" spans="1:4" hidden="1" x14ac:dyDescent="0.25">
      <c r="A648" s="35" t="s">
        <v>2731</v>
      </c>
      <c r="B648" s="35" t="s">
        <v>2731</v>
      </c>
      <c r="C648" s="35" t="s">
        <v>2732</v>
      </c>
      <c r="D648" s="8">
        <f>COUNTIF(Table4[کد سیستم],Table2[[#This Row],[کد سیستم]])</f>
        <v>1</v>
      </c>
    </row>
    <row r="649" spans="1:4" hidden="1" x14ac:dyDescent="0.25">
      <c r="A649" s="35" t="s">
        <v>2733</v>
      </c>
      <c r="B649" s="35" t="s">
        <v>2733</v>
      </c>
      <c r="C649" s="35" t="s">
        <v>2734</v>
      </c>
      <c r="D649" s="8">
        <f>COUNTIF(Table4[کد سیستم],Table2[[#This Row],[کد سیستم]])</f>
        <v>1</v>
      </c>
    </row>
    <row r="650" spans="1:4" hidden="1" x14ac:dyDescent="0.25">
      <c r="A650" s="35" t="s">
        <v>2735</v>
      </c>
      <c r="B650" s="35" t="s">
        <v>2735</v>
      </c>
      <c r="C650" s="35" t="s">
        <v>2736</v>
      </c>
      <c r="D650" s="8">
        <f>COUNTIF(Table4[کد سیستم],Table2[[#This Row],[کد سیستم]])</f>
        <v>1</v>
      </c>
    </row>
    <row r="651" spans="1:4" x14ac:dyDescent="0.25">
      <c r="A651" s="35" t="s">
        <v>3972</v>
      </c>
      <c r="B651" s="35" t="s">
        <v>3972</v>
      </c>
      <c r="C651" s="35" t="s">
        <v>3973</v>
      </c>
      <c r="D651" s="8">
        <f>COUNTIF(Table4[کد سیستم],Table2[[#This Row],[کد سیستم]])</f>
        <v>1</v>
      </c>
    </row>
    <row r="652" spans="1:4" hidden="1" x14ac:dyDescent="0.25">
      <c r="A652" s="35" t="s">
        <v>2737</v>
      </c>
      <c r="B652" s="35" t="s">
        <v>2737</v>
      </c>
      <c r="C652" s="35" t="s">
        <v>2738</v>
      </c>
      <c r="D652" s="8">
        <f>COUNTIF(Table4[کد سیستم],Table2[[#This Row],[کد سیستم]])</f>
        <v>1</v>
      </c>
    </row>
    <row r="653" spans="1:4" hidden="1" x14ac:dyDescent="0.25">
      <c r="A653" s="35" t="s">
        <v>2739</v>
      </c>
      <c r="B653" s="35" t="s">
        <v>2739</v>
      </c>
      <c r="C653" s="35" t="s">
        <v>2740</v>
      </c>
      <c r="D653" s="8">
        <f>COUNTIF(Table4[کد سیستم],Table2[[#This Row],[کد سیستم]])</f>
        <v>1</v>
      </c>
    </row>
    <row r="654" spans="1:4" hidden="1" x14ac:dyDescent="0.25">
      <c r="A654" s="35" t="s">
        <v>2741</v>
      </c>
      <c r="B654" s="35" t="s">
        <v>2741</v>
      </c>
      <c r="C654" s="35" t="s">
        <v>2742</v>
      </c>
      <c r="D654" s="8">
        <f>COUNTIF(Table4[کد سیستم],Table2[[#This Row],[کد سیستم]])</f>
        <v>1</v>
      </c>
    </row>
    <row r="655" spans="1:4" hidden="1" x14ac:dyDescent="0.25">
      <c r="A655" s="35" t="s">
        <v>2743</v>
      </c>
      <c r="B655" s="35" t="s">
        <v>2743</v>
      </c>
      <c r="C655" s="35" t="s">
        <v>2744</v>
      </c>
      <c r="D655" s="8">
        <f>COUNTIF(Table4[کد سیستم],Table2[[#This Row],[کد سیستم]])</f>
        <v>1</v>
      </c>
    </row>
    <row r="656" spans="1:4" hidden="1" x14ac:dyDescent="0.25">
      <c r="A656" s="35" t="s">
        <v>2745</v>
      </c>
      <c r="B656" s="35" t="s">
        <v>2745</v>
      </c>
      <c r="C656" s="35" t="s">
        <v>2746</v>
      </c>
      <c r="D656" s="8">
        <f>COUNTIF(Table4[کد سیستم],Table2[[#This Row],[کد سیستم]])</f>
        <v>1</v>
      </c>
    </row>
    <row r="657" spans="1:4" hidden="1" x14ac:dyDescent="0.25">
      <c r="A657" s="35" t="s">
        <v>2747</v>
      </c>
      <c r="B657" s="35" t="s">
        <v>2747</v>
      </c>
      <c r="C657" s="35" t="s">
        <v>2748</v>
      </c>
      <c r="D657" s="8">
        <f>COUNTIF(Table4[کد سیستم],Table2[[#This Row],[کد سیستم]])</f>
        <v>1</v>
      </c>
    </row>
    <row r="658" spans="1:4" hidden="1" x14ac:dyDescent="0.25">
      <c r="A658" s="35" t="s">
        <v>2749</v>
      </c>
      <c r="B658" s="35" t="s">
        <v>2749</v>
      </c>
      <c r="C658" s="35" t="s">
        <v>2750</v>
      </c>
      <c r="D658" s="8">
        <f>COUNTIF(Table4[کد سیستم],Table2[[#This Row],[کد سیستم]])</f>
        <v>1</v>
      </c>
    </row>
    <row r="659" spans="1:4" hidden="1" x14ac:dyDescent="0.25">
      <c r="A659" s="35" t="s">
        <v>2751</v>
      </c>
      <c r="B659" s="35" t="s">
        <v>2751</v>
      </c>
      <c r="C659" s="35" t="s">
        <v>2752</v>
      </c>
      <c r="D659" s="8">
        <f>COUNTIF(Table4[کد سیستم],Table2[[#This Row],[کد سیستم]])</f>
        <v>1</v>
      </c>
    </row>
    <row r="660" spans="1:4" x14ac:dyDescent="0.25">
      <c r="A660" s="35" t="s">
        <v>3974</v>
      </c>
      <c r="B660" s="35" t="s">
        <v>3974</v>
      </c>
      <c r="C660" s="35" t="s">
        <v>3975</v>
      </c>
      <c r="D660" s="8">
        <f>COUNTIF(Table4[کد سیستم],Table2[[#This Row],[کد سیستم]])</f>
        <v>1</v>
      </c>
    </row>
    <row r="661" spans="1:4" hidden="1" x14ac:dyDescent="0.25">
      <c r="A661" s="35" t="s">
        <v>2753</v>
      </c>
      <c r="B661" s="35" t="s">
        <v>3976</v>
      </c>
      <c r="C661" s="35" t="s">
        <v>2754</v>
      </c>
      <c r="D661" s="8">
        <f>COUNTIF(Table4[کد سیستم],Table2[[#This Row],[کد سیستم]])</f>
        <v>1</v>
      </c>
    </row>
    <row r="662" spans="1:4" hidden="1" x14ac:dyDescent="0.25">
      <c r="A662" s="35" t="s">
        <v>2755</v>
      </c>
      <c r="B662" s="35" t="s">
        <v>2755</v>
      </c>
      <c r="C662" s="35" t="s">
        <v>2756</v>
      </c>
      <c r="D662" s="8">
        <f>COUNTIF(Table4[کد سیستم],Table2[[#This Row],[کد سیستم]])</f>
        <v>1</v>
      </c>
    </row>
    <row r="663" spans="1:4" hidden="1" x14ac:dyDescent="0.25">
      <c r="A663" s="35" t="s">
        <v>2757</v>
      </c>
      <c r="B663" s="35" t="s">
        <v>2757</v>
      </c>
      <c r="C663" s="35" t="s">
        <v>2758</v>
      </c>
      <c r="D663" s="8">
        <f>COUNTIF(Table4[کد سیستم],Table2[[#This Row],[کد سیستم]])</f>
        <v>1</v>
      </c>
    </row>
    <row r="664" spans="1:4" hidden="1" x14ac:dyDescent="0.25">
      <c r="A664" s="35" t="s">
        <v>2759</v>
      </c>
      <c r="B664" s="35" t="s">
        <v>2759</v>
      </c>
      <c r="C664" s="35" t="s">
        <v>2760</v>
      </c>
      <c r="D664" s="8">
        <f>COUNTIF(Table4[کد سیستم],Table2[[#This Row],[کد سیستم]])</f>
        <v>1</v>
      </c>
    </row>
    <row r="665" spans="1:4" hidden="1" x14ac:dyDescent="0.25">
      <c r="A665" s="35" t="s">
        <v>2761</v>
      </c>
      <c r="B665" s="35" t="s">
        <v>2761</v>
      </c>
      <c r="C665" s="35" t="s">
        <v>2762</v>
      </c>
      <c r="D665" s="8">
        <f>COUNTIF(Table4[کد سیستم],Table2[[#This Row],[کد سیستم]])</f>
        <v>1</v>
      </c>
    </row>
    <row r="666" spans="1:4" hidden="1" x14ac:dyDescent="0.25">
      <c r="A666" s="35" t="s">
        <v>2763</v>
      </c>
      <c r="B666" s="35" t="s">
        <v>2763</v>
      </c>
      <c r="C666" s="35" t="s">
        <v>2764</v>
      </c>
      <c r="D666" s="8">
        <f>COUNTIF(Table4[کد سیستم],Table2[[#This Row],[کد سیستم]])</f>
        <v>1</v>
      </c>
    </row>
    <row r="667" spans="1:4" hidden="1" x14ac:dyDescent="0.25">
      <c r="A667" s="35" t="s">
        <v>2765</v>
      </c>
      <c r="B667" s="35" t="s">
        <v>2765</v>
      </c>
      <c r="C667" s="35" t="s">
        <v>2766</v>
      </c>
      <c r="D667" s="8">
        <f>COUNTIF(Table4[کد سیستم],Table2[[#This Row],[کد سیستم]])</f>
        <v>1</v>
      </c>
    </row>
    <row r="668" spans="1:4" hidden="1" x14ac:dyDescent="0.25">
      <c r="A668" s="35" t="s">
        <v>2767</v>
      </c>
      <c r="B668" s="35" t="s">
        <v>2767</v>
      </c>
      <c r="C668" s="35" t="s">
        <v>2768</v>
      </c>
      <c r="D668" s="8">
        <f>COUNTIF(Table4[کد سیستم],Table2[[#This Row],[کد سیستم]])</f>
        <v>1</v>
      </c>
    </row>
    <row r="669" spans="1:4" hidden="1" x14ac:dyDescent="0.25">
      <c r="A669" s="35" t="s">
        <v>2769</v>
      </c>
      <c r="B669" s="35" t="s">
        <v>2769</v>
      </c>
      <c r="C669" s="35" t="s">
        <v>2770</v>
      </c>
      <c r="D669" s="8">
        <f>COUNTIF(Table4[کد سیستم],Table2[[#This Row],[کد سیستم]])</f>
        <v>1</v>
      </c>
    </row>
    <row r="670" spans="1:4" hidden="1" x14ac:dyDescent="0.25">
      <c r="A670" s="35" t="s">
        <v>2771</v>
      </c>
      <c r="B670" s="35" t="s">
        <v>2771</v>
      </c>
      <c r="C670" s="35" t="s">
        <v>2772</v>
      </c>
      <c r="D670" s="8">
        <f>COUNTIF(Table4[کد سیستم],Table2[[#This Row],[کد سیستم]])</f>
        <v>1</v>
      </c>
    </row>
    <row r="671" spans="1:4" hidden="1" x14ac:dyDescent="0.25">
      <c r="A671" s="35" t="s">
        <v>2773</v>
      </c>
      <c r="B671" s="35" t="s">
        <v>2773</v>
      </c>
      <c r="C671" s="35" t="s">
        <v>2774</v>
      </c>
      <c r="D671" s="8">
        <f>COUNTIF(Table4[کد سیستم],Table2[[#This Row],[کد سیستم]])</f>
        <v>1</v>
      </c>
    </row>
    <row r="672" spans="1:4" hidden="1" x14ac:dyDescent="0.25">
      <c r="A672" s="35" t="s">
        <v>2775</v>
      </c>
      <c r="B672" s="35" t="s">
        <v>2775</v>
      </c>
      <c r="C672" s="35" t="s">
        <v>2776</v>
      </c>
      <c r="D672" s="8">
        <f>COUNTIF(Table4[کد سیستم],Table2[[#This Row],[کد سیستم]])</f>
        <v>1</v>
      </c>
    </row>
    <row r="673" spans="1:4" hidden="1" x14ac:dyDescent="0.25">
      <c r="A673" s="35" t="s">
        <v>2777</v>
      </c>
      <c r="B673" s="35" t="s">
        <v>2777</v>
      </c>
      <c r="C673" s="35" t="s">
        <v>2778</v>
      </c>
      <c r="D673" s="8">
        <f>COUNTIF(Table4[کد سیستم],Table2[[#This Row],[کد سیستم]])</f>
        <v>1</v>
      </c>
    </row>
    <row r="674" spans="1:4" hidden="1" x14ac:dyDescent="0.25">
      <c r="A674" s="35" t="s">
        <v>2779</v>
      </c>
      <c r="B674" s="35" t="s">
        <v>2779</v>
      </c>
      <c r="C674" s="35" t="s">
        <v>2780</v>
      </c>
      <c r="D674" s="8">
        <f>COUNTIF(Table4[کد سیستم],Table2[[#This Row],[کد سیستم]])</f>
        <v>1</v>
      </c>
    </row>
    <row r="675" spans="1:4" hidden="1" x14ac:dyDescent="0.25">
      <c r="A675" s="35" t="s">
        <v>2781</v>
      </c>
      <c r="B675" s="35" t="s">
        <v>2781</v>
      </c>
      <c r="C675" s="35" t="s">
        <v>2782</v>
      </c>
      <c r="D675" s="8">
        <f>COUNTIF(Table4[کد سیستم],Table2[[#This Row],[کد سیستم]])</f>
        <v>1</v>
      </c>
    </row>
    <row r="676" spans="1:4" x14ac:dyDescent="0.25">
      <c r="A676" s="35" t="s">
        <v>3977</v>
      </c>
      <c r="B676" s="35" t="s">
        <v>3977</v>
      </c>
      <c r="C676" s="35" t="s">
        <v>3978</v>
      </c>
      <c r="D676" s="8">
        <f>COUNTIF(Table4[کد سیستم],Table2[[#This Row],[کد سیستم]])</f>
        <v>1</v>
      </c>
    </row>
    <row r="677" spans="1:4" hidden="1" x14ac:dyDescent="0.25">
      <c r="A677" s="35" t="s">
        <v>2783</v>
      </c>
      <c r="B677" s="35" t="s">
        <v>2783</v>
      </c>
      <c r="C677" s="35" t="s">
        <v>2784</v>
      </c>
      <c r="D677" s="8">
        <f>COUNTIF(Table4[کد سیستم],Table2[[#This Row],[کد سیستم]])</f>
        <v>1</v>
      </c>
    </row>
    <row r="678" spans="1:4" hidden="1" x14ac:dyDescent="0.25">
      <c r="A678" s="35" t="s">
        <v>2785</v>
      </c>
      <c r="B678" s="35" t="s">
        <v>2785</v>
      </c>
      <c r="C678" s="35" t="s">
        <v>2786</v>
      </c>
      <c r="D678" s="8">
        <f>COUNTIF(Table4[کد سیستم],Table2[[#This Row],[کد سیستم]])</f>
        <v>1</v>
      </c>
    </row>
    <row r="679" spans="1:4" hidden="1" x14ac:dyDescent="0.25">
      <c r="A679" s="35" t="s">
        <v>2787</v>
      </c>
      <c r="B679" s="35" t="s">
        <v>2787</v>
      </c>
      <c r="C679" s="35" t="s">
        <v>2788</v>
      </c>
      <c r="D679" s="8">
        <f>COUNTIF(Table4[کد سیستم],Table2[[#This Row],[کد سیستم]])</f>
        <v>1</v>
      </c>
    </row>
    <row r="680" spans="1:4" hidden="1" x14ac:dyDescent="0.25">
      <c r="A680" s="35" t="s">
        <v>2789</v>
      </c>
      <c r="B680" s="35" t="s">
        <v>2789</v>
      </c>
      <c r="C680" s="35" t="s">
        <v>2790</v>
      </c>
      <c r="D680" s="8">
        <f>COUNTIF(Table4[کد سیستم],Table2[[#This Row],[کد سیستم]])</f>
        <v>1</v>
      </c>
    </row>
    <row r="681" spans="1:4" hidden="1" x14ac:dyDescent="0.25">
      <c r="A681" s="35" t="s">
        <v>2791</v>
      </c>
      <c r="B681" s="35" t="s">
        <v>2791</v>
      </c>
      <c r="C681" s="35" t="s">
        <v>2792</v>
      </c>
      <c r="D681" s="8">
        <f>COUNTIF(Table4[کد سیستم],Table2[[#This Row],[کد سیستم]])</f>
        <v>1</v>
      </c>
    </row>
    <row r="682" spans="1:4" hidden="1" x14ac:dyDescent="0.25">
      <c r="A682" s="35" t="s">
        <v>2793</v>
      </c>
      <c r="B682" s="35" t="s">
        <v>2793</v>
      </c>
      <c r="C682" s="35" t="s">
        <v>2794</v>
      </c>
      <c r="D682" s="8">
        <f>COUNTIF(Table4[کد سیستم],Table2[[#This Row],[کد سیستم]])</f>
        <v>1</v>
      </c>
    </row>
    <row r="683" spans="1:4" hidden="1" x14ac:dyDescent="0.25">
      <c r="A683" s="35" t="s">
        <v>2795</v>
      </c>
      <c r="B683" s="35" t="s">
        <v>2795</v>
      </c>
      <c r="C683" s="35" t="s">
        <v>2796</v>
      </c>
      <c r="D683" s="8">
        <f>COUNTIF(Table4[کد سیستم],Table2[[#This Row],[کد سیستم]])</f>
        <v>1</v>
      </c>
    </row>
    <row r="684" spans="1:4" hidden="1" x14ac:dyDescent="0.25">
      <c r="A684" s="35" t="s">
        <v>2797</v>
      </c>
      <c r="B684" s="35" t="s">
        <v>2797</v>
      </c>
      <c r="C684" s="35" t="s">
        <v>2798</v>
      </c>
      <c r="D684" s="8">
        <f>COUNTIF(Table4[کد سیستم],Table2[[#This Row],[کد سیستم]])</f>
        <v>1</v>
      </c>
    </row>
    <row r="685" spans="1:4" hidden="1" x14ac:dyDescent="0.25">
      <c r="A685" s="35" t="s">
        <v>2799</v>
      </c>
      <c r="B685" s="35" t="s">
        <v>2799</v>
      </c>
      <c r="C685" s="35" t="s">
        <v>2800</v>
      </c>
      <c r="D685" s="8">
        <f>COUNTIF(Table4[کد سیستم],Table2[[#This Row],[کد سیستم]])</f>
        <v>1</v>
      </c>
    </row>
    <row r="686" spans="1:4" hidden="1" x14ac:dyDescent="0.25">
      <c r="A686" s="35" t="s">
        <v>2801</v>
      </c>
      <c r="B686" s="35" t="s">
        <v>2801</v>
      </c>
      <c r="C686" s="35" t="s">
        <v>2802</v>
      </c>
      <c r="D686" s="8">
        <f>COUNTIF(Table4[کد سیستم],Table2[[#This Row],[کد سیستم]])</f>
        <v>1</v>
      </c>
    </row>
    <row r="687" spans="1:4" hidden="1" x14ac:dyDescent="0.25">
      <c r="A687" s="35" t="s">
        <v>2803</v>
      </c>
      <c r="B687" s="35" t="s">
        <v>2803</v>
      </c>
      <c r="C687" s="35" t="s">
        <v>2804</v>
      </c>
      <c r="D687" s="8">
        <f>COUNTIF(Table4[کد سیستم],Table2[[#This Row],[کد سیستم]])</f>
        <v>1</v>
      </c>
    </row>
    <row r="688" spans="1:4" hidden="1" x14ac:dyDescent="0.25">
      <c r="A688" s="35" t="s">
        <v>2805</v>
      </c>
      <c r="B688" s="35" t="s">
        <v>2805</v>
      </c>
      <c r="C688" s="35" t="s">
        <v>2806</v>
      </c>
      <c r="D688" s="8">
        <f>COUNTIF(Table4[کد سیستم],Table2[[#This Row],[کد سیستم]])</f>
        <v>1</v>
      </c>
    </row>
    <row r="689" spans="1:4" hidden="1" x14ac:dyDescent="0.25">
      <c r="A689" s="35" t="s">
        <v>2807</v>
      </c>
      <c r="B689" s="35" t="s">
        <v>3979</v>
      </c>
      <c r="C689" s="35" t="s">
        <v>2808</v>
      </c>
      <c r="D689" s="8">
        <f>COUNTIF(Table4[کد سیستم],Table2[[#This Row],[کد سیستم]])</f>
        <v>1</v>
      </c>
    </row>
    <row r="690" spans="1:4" hidden="1" x14ac:dyDescent="0.25">
      <c r="A690" s="35" t="s">
        <v>2809</v>
      </c>
      <c r="B690" s="35" t="s">
        <v>2809</v>
      </c>
      <c r="C690" s="35" t="s">
        <v>2810</v>
      </c>
      <c r="D690" s="8">
        <f>COUNTIF(Table4[کد سیستم],Table2[[#This Row],[کد سیستم]])</f>
        <v>1</v>
      </c>
    </row>
    <row r="691" spans="1:4" hidden="1" x14ac:dyDescent="0.25">
      <c r="A691" s="35" t="s">
        <v>2811</v>
      </c>
      <c r="B691" s="35" t="s">
        <v>3980</v>
      </c>
      <c r="C691" s="35" t="s">
        <v>2812</v>
      </c>
      <c r="D691" s="8">
        <f>COUNTIF(Table4[کد سیستم],Table2[[#This Row],[کد سیستم]])</f>
        <v>1</v>
      </c>
    </row>
    <row r="692" spans="1:4" hidden="1" x14ac:dyDescent="0.25">
      <c r="A692" s="35" t="s">
        <v>2813</v>
      </c>
      <c r="B692" s="35" t="s">
        <v>2813</v>
      </c>
      <c r="C692" s="35" t="s">
        <v>2814</v>
      </c>
      <c r="D692" s="8">
        <f>COUNTIF(Table4[کد سیستم],Table2[[#This Row],[کد سیستم]])</f>
        <v>1</v>
      </c>
    </row>
    <row r="693" spans="1:4" hidden="1" x14ac:dyDescent="0.25">
      <c r="A693" s="35" t="s">
        <v>2815</v>
      </c>
      <c r="B693" s="35" t="s">
        <v>2815</v>
      </c>
      <c r="C693" s="35" t="s">
        <v>2816</v>
      </c>
      <c r="D693" s="8">
        <f>COUNTIF(Table4[کد سیستم],Table2[[#This Row],[کد سیستم]])</f>
        <v>1</v>
      </c>
    </row>
    <row r="694" spans="1:4" hidden="1" x14ac:dyDescent="0.25">
      <c r="A694" s="35" t="s">
        <v>4046</v>
      </c>
      <c r="B694" s="35" t="s">
        <v>3981</v>
      </c>
      <c r="C694" s="35" t="s">
        <v>2818</v>
      </c>
      <c r="D694" s="8">
        <f>COUNTIF(Table4[کد سیستم],Table2[[#This Row],[کد سیستم]])</f>
        <v>1</v>
      </c>
    </row>
    <row r="695" spans="1:4" hidden="1" x14ac:dyDescent="0.25">
      <c r="A695" s="35" t="s">
        <v>2819</v>
      </c>
      <c r="B695" s="35" t="s">
        <v>2819</v>
      </c>
      <c r="C695" s="35" t="s">
        <v>2820</v>
      </c>
      <c r="D695" s="8">
        <f>COUNTIF(Table4[کد سیستم],Table2[[#This Row],[کد سیستم]])</f>
        <v>1</v>
      </c>
    </row>
    <row r="696" spans="1:4" hidden="1" x14ac:dyDescent="0.25">
      <c r="A696" s="35" t="s">
        <v>2821</v>
      </c>
      <c r="B696" s="35" t="s">
        <v>2821</v>
      </c>
      <c r="C696" s="35" t="s">
        <v>2822</v>
      </c>
      <c r="D696" s="8">
        <f>COUNTIF(Table4[کد سیستم],Table2[[#This Row],[کد سیستم]])</f>
        <v>1</v>
      </c>
    </row>
    <row r="697" spans="1:4" hidden="1" x14ac:dyDescent="0.25">
      <c r="A697" s="35" t="s">
        <v>2823</v>
      </c>
      <c r="B697" s="35" t="s">
        <v>2823</v>
      </c>
      <c r="C697" s="35" t="s">
        <v>2824</v>
      </c>
      <c r="D697" s="8">
        <f>COUNTIF(Table4[کد سیستم],Table2[[#This Row],[کد سیستم]])</f>
        <v>1</v>
      </c>
    </row>
    <row r="698" spans="1:4" hidden="1" x14ac:dyDescent="0.25">
      <c r="A698" s="35" t="s">
        <v>2825</v>
      </c>
      <c r="B698" s="35" t="s">
        <v>2825</v>
      </c>
      <c r="C698" s="35" t="s">
        <v>2826</v>
      </c>
      <c r="D698" s="8">
        <f>COUNTIF(Table4[کد سیستم],Table2[[#This Row],[کد سیستم]])</f>
        <v>1</v>
      </c>
    </row>
    <row r="699" spans="1:4" hidden="1" x14ac:dyDescent="0.25">
      <c r="A699" s="35" t="s">
        <v>2827</v>
      </c>
      <c r="B699" s="35" t="s">
        <v>2827</v>
      </c>
      <c r="C699" s="35" t="s">
        <v>2828</v>
      </c>
      <c r="D699" s="8">
        <f>COUNTIF(Table4[کد سیستم],Table2[[#This Row],[کد سیستم]])</f>
        <v>1</v>
      </c>
    </row>
    <row r="700" spans="1:4" hidden="1" x14ac:dyDescent="0.25">
      <c r="A700" s="35" t="s">
        <v>2829</v>
      </c>
      <c r="B700" s="35" t="s">
        <v>2829</v>
      </c>
      <c r="C700" s="35" t="s">
        <v>2830</v>
      </c>
      <c r="D700" s="8">
        <f>COUNTIF(Table4[کد سیستم],Table2[[#This Row],[کد سیستم]])</f>
        <v>1</v>
      </c>
    </row>
    <row r="701" spans="1:4" hidden="1" x14ac:dyDescent="0.25">
      <c r="A701" s="35" t="s">
        <v>2831</v>
      </c>
      <c r="B701" s="35" t="s">
        <v>3982</v>
      </c>
      <c r="C701" s="35" t="s">
        <v>2832</v>
      </c>
      <c r="D701" s="8">
        <f>COUNTIF(Table4[کد سیستم],Table2[[#This Row],[کد سیستم]])</f>
        <v>1</v>
      </c>
    </row>
    <row r="702" spans="1:4" hidden="1" x14ac:dyDescent="0.25">
      <c r="A702" s="35" t="s">
        <v>2833</v>
      </c>
      <c r="B702" s="35" t="s">
        <v>2833</v>
      </c>
      <c r="C702" s="35" t="s">
        <v>2834</v>
      </c>
      <c r="D702" s="8">
        <f>COUNTIF(Table4[کد سیستم],Table2[[#This Row],[کد سیستم]])</f>
        <v>1</v>
      </c>
    </row>
    <row r="703" spans="1:4" hidden="1" x14ac:dyDescent="0.25">
      <c r="A703" s="35" t="s">
        <v>2835</v>
      </c>
      <c r="B703" s="35" t="s">
        <v>2835</v>
      </c>
      <c r="C703" s="35" t="s">
        <v>2836</v>
      </c>
      <c r="D703" s="8">
        <f>COUNTIF(Table4[کد سیستم],Table2[[#This Row],[کد سیستم]])</f>
        <v>1</v>
      </c>
    </row>
    <row r="704" spans="1:4" hidden="1" x14ac:dyDescent="0.25">
      <c r="A704" s="35" t="s">
        <v>2837</v>
      </c>
      <c r="B704" s="35" t="s">
        <v>2837</v>
      </c>
      <c r="C704" s="35" t="s">
        <v>2838</v>
      </c>
      <c r="D704" s="8">
        <f>COUNTIF(Table4[کد سیستم],Table2[[#This Row],[کد سیستم]])</f>
        <v>1</v>
      </c>
    </row>
    <row r="705" spans="1:4" hidden="1" x14ac:dyDescent="0.25">
      <c r="A705" s="35" t="s">
        <v>2839</v>
      </c>
      <c r="B705" s="35" t="s">
        <v>2839</v>
      </c>
      <c r="C705" s="35" t="s">
        <v>2840</v>
      </c>
      <c r="D705" s="8">
        <f>COUNTIF(Table4[کد سیستم],Table2[[#This Row],[کد سیستم]])</f>
        <v>1</v>
      </c>
    </row>
    <row r="706" spans="1:4" hidden="1" x14ac:dyDescent="0.25">
      <c r="A706" s="35" t="s">
        <v>2841</v>
      </c>
      <c r="B706" s="35" t="s">
        <v>3983</v>
      </c>
      <c r="C706" s="35" t="s">
        <v>2842</v>
      </c>
      <c r="D706" s="8">
        <f>COUNTIF(Table4[کد سیستم],Table2[[#This Row],[کد سیستم]])</f>
        <v>1</v>
      </c>
    </row>
    <row r="707" spans="1:4" hidden="1" x14ac:dyDescent="0.25">
      <c r="A707" s="35" t="s">
        <v>2843</v>
      </c>
      <c r="B707" s="35" t="s">
        <v>2843</v>
      </c>
      <c r="C707" s="35" t="s">
        <v>2844</v>
      </c>
      <c r="D707" s="8">
        <f>COUNTIF(Table4[کد سیستم],Table2[[#This Row],[کد سیستم]])</f>
        <v>1</v>
      </c>
    </row>
    <row r="708" spans="1:4" hidden="1" x14ac:dyDescent="0.25">
      <c r="A708" s="35" t="s">
        <v>2845</v>
      </c>
      <c r="B708" s="35" t="s">
        <v>2845</v>
      </c>
      <c r="C708" s="35" t="s">
        <v>2846</v>
      </c>
      <c r="D708" s="8">
        <f>COUNTIF(Table4[کد سیستم],Table2[[#This Row],[کد سیستم]])</f>
        <v>1</v>
      </c>
    </row>
    <row r="709" spans="1:4" hidden="1" x14ac:dyDescent="0.25">
      <c r="A709" s="35" t="s">
        <v>2847</v>
      </c>
      <c r="B709" s="35" t="s">
        <v>2847</v>
      </c>
      <c r="C709" s="35" t="s">
        <v>2848</v>
      </c>
      <c r="D709" s="8">
        <f>COUNTIF(Table4[کد سیستم],Table2[[#This Row],[کد سیستم]])</f>
        <v>1</v>
      </c>
    </row>
    <row r="710" spans="1:4" hidden="1" x14ac:dyDescent="0.25">
      <c r="A710" s="35" t="s">
        <v>2849</v>
      </c>
      <c r="B710" s="35" t="s">
        <v>2849</v>
      </c>
      <c r="C710" s="35" t="s">
        <v>2850</v>
      </c>
      <c r="D710" s="8">
        <f>COUNTIF(Table4[کد سیستم],Table2[[#This Row],[کد سیستم]])</f>
        <v>1</v>
      </c>
    </row>
    <row r="711" spans="1:4" hidden="1" x14ac:dyDescent="0.25">
      <c r="A711" s="35" t="s">
        <v>2851</v>
      </c>
      <c r="B711" s="35" t="s">
        <v>2851</v>
      </c>
      <c r="C711" s="35" t="s">
        <v>2852</v>
      </c>
      <c r="D711" s="8">
        <f>COUNTIF(Table4[کد سیستم],Table2[[#This Row],[کد سیستم]])</f>
        <v>1</v>
      </c>
    </row>
    <row r="712" spans="1:4" hidden="1" x14ac:dyDescent="0.25">
      <c r="A712" s="35" t="s">
        <v>2853</v>
      </c>
      <c r="B712" s="35" t="s">
        <v>2853</v>
      </c>
      <c r="C712" s="35" t="s">
        <v>2854</v>
      </c>
      <c r="D712" s="8">
        <f>COUNTIF(Table4[کد سیستم],Table2[[#This Row],[کد سیستم]])</f>
        <v>1</v>
      </c>
    </row>
    <row r="713" spans="1:4" hidden="1" x14ac:dyDescent="0.25">
      <c r="A713" s="35" t="s">
        <v>2855</v>
      </c>
      <c r="B713" s="35" t="s">
        <v>2855</v>
      </c>
      <c r="C713" s="35" t="s">
        <v>2856</v>
      </c>
      <c r="D713" s="8">
        <f>COUNTIF(Table4[کد سیستم],Table2[[#This Row],[کد سیستم]])</f>
        <v>1</v>
      </c>
    </row>
    <row r="714" spans="1:4" hidden="1" x14ac:dyDescent="0.25">
      <c r="A714" s="35" t="s">
        <v>2857</v>
      </c>
      <c r="B714" s="35" t="s">
        <v>2857</v>
      </c>
      <c r="C714" s="35" t="s">
        <v>2858</v>
      </c>
      <c r="D714" s="8">
        <f>COUNTIF(Table4[کد سیستم],Table2[[#This Row],[کد سیستم]])</f>
        <v>1</v>
      </c>
    </row>
    <row r="715" spans="1:4" hidden="1" x14ac:dyDescent="0.25">
      <c r="A715" s="35" t="s">
        <v>2859</v>
      </c>
      <c r="B715" s="35" t="s">
        <v>2859</v>
      </c>
      <c r="C715" s="35" t="s">
        <v>2860</v>
      </c>
      <c r="D715" s="8">
        <f>COUNTIF(Table4[کد سیستم],Table2[[#This Row],[کد سیستم]])</f>
        <v>1</v>
      </c>
    </row>
    <row r="716" spans="1:4" hidden="1" x14ac:dyDescent="0.25">
      <c r="A716" s="35" t="s">
        <v>2861</v>
      </c>
      <c r="B716" s="35" t="s">
        <v>2861</v>
      </c>
      <c r="C716" s="35" t="s">
        <v>2862</v>
      </c>
      <c r="D716" s="8">
        <f>COUNTIF(Table4[کد سیستم],Table2[[#This Row],[کد سیستم]])</f>
        <v>1</v>
      </c>
    </row>
    <row r="717" spans="1:4" hidden="1" x14ac:dyDescent="0.25">
      <c r="A717" s="35" t="s">
        <v>2863</v>
      </c>
      <c r="B717" s="35" t="s">
        <v>3984</v>
      </c>
      <c r="C717" s="35" t="s">
        <v>2864</v>
      </c>
      <c r="D717" s="8">
        <f>COUNTIF(Table4[کد سیستم],Table2[[#This Row],[کد سیستم]])</f>
        <v>1</v>
      </c>
    </row>
    <row r="718" spans="1:4" hidden="1" x14ac:dyDescent="0.25">
      <c r="A718" s="35" t="s">
        <v>2865</v>
      </c>
      <c r="B718" s="35" t="s">
        <v>2865</v>
      </c>
      <c r="C718" s="35" t="s">
        <v>2866</v>
      </c>
      <c r="D718" s="8">
        <f>COUNTIF(Table4[کد سیستم],Table2[[#This Row],[کد سیستم]])</f>
        <v>1</v>
      </c>
    </row>
    <row r="719" spans="1:4" hidden="1" x14ac:dyDescent="0.25">
      <c r="A719" s="35" t="s">
        <v>2867</v>
      </c>
      <c r="B719" s="35" t="s">
        <v>2867</v>
      </c>
      <c r="C719" s="35" t="s">
        <v>2868</v>
      </c>
      <c r="D719" s="8">
        <f>COUNTIF(Table4[کد سیستم],Table2[[#This Row],[کد سیستم]])</f>
        <v>1</v>
      </c>
    </row>
    <row r="720" spans="1:4" hidden="1" x14ac:dyDescent="0.25">
      <c r="A720" s="35" t="s">
        <v>2869</v>
      </c>
      <c r="B720" s="35" t="s">
        <v>2869</v>
      </c>
      <c r="C720" s="35" t="s">
        <v>2870</v>
      </c>
      <c r="D720" s="8">
        <f>COUNTIF(Table4[کد سیستم],Table2[[#This Row],[کد سیستم]])</f>
        <v>1</v>
      </c>
    </row>
    <row r="721" spans="1:4" hidden="1" x14ac:dyDescent="0.25">
      <c r="A721" s="35" t="s">
        <v>2871</v>
      </c>
      <c r="B721" s="35" t="s">
        <v>3985</v>
      </c>
      <c r="C721" s="35" t="s">
        <v>2872</v>
      </c>
      <c r="D721" s="8">
        <f>COUNTIF(Table4[کد سیستم],Table2[[#This Row],[کد سیستم]])</f>
        <v>1</v>
      </c>
    </row>
    <row r="722" spans="1:4" x14ac:dyDescent="0.25">
      <c r="A722" s="35" t="s">
        <v>3986</v>
      </c>
      <c r="B722" s="35" t="s">
        <v>3986</v>
      </c>
      <c r="C722" s="35" t="s">
        <v>3987</v>
      </c>
      <c r="D722" s="8">
        <f>COUNTIF(Table4[کد سیستم],Table2[[#This Row],[کد سیستم]])</f>
        <v>1</v>
      </c>
    </row>
    <row r="723" spans="1:4" hidden="1" x14ac:dyDescent="0.25">
      <c r="A723" s="35" t="s">
        <v>2873</v>
      </c>
      <c r="B723" s="35" t="s">
        <v>2873</v>
      </c>
      <c r="C723" s="35" t="s">
        <v>2874</v>
      </c>
      <c r="D723" s="8">
        <f>COUNTIF(Table4[کد سیستم],Table2[[#This Row],[کد سیستم]])</f>
        <v>1</v>
      </c>
    </row>
    <row r="724" spans="1:4" hidden="1" x14ac:dyDescent="0.25">
      <c r="A724" s="35" t="s">
        <v>2875</v>
      </c>
      <c r="B724" s="35" t="s">
        <v>2875</v>
      </c>
      <c r="C724" s="35" t="s">
        <v>2876</v>
      </c>
      <c r="D724" s="8">
        <f>COUNTIF(Table4[کد سیستم],Table2[[#This Row],[کد سیستم]])</f>
        <v>1</v>
      </c>
    </row>
    <row r="725" spans="1:4" hidden="1" x14ac:dyDescent="0.25">
      <c r="A725" s="35" t="s">
        <v>2877</v>
      </c>
      <c r="B725" s="35" t="s">
        <v>2877</v>
      </c>
      <c r="C725" s="35" t="s">
        <v>2878</v>
      </c>
      <c r="D725" s="8">
        <f>COUNTIF(Table4[کد سیستم],Table2[[#This Row],[کد سیستم]])</f>
        <v>1</v>
      </c>
    </row>
    <row r="726" spans="1:4" hidden="1" x14ac:dyDescent="0.25">
      <c r="A726" s="35" t="s">
        <v>2879</v>
      </c>
      <c r="B726" s="35" t="s">
        <v>2879</v>
      </c>
      <c r="C726" s="35" t="s">
        <v>2880</v>
      </c>
      <c r="D726" s="8">
        <f>COUNTIF(Table4[کد سیستم],Table2[[#This Row],[کد سیستم]])</f>
        <v>1</v>
      </c>
    </row>
    <row r="727" spans="1:4" hidden="1" x14ac:dyDescent="0.25">
      <c r="A727" s="35" t="s">
        <v>2881</v>
      </c>
      <c r="B727" s="35" t="s">
        <v>2881</v>
      </c>
      <c r="C727" s="35" t="s">
        <v>2882</v>
      </c>
      <c r="D727" s="8">
        <f>COUNTIF(Table4[کد سیستم],Table2[[#This Row],[کد سیستم]])</f>
        <v>1</v>
      </c>
    </row>
    <row r="728" spans="1:4" hidden="1" x14ac:dyDescent="0.25">
      <c r="A728" s="35" t="s">
        <v>2883</v>
      </c>
      <c r="B728" s="35" t="s">
        <v>2883</v>
      </c>
      <c r="C728" s="35" t="s">
        <v>2884</v>
      </c>
      <c r="D728" s="8">
        <f>COUNTIF(Table4[کد سیستم],Table2[[#This Row],[کد سیستم]])</f>
        <v>1</v>
      </c>
    </row>
    <row r="729" spans="1:4" hidden="1" x14ac:dyDescent="0.25">
      <c r="A729" s="35" t="s">
        <v>2885</v>
      </c>
      <c r="B729" s="35" t="s">
        <v>2885</v>
      </c>
      <c r="C729" s="35" t="s">
        <v>2886</v>
      </c>
      <c r="D729" s="8">
        <f>COUNTIF(Table4[کد سیستم],Table2[[#This Row],[کد سیستم]])</f>
        <v>1</v>
      </c>
    </row>
    <row r="730" spans="1:4" hidden="1" x14ac:dyDescent="0.25">
      <c r="A730" s="35" t="s">
        <v>2887</v>
      </c>
      <c r="B730" s="35" t="s">
        <v>2887</v>
      </c>
      <c r="C730" s="35" t="s">
        <v>2888</v>
      </c>
      <c r="D730" s="8">
        <f>COUNTIF(Table4[کد سیستم],Table2[[#This Row],[کد سیستم]])</f>
        <v>1</v>
      </c>
    </row>
    <row r="731" spans="1:4" hidden="1" x14ac:dyDescent="0.25">
      <c r="A731" s="35" t="s">
        <v>2889</v>
      </c>
      <c r="B731" s="35" t="s">
        <v>2889</v>
      </c>
      <c r="C731" s="35" t="s">
        <v>2890</v>
      </c>
      <c r="D731" s="8">
        <f>COUNTIF(Table4[کد سیستم],Table2[[#This Row],[کد سیستم]])</f>
        <v>1</v>
      </c>
    </row>
    <row r="732" spans="1:4" hidden="1" x14ac:dyDescent="0.25">
      <c r="A732" s="35" t="s">
        <v>2891</v>
      </c>
      <c r="B732" s="35" t="s">
        <v>2891</v>
      </c>
      <c r="C732" s="35" t="s">
        <v>2892</v>
      </c>
      <c r="D732" s="8">
        <f>COUNTIF(Table4[کد سیستم],Table2[[#This Row],[کد سیستم]])</f>
        <v>1</v>
      </c>
    </row>
    <row r="733" spans="1:4" hidden="1" x14ac:dyDescent="0.25">
      <c r="A733" s="35" t="s">
        <v>2893</v>
      </c>
      <c r="B733" s="35" t="s">
        <v>2893</v>
      </c>
      <c r="C733" s="35" t="s">
        <v>2894</v>
      </c>
      <c r="D733" s="8">
        <f>COUNTIF(Table4[کد سیستم],Table2[[#This Row],[کد سیستم]])</f>
        <v>1</v>
      </c>
    </row>
    <row r="734" spans="1:4" hidden="1" x14ac:dyDescent="0.25">
      <c r="A734" s="35" t="s">
        <v>2895</v>
      </c>
      <c r="B734" s="35" t="s">
        <v>2895</v>
      </c>
      <c r="C734" s="35" t="s">
        <v>2896</v>
      </c>
      <c r="D734" s="8">
        <f>COUNTIF(Table4[کد سیستم],Table2[[#This Row],[کد سیستم]])</f>
        <v>1</v>
      </c>
    </row>
    <row r="735" spans="1:4" hidden="1" x14ac:dyDescent="0.25">
      <c r="A735" s="35" t="s">
        <v>2897</v>
      </c>
      <c r="B735" s="35" t="s">
        <v>2897</v>
      </c>
      <c r="C735" s="35" t="s">
        <v>2898</v>
      </c>
      <c r="D735" s="8">
        <f>COUNTIF(Table4[کد سیستم],Table2[[#This Row],[کد سیستم]])</f>
        <v>1</v>
      </c>
    </row>
    <row r="736" spans="1:4" hidden="1" x14ac:dyDescent="0.25">
      <c r="A736" s="35" t="s">
        <v>2899</v>
      </c>
      <c r="B736" s="35" t="s">
        <v>2899</v>
      </c>
      <c r="C736" s="35" t="s">
        <v>2900</v>
      </c>
      <c r="D736" s="8">
        <f>COUNTIF(Table4[کد سیستم],Table2[[#This Row],[کد سیستم]])</f>
        <v>1</v>
      </c>
    </row>
    <row r="737" spans="1:4" hidden="1" x14ac:dyDescent="0.25">
      <c r="A737" s="35" t="s">
        <v>2901</v>
      </c>
      <c r="B737" s="35" t="s">
        <v>3988</v>
      </c>
      <c r="C737" s="35" t="s">
        <v>2902</v>
      </c>
      <c r="D737" s="8">
        <f>COUNTIF(Table4[کد سیستم],Table2[[#This Row],[کد سیستم]])</f>
        <v>1</v>
      </c>
    </row>
    <row r="738" spans="1:4" x14ac:dyDescent="0.25">
      <c r="A738" s="35" t="s">
        <v>2903</v>
      </c>
      <c r="B738" s="35" t="s">
        <v>3989</v>
      </c>
      <c r="C738" s="35" t="s">
        <v>2904</v>
      </c>
      <c r="D738" s="8">
        <f>COUNTIF(Table4[کد سیستم],Table2[[#This Row],[کد سیستم]])</f>
        <v>1</v>
      </c>
    </row>
    <row r="739" spans="1:4" hidden="1" x14ac:dyDescent="0.25">
      <c r="A739" s="35" t="s">
        <v>2905</v>
      </c>
      <c r="B739" s="35" t="s">
        <v>3990</v>
      </c>
      <c r="C739" s="35" t="s">
        <v>2906</v>
      </c>
      <c r="D739" s="8">
        <f>COUNTIF(Table4[کد سیستم],Table2[[#This Row],[کد سیستم]])</f>
        <v>1</v>
      </c>
    </row>
    <row r="740" spans="1:4" x14ac:dyDescent="0.25">
      <c r="A740" s="35" t="s">
        <v>2907</v>
      </c>
      <c r="B740" s="35" t="s">
        <v>3991</v>
      </c>
      <c r="C740" s="35" t="s">
        <v>2908</v>
      </c>
      <c r="D740" s="8">
        <f>COUNTIF(Table4[کد سیستم],Table2[[#This Row],[کد سیستم]])</f>
        <v>1</v>
      </c>
    </row>
    <row r="741" spans="1:4" hidden="1" x14ac:dyDescent="0.25">
      <c r="A741" s="35" t="s">
        <v>2909</v>
      </c>
      <c r="B741" s="35" t="s">
        <v>3992</v>
      </c>
      <c r="C741" s="35" t="s">
        <v>2910</v>
      </c>
      <c r="D741" s="8">
        <f>COUNTIF(Table4[کد سیستم],Table2[[#This Row],[کد سیستم]])</f>
        <v>1</v>
      </c>
    </row>
    <row r="742" spans="1:4" x14ac:dyDescent="0.25">
      <c r="A742" s="35" t="s">
        <v>3777</v>
      </c>
      <c r="B742" s="35" t="s">
        <v>3993</v>
      </c>
      <c r="C742" s="35" t="s">
        <v>3778</v>
      </c>
      <c r="D742" s="8">
        <f>COUNTIF(Table4[کد سیستم],Table2[[#This Row],[کد سیستم]])</f>
        <v>1</v>
      </c>
    </row>
    <row r="743" spans="1:4" hidden="1" x14ac:dyDescent="0.25">
      <c r="A743" s="35" t="s">
        <v>2911</v>
      </c>
      <c r="B743" s="35" t="s">
        <v>3994</v>
      </c>
      <c r="C743" s="35" t="s">
        <v>2912</v>
      </c>
      <c r="D743" s="8">
        <f>COUNTIF(Table4[کد سیستم],Table2[[#This Row],[کد سیستم]])</f>
        <v>1</v>
      </c>
    </row>
    <row r="744" spans="1:4" x14ac:dyDescent="0.25">
      <c r="A744" s="35" t="s">
        <v>2913</v>
      </c>
      <c r="B744" s="35" t="s">
        <v>3995</v>
      </c>
      <c r="C744" s="35" t="s">
        <v>2914</v>
      </c>
      <c r="D744" s="8">
        <f>COUNTIF(Table4[کد سیستم],Table2[[#This Row],[کد سیستم]])</f>
        <v>1</v>
      </c>
    </row>
    <row r="745" spans="1:4" hidden="1" x14ac:dyDescent="0.25">
      <c r="A745" s="35" t="s">
        <v>2915</v>
      </c>
      <c r="B745" s="35" t="s">
        <v>3996</v>
      </c>
      <c r="C745" s="35" t="s">
        <v>2916</v>
      </c>
      <c r="D745" s="8">
        <f>COUNTIF(Table4[کد سیستم],Table2[[#This Row],[کد سیستم]])</f>
        <v>1</v>
      </c>
    </row>
    <row r="746" spans="1:4" hidden="1" x14ac:dyDescent="0.25">
      <c r="A746" s="35" t="s">
        <v>2917</v>
      </c>
      <c r="B746" s="35" t="s">
        <v>3997</v>
      </c>
      <c r="C746" s="35" t="s">
        <v>2918</v>
      </c>
      <c r="D746" s="8">
        <f>COUNTIF(Table4[کد سیستم],Table2[[#This Row],[کد سیستم]])</f>
        <v>1</v>
      </c>
    </row>
    <row r="747" spans="1:4" x14ac:dyDescent="0.25">
      <c r="A747" s="35" t="s">
        <v>2919</v>
      </c>
      <c r="B747" s="35" t="s">
        <v>3998</v>
      </c>
      <c r="C747" s="35" t="s">
        <v>2920</v>
      </c>
      <c r="D747" s="8">
        <f>COUNTIF(Table4[کد سیستم],Table2[[#This Row],[کد سیستم]])</f>
        <v>1</v>
      </c>
    </row>
    <row r="748" spans="1:4" hidden="1" x14ac:dyDescent="0.25">
      <c r="A748" s="35" t="s">
        <v>2921</v>
      </c>
      <c r="B748" s="35" t="s">
        <v>3999</v>
      </c>
      <c r="C748" s="35" t="s">
        <v>2922</v>
      </c>
      <c r="D748" s="8">
        <f>COUNTIF(Table4[کد سیستم],Table2[[#This Row],[کد سیستم]])</f>
        <v>1</v>
      </c>
    </row>
    <row r="749" spans="1:4" hidden="1" x14ac:dyDescent="0.25">
      <c r="A749" s="35" t="s">
        <v>2923</v>
      </c>
      <c r="B749" s="35" t="s">
        <v>4000</v>
      </c>
      <c r="C749" s="35" t="s">
        <v>2924</v>
      </c>
      <c r="D749" s="8">
        <f>COUNTIF(Table4[کد سیستم],Table2[[#This Row],[کد سیستم]])</f>
        <v>1</v>
      </c>
    </row>
    <row r="750" spans="1:4" x14ac:dyDescent="0.25">
      <c r="A750" s="35" t="s">
        <v>2925</v>
      </c>
      <c r="B750" s="35" t="s">
        <v>4001</v>
      </c>
      <c r="C750" s="35" t="s">
        <v>2926</v>
      </c>
      <c r="D750" s="8">
        <f>COUNTIF(Table4[کد سیستم],Table2[[#This Row],[کد سیستم]])</f>
        <v>1</v>
      </c>
    </row>
    <row r="751" spans="1:4" hidden="1" x14ac:dyDescent="0.25">
      <c r="A751" s="35" t="s">
        <v>2927</v>
      </c>
      <c r="B751" s="35" t="s">
        <v>4002</v>
      </c>
      <c r="C751" s="35" t="s">
        <v>2928</v>
      </c>
      <c r="D751" s="8">
        <f>COUNTIF(Table4[کد سیستم],Table2[[#This Row],[کد سیستم]])</f>
        <v>1</v>
      </c>
    </row>
    <row r="752" spans="1:4" hidden="1" x14ac:dyDescent="0.25">
      <c r="A752" s="35" t="s">
        <v>2929</v>
      </c>
      <c r="B752" s="35" t="s">
        <v>4003</v>
      </c>
      <c r="C752" s="35" t="s">
        <v>2930</v>
      </c>
      <c r="D752" s="8">
        <f>COUNTIF(Table4[کد سیستم],Table2[[#This Row],[کد سیستم]])</f>
        <v>1</v>
      </c>
    </row>
    <row r="753" spans="1:4" hidden="1" x14ac:dyDescent="0.25">
      <c r="A753" s="35" t="s">
        <v>2931</v>
      </c>
      <c r="B753" s="35" t="s">
        <v>4004</v>
      </c>
      <c r="C753" s="35" t="s">
        <v>2932</v>
      </c>
      <c r="D753" s="8">
        <f>COUNTIF(Table4[کد سیستم],Table2[[#This Row],[کد سیستم]])</f>
        <v>1</v>
      </c>
    </row>
    <row r="754" spans="1:4" hidden="1" x14ac:dyDescent="0.25">
      <c r="A754" s="35" t="s">
        <v>2933</v>
      </c>
      <c r="B754" s="35" t="s">
        <v>4005</v>
      </c>
      <c r="C754" s="35" t="s">
        <v>2934</v>
      </c>
      <c r="D754" s="8">
        <f>COUNTIF(Table4[کد سیستم],Table2[[#This Row],[کد سیستم]])</f>
        <v>1</v>
      </c>
    </row>
    <row r="755" spans="1:4" x14ac:dyDescent="0.25">
      <c r="A755" s="35" t="s">
        <v>2935</v>
      </c>
      <c r="B755" s="35" t="s">
        <v>4006</v>
      </c>
      <c r="C755" s="35" t="s">
        <v>2936</v>
      </c>
      <c r="D755" s="8">
        <f>COUNTIF(Table4[کد سیستم],Table2[[#This Row],[کد سیستم]])</f>
        <v>1</v>
      </c>
    </row>
    <row r="756" spans="1:4" hidden="1" x14ac:dyDescent="0.25">
      <c r="A756" s="35" t="s">
        <v>2937</v>
      </c>
      <c r="B756" s="35" t="s">
        <v>4007</v>
      </c>
      <c r="C756" s="35" t="s">
        <v>2938</v>
      </c>
      <c r="D756" s="8">
        <f>COUNTIF(Table4[کد سیستم],Table2[[#This Row],[کد سیستم]])</f>
        <v>1</v>
      </c>
    </row>
    <row r="757" spans="1:4" hidden="1" x14ac:dyDescent="0.25">
      <c r="A757" s="35" t="s">
        <v>2939</v>
      </c>
      <c r="B757" s="35" t="s">
        <v>4008</v>
      </c>
      <c r="C757" s="35" t="s">
        <v>2940</v>
      </c>
      <c r="D757" s="8">
        <f>COUNTIF(Table4[کد سیستم],Table2[[#This Row],[کد سیستم]])</f>
        <v>1</v>
      </c>
    </row>
    <row r="758" spans="1:4" hidden="1" x14ac:dyDescent="0.25">
      <c r="A758" s="35" t="s">
        <v>2941</v>
      </c>
      <c r="B758" s="35" t="s">
        <v>4009</v>
      </c>
      <c r="C758" s="35" t="s">
        <v>2942</v>
      </c>
      <c r="D758" s="8">
        <f>COUNTIF(Table4[کد سیستم],Table2[[#This Row],[کد سیستم]])</f>
        <v>1</v>
      </c>
    </row>
    <row r="759" spans="1:4" x14ac:dyDescent="0.25">
      <c r="A759" s="35" t="s">
        <v>2943</v>
      </c>
      <c r="B759" s="35" t="s">
        <v>4010</v>
      </c>
      <c r="C759" s="35" t="s">
        <v>2944</v>
      </c>
      <c r="D759" s="8">
        <f>COUNTIF(Table4[کد سیستم],Table2[[#This Row],[کد سیستم]])</f>
        <v>1</v>
      </c>
    </row>
    <row r="760" spans="1:4" hidden="1" x14ac:dyDescent="0.25">
      <c r="A760" s="35" t="s">
        <v>2945</v>
      </c>
      <c r="B760" s="35" t="s">
        <v>4011</v>
      </c>
      <c r="C760" s="35" t="s">
        <v>2946</v>
      </c>
      <c r="D760" s="8">
        <f>COUNTIF(Table4[کد سیستم],Table2[[#This Row],[کد سیستم]])</f>
        <v>1</v>
      </c>
    </row>
    <row r="761" spans="1:4" hidden="1" x14ac:dyDescent="0.25">
      <c r="A761" s="35" t="s">
        <v>2947</v>
      </c>
      <c r="B761" s="35" t="s">
        <v>4012</v>
      </c>
      <c r="C761" s="35" t="s">
        <v>2948</v>
      </c>
      <c r="D761" s="8">
        <f>COUNTIF(Table4[کد سیستم],Table2[[#This Row],[کد سیستم]])</f>
        <v>1</v>
      </c>
    </row>
    <row r="762" spans="1:4" hidden="1" x14ac:dyDescent="0.25">
      <c r="A762" s="35" t="s">
        <v>2949</v>
      </c>
      <c r="B762" s="35" t="s">
        <v>4013</v>
      </c>
      <c r="C762" s="35" t="s">
        <v>2950</v>
      </c>
      <c r="D762" s="8">
        <f>COUNTIF(Table4[کد سیستم],Table2[[#This Row],[کد سیستم]])</f>
        <v>1</v>
      </c>
    </row>
    <row r="763" spans="1:4" hidden="1" x14ac:dyDescent="0.25">
      <c r="A763" s="35" t="s">
        <v>2951</v>
      </c>
      <c r="B763" s="35" t="s">
        <v>4014</v>
      </c>
      <c r="C763" s="35" t="s">
        <v>2952</v>
      </c>
      <c r="D763" s="8">
        <f>COUNTIF(Table4[کد سیستم],Table2[[#This Row],[کد سیستم]])</f>
        <v>1</v>
      </c>
    </row>
    <row r="764" spans="1:4" hidden="1" x14ac:dyDescent="0.25">
      <c r="A764" s="35" t="s">
        <v>2953</v>
      </c>
      <c r="B764" s="35" t="s">
        <v>4015</v>
      </c>
      <c r="C764" s="35" t="s">
        <v>2954</v>
      </c>
      <c r="D764" s="8">
        <f>COUNTIF(Table4[کد سیستم],Table2[[#This Row],[کد سیستم]])</f>
        <v>1</v>
      </c>
    </row>
    <row r="765" spans="1:4" x14ac:dyDescent="0.25">
      <c r="A765" s="35" t="s">
        <v>2955</v>
      </c>
      <c r="B765" s="35" t="s">
        <v>2956</v>
      </c>
      <c r="C765" s="35" t="s">
        <v>2957</v>
      </c>
      <c r="D765" s="8">
        <f>COUNTIF(Table4[کد سیستم],Table2[[#This Row],[کد سیستم]])</f>
        <v>1</v>
      </c>
    </row>
    <row r="766" spans="1:4" hidden="1" x14ac:dyDescent="0.25">
      <c r="A766" s="35" t="s">
        <v>3774</v>
      </c>
      <c r="B766" s="35" t="s">
        <v>3774</v>
      </c>
      <c r="C766" s="35" t="s">
        <v>2958</v>
      </c>
      <c r="D766" s="8">
        <f>COUNTIF(Table4[کد سیستم],Table2[[#This Row],[کد سیستم]])</f>
        <v>1</v>
      </c>
    </row>
    <row r="767" spans="1:4" hidden="1" x14ac:dyDescent="0.25">
      <c r="A767" s="35" t="s">
        <v>3775</v>
      </c>
      <c r="B767" s="35" t="s">
        <v>3775</v>
      </c>
      <c r="C767" s="35" t="s">
        <v>2959</v>
      </c>
      <c r="D767" s="8">
        <f>COUNTIF(Table4[کد سیستم],Table2[[#This Row],[کد سیستم]])</f>
        <v>1</v>
      </c>
    </row>
    <row r="768" spans="1:4" x14ac:dyDescent="0.25">
      <c r="A768" s="35" t="s">
        <v>2960</v>
      </c>
      <c r="B768" s="35" t="s">
        <v>2961</v>
      </c>
      <c r="C768" s="35" t="s">
        <v>2962</v>
      </c>
      <c r="D768" s="8">
        <f>COUNTIF(Table4[کد سیستم],Table2[[#This Row],[کد سیستم]])</f>
        <v>1</v>
      </c>
    </row>
    <row r="769" spans="1:4" hidden="1" x14ac:dyDescent="0.25">
      <c r="A769" s="35" t="s">
        <v>2963</v>
      </c>
      <c r="B769" s="35" t="s">
        <v>2964</v>
      </c>
      <c r="C769" s="35" t="s">
        <v>2965</v>
      </c>
      <c r="D769" s="8">
        <f>COUNTIF(Table4[کد سیستم],Table2[[#This Row],[کد سیستم]])</f>
        <v>1</v>
      </c>
    </row>
    <row r="770" spans="1:4" hidden="1" x14ac:dyDescent="0.25">
      <c r="A770" s="35" t="s">
        <v>2966</v>
      </c>
      <c r="B770" s="35" t="s">
        <v>2967</v>
      </c>
      <c r="C770" s="35" t="s">
        <v>2968</v>
      </c>
      <c r="D770" s="8">
        <f>COUNTIF(Table4[کد سیستم],Table2[[#This Row],[کد سیستم]])</f>
        <v>1</v>
      </c>
    </row>
    <row r="771" spans="1:4" hidden="1" x14ac:dyDescent="0.25">
      <c r="A771" s="35" t="s">
        <v>2969</v>
      </c>
      <c r="B771" s="35" t="s">
        <v>2970</v>
      </c>
      <c r="C771" s="35" t="s">
        <v>2971</v>
      </c>
      <c r="D771" s="8">
        <f>COUNTIF(Table4[کد سیستم],Table2[[#This Row],[کد سیستم]])</f>
        <v>1</v>
      </c>
    </row>
    <row r="772" spans="1:4" hidden="1" x14ac:dyDescent="0.25">
      <c r="A772" s="35" t="s">
        <v>2972</v>
      </c>
      <c r="B772" s="35" t="s">
        <v>2972</v>
      </c>
      <c r="C772" s="35" t="s">
        <v>2973</v>
      </c>
      <c r="D772" s="8">
        <f>COUNTIF(Table4[کد سیستم],Table2[[#This Row],[کد سیستم]])</f>
        <v>1</v>
      </c>
    </row>
    <row r="773" spans="1:4" hidden="1" x14ac:dyDescent="0.25">
      <c r="A773" s="35" t="s">
        <v>2974</v>
      </c>
      <c r="B773" s="35" t="s">
        <v>2975</v>
      </c>
      <c r="C773" s="35" t="s">
        <v>2976</v>
      </c>
      <c r="D773" s="8">
        <f>COUNTIF(Table4[کد سیستم],Table2[[#This Row],[کد سیستم]])</f>
        <v>1</v>
      </c>
    </row>
    <row r="774" spans="1:4" hidden="1" x14ac:dyDescent="0.25">
      <c r="A774" s="35" t="s">
        <v>2977</v>
      </c>
      <c r="B774" s="35" t="s">
        <v>2978</v>
      </c>
      <c r="C774" s="35" t="s">
        <v>2979</v>
      </c>
      <c r="D774" s="8">
        <f>COUNTIF(Table4[کد سیستم],Table2[[#This Row],[کد سیستم]])</f>
        <v>1</v>
      </c>
    </row>
    <row r="775" spans="1:4" hidden="1" x14ac:dyDescent="0.25">
      <c r="A775" s="35" t="s">
        <v>2981</v>
      </c>
      <c r="B775" s="35" t="s">
        <v>2982</v>
      </c>
      <c r="C775" s="35" t="s">
        <v>2983</v>
      </c>
      <c r="D775" s="8">
        <f>COUNTIF(Table4[کد سیستم],Table2[[#This Row],[کد سیستم]])</f>
        <v>1</v>
      </c>
    </row>
    <row r="776" spans="1:4" hidden="1" x14ac:dyDescent="0.25">
      <c r="A776" s="35" t="s">
        <v>2984</v>
      </c>
      <c r="B776" s="35" t="s">
        <v>2984</v>
      </c>
      <c r="C776" s="35" t="s">
        <v>2985</v>
      </c>
      <c r="D776" s="8">
        <f>COUNTIF(Table4[کد سیستم],Table2[[#This Row],[کد سیستم]])</f>
        <v>1</v>
      </c>
    </row>
    <row r="777" spans="1:4" hidden="1" x14ac:dyDescent="0.25">
      <c r="A777" s="35" t="s">
        <v>2986</v>
      </c>
      <c r="B777" s="35" t="s">
        <v>2986</v>
      </c>
      <c r="C777" s="35" t="s">
        <v>2987</v>
      </c>
      <c r="D777" s="8">
        <f>COUNTIF(Table4[کد سیستم],Table2[[#This Row],[کد سیستم]])</f>
        <v>1</v>
      </c>
    </row>
    <row r="778" spans="1:4" hidden="1" x14ac:dyDescent="0.25">
      <c r="A778" s="35" t="s">
        <v>2988</v>
      </c>
      <c r="B778" s="35" t="s">
        <v>2988</v>
      </c>
      <c r="C778" s="35" t="s">
        <v>2989</v>
      </c>
      <c r="D778" s="8">
        <f>COUNTIF(Table4[کد سیستم],Table2[[#This Row],[کد سیستم]])</f>
        <v>1</v>
      </c>
    </row>
    <row r="779" spans="1:4" hidden="1" x14ac:dyDescent="0.25">
      <c r="A779" s="35" t="s">
        <v>2990</v>
      </c>
      <c r="B779" s="35" t="s">
        <v>2991</v>
      </c>
      <c r="C779" s="35" t="s">
        <v>2992</v>
      </c>
      <c r="D779" s="8">
        <f>COUNTIF(Table4[کد سیستم],Table2[[#This Row],[کد سیستم]])</f>
        <v>1</v>
      </c>
    </row>
    <row r="780" spans="1:4" hidden="1" x14ac:dyDescent="0.25">
      <c r="A780" s="35" t="s">
        <v>2993</v>
      </c>
      <c r="B780" s="35" t="s">
        <v>2994</v>
      </c>
      <c r="C780" s="35" t="s">
        <v>2995</v>
      </c>
      <c r="D780" s="8">
        <f>COUNTIF(Table4[کد سیستم],Table2[[#This Row],[کد سیستم]])</f>
        <v>1</v>
      </c>
    </row>
    <row r="781" spans="1:4" hidden="1" x14ac:dyDescent="0.25">
      <c r="A781" s="35" t="s">
        <v>2996</v>
      </c>
      <c r="B781" s="35" t="s">
        <v>2997</v>
      </c>
      <c r="C781" s="35" t="s">
        <v>2998</v>
      </c>
      <c r="D781" s="8">
        <f>COUNTIF(Table4[کد سیستم],Table2[[#This Row],[کد سیستم]])</f>
        <v>1</v>
      </c>
    </row>
    <row r="782" spans="1:4" hidden="1" x14ac:dyDescent="0.25">
      <c r="A782" s="35" t="s">
        <v>3779</v>
      </c>
      <c r="B782" s="35" t="s">
        <v>3779</v>
      </c>
      <c r="C782" s="35" t="s">
        <v>2980</v>
      </c>
      <c r="D782" s="8">
        <f>COUNTIF(Table4[کد سیستم],Table2[[#This Row],[کد سیستم]])</f>
        <v>1</v>
      </c>
    </row>
    <row r="783" spans="1:4" x14ac:dyDescent="0.25">
      <c r="A783" s="35" t="s">
        <v>2999</v>
      </c>
      <c r="B783" s="35" t="s">
        <v>3000</v>
      </c>
      <c r="C783" s="35" t="s">
        <v>3001</v>
      </c>
      <c r="D783" s="8">
        <f>COUNTIF(Table4[کد سیستم],Table2[[#This Row],[کد سیستم]])</f>
        <v>1</v>
      </c>
    </row>
    <row r="784" spans="1:4" hidden="1" x14ac:dyDescent="0.25">
      <c r="A784" s="35" t="s">
        <v>3002</v>
      </c>
      <c r="B784" s="35" t="s">
        <v>3003</v>
      </c>
      <c r="C784" s="35" t="s">
        <v>3004</v>
      </c>
      <c r="D784" s="8">
        <f>COUNTIF(Table4[کد سیستم],Table2[[#This Row],[کد سیستم]])</f>
        <v>1</v>
      </c>
    </row>
    <row r="785" spans="1:4" x14ac:dyDescent="0.25">
      <c r="A785" s="35" t="s">
        <v>4016</v>
      </c>
      <c r="B785" s="35" t="s">
        <v>4016</v>
      </c>
      <c r="C785" s="35" t="s">
        <v>4017</v>
      </c>
      <c r="D785" s="8">
        <f>COUNTIF(Table4[کد سیستم],Table2[[#This Row],[کد سیستم]])</f>
        <v>1</v>
      </c>
    </row>
    <row r="786" spans="1:4" hidden="1" x14ac:dyDescent="0.25">
      <c r="A786" s="35" t="s">
        <v>3005</v>
      </c>
      <c r="B786" s="35" t="s">
        <v>3005</v>
      </c>
      <c r="C786" s="35" t="s">
        <v>3006</v>
      </c>
      <c r="D786" s="8">
        <f>COUNTIF(Table4[کد سیستم],Table2[[#This Row],[کد سیستم]])</f>
        <v>1</v>
      </c>
    </row>
    <row r="787" spans="1:4" hidden="1" x14ac:dyDescent="0.25">
      <c r="A787" s="35" t="s">
        <v>3007</v>
      </c>
      <c r="B787" s="35" t="s">
        <v>3007</v>
      </c>
      <c r="C787" s="35" t="s">
        <v>3008</v>
      </c>
      <c r="D787" s="8">
        <f>COUNTIF(Table4[کد سیستم],Table2[[#This Row],[کد سیستم]])</f>
        <v>1</v>
      </c>
    </row>
    <row r="788" spans="1:4" hidden="1" x14ac:dyDescent="0.25">
      <c r="A788" s="35" t="s">
        <v>3009</v>
      </c>
      <c r="B788" s="35" t="s">
        <v>3009</v>
      </c>
      <c r="C788" s="35" t="s">
        <v>3010</v>
      </c>
      <c r="D788" s="8">
        <f>COUNTIF(Table4[کد سیستم],Table2[[#This Row],[کد سیستم]])</f>
        <v>1</v>
      </c>
    </row>
    <row r="789" spans="1:4" hidden="1" x14ac:dyDescent="0.25">
      <c r="A789" s="35" t="s">
        <v>3011</v>
      </c>
      <c r="B789" s="35" t="s">
        <v>3011</v>
      </c>
      <c r="C789" s="35" t="s">
        <v>3012</v>
      </c>
      <c r="D789" s="8">
        <f>COUNTIF(Table4[کد سیستم],Table2[[#This Row],[کد سیستم]])</f>
        <v>1</v>
      </c>
    </row>
    <row r="790" spans="1:4" hidden="1" x14ac:dyDescent="0.25">
      <c r="A790" s="35" t="s">
        <v>3013</v>
      </c>
      <c r="B790" s="35" t="s">
        <v>3013</v>
      </c>
      <c r="C790" s="35" t="s">
        <v>3014</v>
      </c>
      <c r="D790" s="8">
        <f>COUNTIF(Table4[کد سیستم],Table2[[#This Row],[کد سیستم]])</f>
        <v>1</v>
      </c>
    </row>
    <row r="791" spans="1:4" hidden="1" x14ac:dyDescent="0.25">
      <c r="A791" s="35" t="s">
        <v>3015</v>
      </c>
      <c r="B791" s="35" t="s">
        <v>3015</v>
      </c>
      <c r="C791" s="35" t="s">
        <v>3016</v>
      </c>
      <c r="D791" s="8">
        <f>COUNTIF(Table4[کد سیستم],Table2[[#This Row],[کد سیستم]])</f>
        <v>1</v>
      </c>
    </row>
    <row r="792" spans="1:4" hidden="1" x14ac:dyDescent="0.25">
      <c r="A792" s="35" t="s">
        <v>3017</v>
      </c>
      <c r="B792" s="35" t="s">
        <v>3017</v>
      </c>
      <c r="C792" s="35" t="s">
        <v>3018</v>
      </c>
      <c r="D792" s="8">
        <f>COUNTIF(Table4[کد سیستم],Table2[[#This Row],[کد سیستم]])</f>
        <v>1</v>
      </c>
    </row>
    <row r="793" spans="1:4" x14ac:dyDescent="0.25">
      <c r="A793" s="35" t="s">
        <v>4018</v>
      </c>
      <c r="B793" s="35" t="s">
        <v>4018</v>
      </c>
      <c r="C793" s="35" t="s">
        <v>4019</v>
      </c>
      <c r="D793" s="8">
        <f>COUNTIF(Table4[کد سیستم],Table2[[#This Row],[کد سیستم]])</f>
        <v>1</v>
      </c>
    </row>
    <row r="794" spans="1:4" hidden="1" x14ac:dyDescent="0.25">
      <c r="A794" s="35" t="s">
        <v>3019</v>
      </c>
      <c r="B794" s="35" t="s">
        <v>3020</v>
      </c>
      <c r="C794" s="35" t="s">
        <v>3021</v>
      </c>
      <c r="D794" s="8">
        <f>COUNTIF(Table4[کد سیستم],Table2[[#This Row],[کد سیستم]])</f>
        <v>1</v>
      </c>
    </row>
    <row r="795" spans="1:4" x14ac:dyDescent="0.25">
      <c r="A795" s="35" t="s">
        <v>4020</v>
      </c>
      <c r="B795" s="35" t="s">
        <v>4020</v>
      </c>
      <c r="C795" s="35" t="s">
        <v>4021</v>
      </c>
      <c r="D795" s="8">
        <f>COUNTIF(Table4[کد سیستم],Table2[[#This Row],[کد سیستم]])</f>
        <v>1</v>
      </c>
    </row>
    <row r="796" spans="1:4" x14ac:dyDescent="0.25">
      <c r="A796" s="35" t="s">
        <v>4022</v>
      </c>
      <c r="B796" s="35" t="s">
        <v>4022</v>
      </c>
      <c r="C796" s="35" t="s">
        <v>4023</v>
      </c>
      <c r="D796" s="8">
        <f>COUNTIF(Table4[کد سیستم],Table2[[#This Row],[کد سیستم]])</f>
        <v>1</v>
      </c>
    </row>
    <row r="797" spans="1:4" x14ac:dyDescent="0.25">
      <c r="A797" s="35" t="s">
        <v>4024</v>
      </c>
      <c r="B797" s="35" t="s">
        <v>4024</v>
      </c>
      <c r="C797" s="35" t="s">
        <v>4025</v>
      </c>
      <c r="D797" s="8">
        <f>COUNTIF(Table4[کد سیستم],Table2[[#This Row],[کد سیستم]])</f>
        <v>1</v>
      </c>
    </row>
    <row r="798" spans="1:4" x14ac:dyDescent="0.25">
      <c r="A798" s="35" t="s">
        <v>4026</v>
      </c>
      <c r="B798" s="35" t="s">
        <v>4026</v>
      </c>
      <c r="C798" s="35" t="s">
        <v>4027</v>
      </c>
      <c r="D798" s="8">
        <f>COUNTIF(Table4[کد سیستم],Table2[[#This Row],[کد سیستم]])</f>
        <v>1</v>
      </c>
    </row>
    <row r="799" spans="1:4" x14ac:dyDescent="0.25">
      <c r="A799" s="35" t="s">
        <v>4028</v>
      </c>
      <c r="B799" s="35" t="s">
        <v>4028</v>
      </c>
      <c r="C799" s="35" t="s">
        <v>4029</v>
      </c>
      <c r="D799" s="8">
        <f>COUNTIF(Table4[کد سیستم],Table2[[#This Row],[کد سیستم]])</f>
        <v>1</v>
      </c>
    </row>
    <row r="800" spans="1:4" hidden="1" x14ac:dyDescent="0.25">
      <c r="A800" s="35" t="s">
        <v>3022</v>
      </c>
      <c r="B800" s="35" t="s">
        <v>3023</v>
      </c>
      <c r="C800" s="35" t="s">
        <v>3024</v>
      </c>
      <c r="D800" s="8">
        <f>COUNTIF(Table4[کد سیستم],Table2[[#This Row],[کد سیستم]])</f>
        <v>1</v>
      </c>
    </row>
    <row r="801" spans="1:4" hidden="1" x14ac:dyDescent="0.25">
      <c r="A801" s="35" t="s">
        <v>3025</v>
      </c>
      <c r="B801" s="35" t="s">
        <v>3025</v>
      </c>
      <c r="C801" s="35" t="s">
        <v>3026</v>
      </c>
      <c r="D801" s="8">
        <f>COUNTIF(Table4[کد سیستم],Table2[[#This Row],[کد سیستم]])</f>
        <v>1</v>
      </c>
    </row>
    <row r="802" spans="1:4" hidden="1" x14ac:dyDescent="0.25">
      <c r="A802" s="35" t="s">
        <v>3027</v>
      </c>
      <c r="B802" s="35" t="s">
        <v>3027</v>
      </c>
      <c r="C802" s="35" t="s">
        <v>3028</v>
      </c>
      <c r="D802" s="8">
        <f>COUNTIF(Table4[کد سیستم],Table2[[#This Row],[کد سیستم]])</f>
        <v>1</v>
      </c>
    </row>
    <row r="803" spans="1:4" hidden="1" x14ac:dyDescent="0.25">
      <c r="A803" s="35" t="s">
        <v>3029</v>
      </c>
      <c r="B803" s="35" t="s">
        <v>3029</v>
      </c>
      <c r="C803" s="35" t="s">
        <v>3030</v>
      </c>
      <c r="D803" s="8">
        <f>COUNTIF(Table4[کد سیستم],Table2[[#This Row],[کد سیستم]])</f>
        <v>1</v>
      </c>
    </row>
    <row r="804" spans="1:4" hidden="1" x14ac:dyDescent="0.25">
      <c r="A804" s="35" t="s">
        <v>3031</v>
      </c>
      <c r="B804" s="35" t="s">
        <v>3032</v>
      </c>
      <c r="C804" s="35" t="s">
        <v>3033</v>
      </c>
      <c r="D804" s="8">
        <f>COUNTIF(Table4[کد سیستم],Table2[[#This Row],[کد سیستم]])</f>
        <v>1</v>
      </c>
    </row>
    <row r="805" spans="1:4" hidden="1" x14ac:dyDescent="0.25">
      <c r="A805" s="35" t="s">
        <v>3034</v>
      </c>
      <c r="B805" s="35" t="s">
        <v>3034</v>
      </c>
      <c r="C805" s="35" t="s">
        <v>3035</v>
      </c>
      <c r="D805" s="8">
        <f>COUNTIF(Table4[کد سیستم],Table2[[#This Row],[کد سیستم]])</f>
        <v>1</v>
      </c>
    </row>
    <row r="806" spans="1:4" hidden="1" x14ac:dyDescent="0.25">
      <c r="A806" s="35" t="s">
        <v>3036</v>
      </c>
      <c r="B806" s="35" t="s">
        <v>3036</v>
      </c>
      <c r="C806" s="35" t="s">
        <v>3037</v>
      </c>
      <c r="D806" s="8">
        <f>COUNTIF(Table4[کد سیستم],Table2[[#This Row],[کد سیستم]])</f>
        <v>1</v>
      </c>
    </row>
    <row r="807" spans="1:4" hidden="1" x14ac:dyDescent="0.25">
      <c r="A807" s="35" t="s">
        <v>3038</v>
      </c>
      <c r="B807" s="35" t="s">
        <v>3039</v>
      </c>
      <c r="C807" s="35" t="s">
        <v>3040</v>
      </c>
      <c r="D807" s="8">
        <f>COUNTIF(Table4[کد سیستم],Table2[[#This Row],[کد سیستم]])</f>
        <v>1</v>
      </c>
    </row>
    <row r="808" spans="1:4" hidden="1" x14ac:dyDescent="0.25">
      <c r="A808" s="35" t="s">
        <v>3041</v>
      </c>
      <c r="B808" s="35" t="s">
        <v>3041</v>
      </c>
      <c r="C808" s="35" t="s">
        <v>3042</v>
      </c>
      <c r="D808" s="8">
        <f>COUNTIF(Table4[کد سیستم],Table2[[#This Row],[کد سیستم]])</f>
        <v>1</v>
      </c>
    </row>
    <row r="809" spans="1:4" hidden="1" x14ac:dyDescent="0.25">
      <c r="A809" s="35" t="s">
        <v>3043</v>
      </c>
      <c r="B809" s="35" t="s">
        <v>3043</v>
      </c>
      <c r="C809" s="35" t="s">
        <v>3044</v>
      </c>
      <c r="D809" s="8">
        <f>COUNTIF(Table4[کد سیستم],Table2[[#This Row],[کد سیستم]])</f>
        <v>1</v>
      </c>
    </row>
    <row r="810" spans="1:4" hidden="1" x14ac:dyDescent="0.25">
      <c r="A810" s="35" t="s">
        <v>3045</v>
      </c>
      <c r="B810" s="35" t="s">
        <v>3045</v>
      </c>
      <c r="C810" s="35" t="s">
        <v>3046</v>
      </c>
      <c r="D810" s="8">
        <f>COUNTIF(Table4[کد سیستم],Table2[[#This Row],[کد سیستم]])</f>
        <v>1</v>
      </c>
    </row>
    <row r="811" spans="1:4" hidden="1" x14ac:dyDescent="0.25">
      <c r="A811" s="35" t="s">
        <v>3047</v>
      </c>
      <c r="B811" s="35" t="s">
        <v>3047</v>
      </c>
      <c r="C811" s="35" t="s">
        <v>3048</v>
      </c>
      <c r="D811" s="8">
        <f>COUNTIF(Table4[کد سیستم],Table2[[#This Row],[کد سیستم]])</f>
        <v>1</v>
      </c>
    </row>
    <row r="812" spans="1:4" hidden="1" x14ac:dyDescent="0.25">
      <c r="A812" s="35" t="s">
        <v>3049</v>
      </c>
      <c r="B812" s="35" t="s">
        <v>3049</v>
      </c>
      <c r="C812" s="35" t="s">
        <v>3050</v>
      </c>
      <c r="D812" s="8">
        <f>COUNTIF(Table4[کد سیستم],Table2[[#This Row],[کد سیستم]])</f>
        <v>1</v>
      </c>
    </row>
    <row r="813" spans="1:4" hidden="1" x14ac:dyDescent="0.25">
      <c r="A813" s="35" t="s">
        <v>3051</v>
      </c>
      <c r="B813" s="35" t="s">
        <v>3051</v>
      </c>
      <c r="C813" s="35" t="s">
        <v>3052</v>
      </c>
      <c r="D813" s="8">
        <f>COUNTIF(Table4[کد سیستم],Table2[[#This Row],[کد سیستم]])</f>
        <v>1</v>
      </c>
    </row>
    <row r="814" spans="1:4" hidden="1" x14ac:dyDescent="0.25">
      <c r="A814" s="35" t="s">
        <v>3053</v>
      </c>
      <c r="B814" s="35" t="s">
        <v>3053</v>
      </c>
      <c r="C814" s="35" t="s">
        <v>3054</v>
      </c>
      <c r="D814" s="8">
        <f>COUNTIF(Table4[کد سیستم],Table2[[#This Row],[کد سیستم]])</f>
        <v>1</v>
      </c>
    </row>
    <row r="815" spans="1:4" hidden="1" x14ac:dyDescent="0.25">
      <c r="A815" s="35" t="s">
        <v>3055</v>
      </c>
      <c r="B815" s="35" t="s">
        <v>3055</v>
      </c>
      <c r="C815" s="35" t="s">
        <v>3056</v>
      </c>
      <c r="D815" s="8">
        <f>COUNTIF(Table4[کد سیستم],Table2[[#This Row],[کد سیستم]])</f>
        <v>1</v>
      </c>
    </row>
    <row r="816" spans="1:4" hidden="1" x14ac:dyDescent="0.25">
      <c r="A816" s="35" t="s">
        <v>3057</v>
      </c>
      <c r="B816" s="35" t="s">
        <v>3057</v>
      </c>
      <c r="C816" s="35" t="s">
        <v>3058</v>
      </c>
      <c r="D816" s="8">
        <f>COUNTIF(Table4[کد سیستم],Table2[[#This Row],[کد سیستم]])</f>
        <v>1</v>
      </c>
    </row>
    <row r="817" spans="1:4" hidden="1" x14ac:dyDescent="0.25">
      <c r="A817" s="35" t="s">
        <v>3059</v>
      </c>
      <c r="B817" s="35" t="s">
        <v>3059</v>
      </c>
      <c r="C817" s="35" t="s">
        <v>3060</v>
      </c>
      <c r="D817" s="8">
        <f>COUNTIF(Table4[کد سیستم],Table2[[#This Row],[کد سیستم]])</f>
        <v>1</v>
      </c>
    </row>
    <row r="818" spans="1:4" hidden="1" x14ac:dyDescent="0.25">
      <c r="A818" s="35" t="s">
        <v>3061</v>
      </c>
      <c r="B818" s="35" t="s">
        <v>3061</v>
      </c>
      <c r="C818" s="35" t="s">
        <v>3062</v>
      </c>
      <c r="D818" s="8">
        <f>COUNTIF(Table4[کد سیستم],Table2[[#This Row],[کد سیستم]])</f>
        <v>1</v>
      </c>
    </row>
    <row r="819" spans="1:4" hidden="1" x14ac:dyDescent="0.25">
      <c r="A819" s="35" t="s">
        <v>3063</v>
      </c>
      <c r="B819" s="35" t="s">
        <v>3063</v>
      </c>
      <c r="C819" s="35" t="s">
        <v>3064</v>
      </c>
      <c r="D819" s="8">
        <f>COUNTIF(Table4[کد سیستم],Table2[[#This Row],[کد سیستم]])</f>
        <v>1</v>
      </c>
    </row>
    <row r="820" spans="1:4" hidden="1" x14ac:dyDescent="0.25">
      <c r="A820" s="35" t="s">
        <v>3065</v>
      </c>
      <c r="B820" s="35" t="s">
        <v>3065</v>
      </c>
      <c r="C820" s="35" t="s">
        <v>3066</v>
      </c>
      <c r="D820" s="8">
        <f>COUNTIF(Table4[کد سیستم],Table2[[#This Row],[کد سیستم]])</f>
        <v>1</v>
      </c>
    </row>
    <row r="821" spans="1:4" hidden="1" x14ac:dyDescent="0.25">
      <c r="A821" s="35" t="s">
        <v>3067</v>
      </c>
      <c r="B821" s="35" t="s">
        <v>3067</v>
      </c>
      <c r="C821" s="35" t="s">
        <v>3068</v>
      </c>
      <c r="D821" s="8">
        <f>COUNTIF(Table4[کد سیستم],Table2[[#This Row],[کد سیستم]])</f>
        <v>1</v>
      </c>
    </row>
    <row r="822" spans="1:4" hidden="1" x14ac:dyDescent="0.25">
      <c r="A822" s="35" t="s">
        <v>3069</v>
      </c>
      <c r="B822" s="35" t="s">
        <v>3069</v>
      </c>
      <c r="C822" s="35" t="s">
        <v>3070</v>
      </c>
      <c r="D822" s="8">
        <f>COUNTIF(Table4[کد سیستم],Table2[[#This Row],[کد سیستم]])</f>
        <v>1</v>
      </c>
    </row>
    <row r="823" spans="1:4" hidden="1" x14ac:dyDescent="0.25">
      <c r="A823" s="35" t="s">
        <v>3071</v>
      </c>
      <c r="B823" s="35" t="s">
        <v>3071</v>
      </c>
      <c r="C823" s="35" t="s">
        <v>3072</v>
      </c>
      <c r="D823" s="8">
        <f>COUNTIF(Table4[کد سیستم],Table2[[#This Row],[کد سیستم]])</f>
        <v>1</v>
      </c>
    </row>
    <row r="824" spans="1:4" hidden="1" x14ac:dyDescent="0.25">
      <c r="A824" s="35" t="s">
        <v>3073</v>
      </c>
      <c r="B824" s="35" t="s">
        <v>3073</v>
      </c>
      <c r="C824" s="35" t="s">
        <v>3074</v>
      </c>
      <c r="D824" s="8">
        <f>COUNTIF(Table4[کد سیستم],Table2[[#This Row],[کد سیستم]])</f>
        <v>1</v>
      </c>
    </row>
    <row r="825" spans="1:4" hidden="1" x14ac:dyDescent="0.25">
      <c r="A825" s="35" t="s">
        <v>3075</v>
      </c>
      <c r="B825" s="35" t="s">
        <v>3075</v>
      </c>
      <c r="C825" s="35" t="s">
        <v>3076</v>
      </c>
      <c r="D825" s="8">
        <f>COUNTIF(Table4[کد سیستم],Table2[[#This Row],[کد سیستم]])</f>
        <v>1</v>
      </c>
    </row>
    <row r="826" spans="1:4" hidden="1" x14ac:dyDescent="0.25">
      <c r="A826" s="35" t="s">
        <v>3077</v>
      </c>
      <c r="B826" s="35" t="s">
        <v>3077</v>
      </c>
      <c r="C826" s="35" t="s">
        <v>3078</v>
      </c>
      <c r="D826" s="8">
        <f>COUNTIF(Table4[کد سیستم],Table2[[#This Row],[کد سیستم]])</f>
        <v>1</v>
      </c>
    </row>
    <row r="827" spans="1:4" hidden="1" x14ac:dyDescent="0.25">
      <c r="A827" s="35" t="s">
        <v>3079</v>
      </c>
      <c r="B827" s="35" t="s">
        <v>3079</v>
      </c>
      <c r="C827" s="35" t="s">
        <v>3080</v>
      </c>
      <c r="D827" s="8">
        <f>COUNTIF(Table4[کد سیستم],Table2[[#This Row],[کد سیستم]])</f>
        <v>1</v>
      </c>
    </row>
    <row r="828" spans="1:4" hidden="1" x14ac:dyDescent="0.25">
      <c r="A828" s="35" t="s">
        <v>3081</v>
      </c>
      <c r="B828" s="35" t="s">
        <v>3081</v>
      </c>
      <c r="C828" s="35" t="s">
        <v>3082</v>
      </c>
      <c r="D828" s="8">
        <f>COUNTIF(Table4[کد سیستم],Table2[[#This Row],[کد سیستم]])</f>
        <v>1</v>
      </c>
    </row>
    <row r="829" spans="1:4" hidden="1" x14ac:dyDescent="0.25">
      <c r="A829" s="35" t="s">
        <v>3083</v>
      </c>
      <c r="B829" s="35" t="s">
        <v>3083</v>
      </c>
      <c r="C829" s="35" t="s">
        <v>3084</v>
      </c>
      <c r="D829" s="8">
        <f>COUNTIF(Table4[کد سیستم],Table2[[#This Row],[کد سیستم]])</f>
        <v>1</v>
      </c>
    </row>
    <row r="830" spans="1:4" hidden="1" x14ac:dyDescent="0.25">
      <c r="A830" s="35" t="s">
        <v>3085</v>
      </c>
      <c r="B830" s="35" t="s">
        <v>3085</v>
      </c>
      <c r="C830" s="35" t="s">
        <v>3086</v>
      </c>
      <c r="D830" s="8">
        <f>COUNTIF(Table4[کد سیستم],Table2[[#This Row],[کد سیستم]])</f>
        <v>1</v>
      </c>
    </row>
    <row r="831" spans="1:4" hidden="1" x14ac:dyDescent="0.25">
      <c r="A831" s="35" t="s">
        <v>3087</v>
      </c>
      <c r="B831" s="35" t="s">
        <v>3087</v>
      </c>
      <c r="C831" s="35" t="s">
        <v>3088</v>
      </c>
      <c r="D831" s="8">
        <f>COUNTIF(Table4[کد سیستم],Table2[[#This Row],[کد سیستم]])</f>
        <v>1</v>
      </c>
    </row>
    <row r="832" spans="1:4" hidden="1" x14ac:dyDescent="0.25">
      <c r="A832" s="35" t="s">
        <v>3089</v>
      </c>
      <c r="B832" s="35" t="s">
        <v>3089</v>
      </c>
      <c r="C832" s="35" t="s">
        <v>3090</v>
      </c>
      <c r="D832" s="8">
        <f>COUNTIF(Table4[کد سیستم],Table2[[#This Row],[کد سیستم]])</f>
        <v>1</v>
      </c>
    </row>
    <row r="833" spans="1:4" hidden="1" x14ac:dyDescent="0.25">
      <c r="A833" s="35" t="s">
        <v>3091</v>
      </c>
      <c r="B833" s="35" t="s">
        <v>3091</v>
      </c>
      <c r="C833" s="35" t="s">
        <v>3092</v>
      </c>
      <c r="D833" s="8">
        <f>COUNTIF(Table4[کد سیستم],Table2[[#This Row],[کد سیستم]])</f>
        <v>1</v>
      </c>
    </row>
    <row r="834" spans="1:4" hidden="1" x14ac:dyDescent="0.25">
      <c r="A834" s="35" t="s">
        <v>3093</v>
      </c>
      <c r="B834" s="35" t="s">
        <v>3093</v>
      </c>
      <c r="C834" s="35" t="s">
        <v>3094</v>
      </c>
      <c r="D834" s="8">
        <f>COUNTIF(Table4[کد سیستم],Table2[[#This Row],[کد سیستم]])</f>
        <v>1</v>
      </c>
    </row>
    <row r="835" spans="1:4" hidden="1" x14ac:dyDescent="0.25">
      <c r="A835" s="35" t="s">
        <v>3095</v>
      </c>
      <c r="B835" s="35" t="s">
        <v>3095</v>
      </c>
      <c r="C835" s="35" t="s">
        <v>3096</v>
      </c>
      <c r="D835" s="8">
        <f>COUNTIF(Table4[کد سیستم],Table2[[#This Row],[کد سیستم]])</f>
        <v>1</v>
      </c>
    </row>
    <row r="836" spans="1:4" hidden="1" x14ac:dyDescent="0.25">
      <c r="A836" s="35" t="s">
        <v>3097</v>
      </c>
      <c r="B836" s="35" t="s">
        <v>3097</v>
      </c>
      <c r="C836" s="35" t="s">
        <v>3098</v>
      </c>
      <c r="D836" s="8">
        <f>COUNTIF(Table4[کد سیستم],Table2[[#This Row],[کد سیستم]])</f>
        <v>1</v>
      </c>
    </row>
    <row r="837" spans="1:4" hidden="1" x14ac:dyDescent="0.25">
      <c r="A837" s="35" t="s">
        <v>3099</v>
      </c>
      <c r="B837" s="35" t="s">
        <v>3099</v>
      </c>
      <c r="C837" s="35" t="s">
        <v>3100</v>
      </c>
      <c r="D837" s="8">
        <f>COUNTIF(Table4[کد سیستم],Table2[[#This Row],[کد سیستم]])</f>
        <v>1</v>
      </c>
    </row>
    <row r="838" spans="1:4" hidden="1" x14ac:dyDescent="0.25">
      <c r="A838" s="35" t="s">
        <v>3101</v>
      </c>
      <c r="B838" s="35" t="s">
        <v>3101</v>
      </c>
      <c r="C838" s="35" t="s">
        <v>3102</v>
      </c>
      <c r="D838" s="8">
        <f>COUNTIF(Table4[کد سیستم],Table2[[#This Row],[کد سیستم]])</f>
        <v>1</v>
      </c>
    </row>
    <row r="839" spans="1:4" hidden="1" x14ac:dyDescent="0.25">
      <c r="A839" s="35" t="s">
        <v>3103</v>
      </c>
      <c r="B839" s="35" t="s">
        <v>3103</v>
      </c>
      <c r="C839" s="35" t="s">
        <v>3104</v>
      </c>
      <c r="D839" s="8">
        <f>COUNTIF(Table4[کد سیستم],Table2[[#This Row],[کد سیستم]])</f>
        <v>1</v>
      </c>
    </row>
    <row r="840" spans="1:4" hidden="1" x14ac:dyDescent="0.25">
      <c r="A840" s="35" t="s">
        <v>3105</v>
      </c>
      <c r="B840" s="35" t="s">
        <v>3105</v>
      </c>
      <c r="C840" s="35" t="s">
        <v>3106</v>
      </c>
      <c r="D840" s="8">
        <f>COUNTIF(Table4[کد سیستم],Table2[[#This Row],[کد سیستم]])</f>
        <v>1</v>
      </c>
    </row>
    <row r="841" spans="1:4" hidden="1" x14ac:dyDescent="0.25">
      <c r="A841" s="35" t="s">
        <v>3107</v>
      </c>
      <c r="B841" s="35" t="s">
        <v>3107</v>
      </c>
      <c r="C841" s="35" t="s">
        <v>3108</v>
      </c>
      <c r="D841" s="8">
        <f>COUNTIF(Table4[کد سیستم],Table2[[#This Row],[کد سیستم]])</f>
        <v>1</v>
      </c>
    </row>
    <row r="842" spans="1:4" hidden="1" x14ac:dyDescent="0.25">
      <c r="A842" s="35" t="s">
        <v>3109</v>
      </c>
      <c r="B842" s="35" t="s">
        <v>3109</v>
      </c>
      <c r="C842" s="35" t="s">
        <v>3110</v>
      </c>
      <c r="D842" s="8">
        <f>COUNTIF(Table4[کد سیستم],Table2[[#This Row],[کد سیستم]])</f>
        <v>1</v>
      </c>
    </row>
    <row r="843" spans="1:4" hidden="1" x14ac:dyDescent="0.25">
      <c r="A843" s="35" t="s">
        <v>3111</v>
      </c>
      <c r="B843" s="35" t="s">
        <v>3111</v>
      </c>
      <c r="C843" s="35" t="s">
        <v>3112</v>
      </c>
      <c r="D843" s="8">
        <f>COUNTIF(Table4[کد سیستم],Table2[[#This Row],[کد سیستم]])</f>
        <v>1</v>
      </c>
    </row>
    <row r="844" spans="1:4" hidden="1" x14ac:dyDescent="0.25">
      <c r="A844" s="35" t="s">
        <v>3113</v>
      </c>
      <c r="B844" s="35" t="s">
        <v>3113</v>
      </c>
      <c r="C844" s="35" t="s">
        <v>3114</v>
      </c>
      <c r="D844" s="8">
        <f>COUNTIF(Table4[کد سیستم],Table2[[#This Row],[کد سیستم]])</f>
        <v>1</v>
      </c>
    </row>
    <row r="845" spans="1:4" hidden="1" x14ac:dyDescent="0.25">
      <c r="A845" s="35" t="s">
        <v>3115</v>
      </c>
      <c r="B845" s="35" t="s">
        <v>3115</v>
      </c>
      <c r="C845" s="35" t="s">
        <v>3116</v>
      </c>
      <c r="D845" s="8">
        <f>COUNTIF(Table4[کد سیستم],Table2[[#This Row],[کد سیستم]])</f>
        <v>1</v>
      </c>
    </row>
    <row r="846" spans="1:4" hidden="1" x14ac:dyDescent="0.25">
      <c r="A846" s="35" t="s">
        <v>3117</v>
      </c>
      <c r="B846" s="35" t="s">
        <v>3117</v>
      </c>
      <c r="C846" s="35" t="s">
        <v>3118</v>
      </c>
      <c r="D846" s="8">
        <f>COUNTIF(Table4[کد سیستم],Table2[[#This Row],[کد سیستم]])</f>
        <v>1</v>
      </c>
    </row>
    <row r="847" spans="1:4" hidden="1" x14ac:dyDescent="0.25">
      <c r="A847" s="35" t="s">
        <v>3119</v>
      </c>
      <c r="B847" s="35" t="s">
        <v>3119</v>
      </c>
      <c r="C847" s="35" t="s">
        <v>3120</v>
      </c>
      <c r="D847" s="8">
        <f>COUNTIF(Table4[کد سیستم],Table2[[#This Row],[کد سیستم]])</f>
        <v>1</v>
      </c>
    </row>
    <row r="848" spans="1:4" hidden="1" x14ac:dyDescent="0.25">
      <c r="A848" s="35" t="s">
        <v>3121</v>
      </c>
      <c r="B848" s="35" t="s">
        <v>3121</v>
      </c>
      <c r="C848" s="35" t="s">
        <v>3122</v>
      </c>
      <c r="D848" s="8">
        <f>COUNTIF(Table4[کد سیستم],Table2[[#This Row],[کد سیستم]])</f>
        <v>1</v>
      </c>
    </row>
    <row r="849" spans="1:4" hidden="1" x14ac:dyDescent="0.25">
      <c r="A849" s="35" t="s">
        <v>3123</v>
      </c>
      <c r="B849" s="35" t="s">
        <v>3123</v>
      </c>
      <c r="C849" s="35" t="s">
        <v>3124</v>
      </c>
      <c r="D849" s="8">
        <f>COUNTIF(Table4[کد سیستم],Table2[[#This Row],[کد سیستم]])</f>
        <v>1</v>
      </c>
    </row>
    <row r="850" spans="1:4" hidden="1" x14ac:dyDescent="0.25">
      <c r="A850" s="35" t="s">
        <v>3125</v>
      </c>
      <c r="B850" s="35" t="s">
        <v>3125</v>
      </c>
      <c r="C850" s="35" t="s">
        <v>3126</v>
      </c>
      <c r="D850" s="8">
        <f>COUNTIF(Table4[کد سیستم],Table2[[#This Row],[کد سیستم]])</f>
        <v>1</v>
      </c>
    </row>
    <row r="851" spans="1:4" hidden="1" x14ac:dyDescent="0.25">
      <c r="A851" s="35" t="s">
        <v>3127</v>
      </c>
      <c r="B851" s="35" t="s">
        <v>3127</v>
      </c>
      <c r="C851" s="35" t="s">
        <v>3128</v>
      </c>
      <c r="D851" s="8">
        <f>COUNTIF(Table4[کد سیستم],Table2[[#This Row],[کد سیستم]])</f>
        <v>1</v>
      </c>
    </row>
    <row r="852" spans="1:4" hidden="1" x14ac:dyDescent="0.25">
      <c r="A852" s="35" t="s">
        <v>3129</v>
      </c>
      <c r="B852" s="35" t="s">
        <v>3129</v>
      </c>
      <c r="C852" s="35" t="s">
        <v>3130</v>
      </c>
      <c r="D852" s="8">
        <f>COUNTIF(Table4[کد سیستم],Table2[[#This Row],[کد سیستم]])</f>
        <v>1</v>
      </c>
    </row>
    <row r="853" spans="1:4" hidden="1" x14ac:dyDescent="0.25">
      <c r="A853" s="35" t="s">
        <v>3131</v>
      </c>
      <c r="B853" s="35" t="s">
        <v>3131</v>
      </c>
      <c r="C853" s="35" t="s">
        <v>3132</v>
      </c>
      <c r="D853" s="8">
        <f>COUNTIF(Table4[کد سیستم],Table2[[#This Row],[کد سیستم]])</f>
        <v>1</v>
      </c>
    </row>
    <row r="854" spans="1:4" hidden="1" x14ac:dyDescent="0.25">
      <c r="A854" s="35" t="s">
        <v>3133</v>
      </c>
      <c r="B854" s="35" t="s">
        <v>3133</v>
      </c>
      <c r="C854" s="35" t="s">
        <v>3134</v>
      </c>
      <c r="D854" s="8">
        <f>COUNTIF(Table4[کد سیستم],Table2[[#This Row],[کد سیستم]])</f>
        <v>1</v>
      </c>
    </row>
    <row r="855" spans="1:4" hidden="1" x14ac:dyDescent="0.25">
      <c r="A855" s="35" t="s">
        <v>3135</v>
      </c>
      <c r="B855" s="35" t="s">
        <v>3135</v>
      </c>
      <c r="C855" s="35" t="s">
        <v>3136</v>
      </c>
      <c r="D855" s="8">
        <f>COUNTIF(Table4[کد سیستم],Table2[[#This Row],[کد سیستم]])</f>
        <v>1</v>
      </c>
    </row>
    <row r="856" spans="1:4" hidden="1" x14ac:dyDescent="0.25">
      <c r="A856" s="35" t="s">
        <v>3137</v>
      </c>
      <c r="B856" s="35" t="s">
        <v>3137</v>
      </c>
      <c r="C856" s="35" t="s">
        <v>3138</v>
      </c>
      <c r="D856" s="8">
        <f>COUNTIF(Table4[کد سیستم],Table2[[#This Row],[کد سیستم]])</f>
        <v>1</v>
      </c>
    </row>
    <row r="857" spans="1:4" hidden="1" x14ac:dyDescent="0.25">
      <c r="A857" s="35" t="s">
        <v>3139</v>
      </c>
      <c r="B857" s="35" t="s">
        <v>3139</v>
      </c>
      <c r="C857" s="35" t="s">
        <v>3140</v>
      </c>
      <c r="D857" s="8">
        <f>COUNTIF(Table4[کد سیستم],Table2[[#This Row],[کد سیستم]])</f>
        <v>1</v>
      </c>
    </row>
    <row r="858" spans="1:4" hidden="1" x14ac:dyDescent="0.25">
      <c r="A858" s="35" t="s">
        <v>3141</v>
      </c>
      <c r="B858" s="35" t="s">
        <v>3141</v>
      </c>
      <c r="C858" s="35" t="s">
        <v>3142</v>
      </c>
      <c r="D858" s="8">
        <f>COUNTIF(Table4[کد سیستم],Table2[[#This Row],[کد سیستم]])</f>
        <v>1</v>
      </c>
    </row>
    <row r="859" spans="1:4" hidden="1" x14ac:dyDescent="0.25">
      <c r="A859" s="35" t="s">
        <v>3143</v>
      </c>
      <c r="B859" s="35" t="s">
        <v>3143</v>
      </c>
      <c r="C859" s="35" t="s">
        <v>3144</v>
      </c>
      <c r="D859" s="8">
        <f>COUNTIF(Table4[کد سیستم],Table2[[#This Row],[کد سیستم]])</f>
        <v>1</v>
      </c>
    </row>
    <row r="860" spans="1:4" hidden="1" x14ac:dyDescent="0.25">
      <c r="A860" s="35" t="s">
        <v>3145</v>
      </c>
      <c r="B860" s="35" t="s">
        <v>3145</v>
      </c>
      <c r="C860" s="35" t="s">
        <v>3146</v>
      </c>
      <c r="D860" s="8">
        <f>COUNTIF(Table4[کد سیستم],Table2[[#This Row],[کد سیستم]])</f>
        <v>1</v>
      </c>
    </row>
    <row r="861" spans="1:4" hidden="1" x14ac:dyDescent="0.25">
      <c r="A861" s="35" t="s">
        <v>3147</v>
      </c>
      <c r="B861" s="35" t="s">
        <v>3147</v>
      </c>
      <c r="C861" s="35" t="s">
        <v>3148</v>
      </c>
      <c r="D861" s="8">
        <f>COUNTIF(Table4[کد سیستم],Table2[[#This Row],[کد سیستم]])</f>
        <v>1</v>
      </c>
    </row>
    <row r="862" spans="1:4" hidden="1" x14ac:dyDescent="0.25">
      <c r="A862" s="35" t="s">
        <v>3149</v>
      </c>
      <c r="B862" s="35" t="s">
        <v>3149</v>
      </c>
      <c r="C862" s="35" t="s">
        <v>3150</v>
      </c>
      <c r="D862" s="8">
        <f>COUNTIF(Table4[کد سیستم],Table2[[#This Row],[کد سیستم]])</f>
        <v>1</v>
      </c>
    </row>
    <row r="863" spans="1:4" hidden="1" x14ac:dyDescent="0.25">
      <c r="A863" s="35" t="s">
        <v>3151</v>
      </c>
      <c r="B863" s="35" t="s">
        <v>3151</v>
      </c>
      <c r="C863" s="35" t="s">
        <v>3152</v>
      </c>
      <c r="D863" s="8">
        <f>COUNTIF(Table4[کد سیستم],Table2[[#This Row],[کد سیستم]])</f>
        <v>1</v>
      </c>
    </row>
    <row r="864" spans="1:4" hidden="1" x14ac:dyDescent="0.25">
      <c r="A864" s="35" t="s">
        <v>3153</v>
      </c>
      <c r="B864" s="35" t="s">
        <v>3153</v>
      </c>
      <c r="C864" s="35" t="s">
        <v>3154</v>
      </c>
      <c r="D864" s="8">
        <f>COUNTIF(Table4[کد سیستم],Table2[[#This Row],[کد سیستم]])</f>
        <v>1</v>
      </c>
    </row>
    <row r="865" spans="1:4" hidden="1" x14ac:dyDescent="0.25">
      <c r="A865" s="35" t="s">
        <v>3155</v>
      </c>
      <c r="B865" s="35" t="s">
        <v>3155</v>
      </c>
      <c r="C865" s="35" t="s">
        <v>3156</v>
      </c>
      <c r="D865" s="8">
        <f>COUNTIF(Table4[کد سیستم],Table2[[#This Row],[کد سیستم]])</f>
        <v>1</v>
      </c>
    </row>
    <row r="866" spans="1:4" hidden="1" x14ac:dyDescent="0.25">
      <c r="A866" s="35" t="s">
        <v>3157</v>
      </c>
      <c r="B866" s="35" t="s">
        <v>3157</v>
      </c>
      <c r="C866" s="35" t="s">
        <v>3158</v>
      </c>
      <c r="D866" s="8">
        <f>COUNTIF(Table4[کد سیستم],Table2[[#This Row],[کد سیستم]])</f>
        <v>1</v>
      </c>
    </row>
    <row r="867" spans="1:4" hidden="1" x14ac:dyDescent="0.25">
      <c r="A867" s="35" t="s">
        <v>3159</v>
      </c>
      <c r="B867" s="35" t="s">
        <v>3159</v>
      </c>
      <c r="C867" s="35" t="s">
        <v>3160</v>
      </c>
      <c r="D867" s="8">
        <f>COUNTIF(Table4[کد سیستم],Table2[[#This Row],[کد سیستم]])</f>
        <v>1</v>
      </c>
    </row>
    <row r="868" spans="1:4" hidden="1" x14ac:dyDescent="0.25">
      <c r="A868" s="35" t="s">
        <v>3161</v>
      </c>
      <c r="B868" s="35" t="s">
        <v>3161</v>
      </c>
      <c r="C868" s="35" t="s">
        <v>3162</v>
      </c>
      <c r="D868" s="8">
        <f>COUNTIF(Table4[کد سیستم],Table2[[#This Row],[کد سیستم]])</f>
        <v>1</v>
      </c>
    </row>
    <row r="869" spans="1:4" hidden="1" x14ac:dyDescent="0.25">
      <c r="A869" s="35" t="s">
        <v>3163</v>
      </c>
      <c r="B869" s="35" t="s">
        <v>3163</v>
      </c>
      <c r="C869" s="35" t="s">
        <v>3164</v>
      </c>
      <c r="D869" s="8">
        <f>COUNTIF(Table4[کد سیستم],Table2[[#This Row],[کد سیستم]])</f>
        <v>1</v>
      </c>
    </row>
    <row r="870" spans="1:4" hidden="1" x14ac:dyDescent="0.25">
      <c r="A870" s="35" t="s">
        <v>3165</v>
      </c>
      <c r="B870" s="35" t="s">
        <v>3165</v>
      </c>
      <c r="C870" s="35" t="s">
        <v>3166</v>
      </c>
      <c r="D870" s="8">
        <f>COUNTIF(Table4[کد سیستم],Table2[[#This Row],[کد سیستم]])</f>
        <v>1</v>
      </c>
    </row>
    <row r="871" spans="1:4" hidden="1" x14ac:dyDescent="0.25">
      <c r="A871" s="35" t="s">
        <v>3167</v>
      </c>
      <c r="B871" s="35" t="s">
        <v>3167</v>
      </c>
      <c r="C871" s="35" t="s">
        <v>3168</v>
      </c>
      <c r="D871" s="8">
        <f>COUNTIF(Table4[کد سیستم],Table2[[#This Row],[کد سیستم]])</f>
        <v>1</v>
      </c>
    </row>
    <row r="872" spans="1:4" hidden="1" x14ac:dyDescent="0.25">
      <c r="A872" s="35" t="s">
        <v>3169</v>
      </c>
      <c r="B872" s="35" t="s">
        <v>3169</v>
      </c>
      <c r="C872" s="35" t="s">
        <v>3170</v>
      </c>
      <c r="D872" s="8">
        <f>COUNTIF(Table4[کد سیستم],Table2[[#This Row],[کد سیستم]])</f>
        <v>1</v>
      </c>
    </row>
    <row r="873" spans="1:4" hidden="1" x14ac:dyDescent="0.25">
      <c r="A873" s="35" t="s">
        <v>3171</v>
      </c>
      <c r="B873" s="35" t="s">
        <v>3171</v>
      </c>
      <c r="C873" s="35" t="s">
        <v>3172</v>
      </c>
      <c r="D873" s="8">
        <f>COUNTIF(Table4[کد سیستم],Table2[[#This Row],[کد سیستم]])</f>
        <v>1</v>
      </c>
    </row>
    <row r="874" spans="1:4" hidden="1" x14ac:dyDescent="0.25">
      <c r="A874" s="35" t="s">
        <v>3173</v>
      </c>
      <c r="B874" s="35" t="s">
        <v>3173</v>
      </c>
      <c r="C874" s="35" t="s">
        <v>3174</v>
      </c>
      <c r="D874" s="8">
        <f>COUNTIF(Table4[کد سیستم],Table2[[#This Row],[کد سیستم]])</f>
        <v>1</v>
      </c>
    </row>
    <row r="875" spans="1:4" hidden="1" x14ac:dyDescent="0.25">
      <c r="A875" s="35" t="s">
        <v>3175</v>
      </c>
      <c r="B875" s="35" t="s">
        <v>3175</v>
      </c>
      <c r="C875" s="35" t="s">
        <v>3176</v>
      </c>
      <c r="D875" s="8">
        <f>COUNTIF(Table4[کد سیستم],Table2[[#This Row],[کد سیستم]])</f>
        <v>1</v>
      </c>
    </row>
    <row r="876" spans="1:4" hidden="1" x14ac:dyDescent="0.25">
      <c r="A876" s="35" t="s">
        <v>3177</v>
      </c>
      <c r="B876" s="35" t="s">
        <v>3177</v>
      </c>
      <c r="C876" s="35" t="s">
        <v>3178</v>
      </c>
      <c r="D876" s="8">
        <f>COUNTIF(Table4[کد سیستم],Table2[[#This Row],[کد سیستم]])</f>
        <v>1</v>
      </c>
    </row>
    <row r="877" spans="1:4" hidden="1" x14ac:dyDescent="0.25">
      <c r="A877" s="35" t="s">
        <v>3179</v>
      </c>
      <c r="B877" s="35" t="s">
        <v>3179</v>
      </c>
      <c r="C877" s="35" t="s">
        <v>3180</v>
      </c>
      <c r="D877" s="8">
        <f>COUNTIF(Table4[کد سیستم],Table2[[#This Row],[کد سیستم]])</f>
        <v>1</v>
      </c>
    </row>
    <row r="878" spans="1:4" hidden="1" x14ac:dyDescent="0.25">
      <c r="A878" s="35" t="s">
        <v>3181</v>
      </c>
      <c r="B878" s="35" t="s">
        <v>3181</v>
      </c>
      <c r="C878" s="35" t="s">
        <v>3182</v>
      </c>
      <c r="D878" s="8">
        <f>COUNTIF(Table4[کد سیستم],Table2[[#This Row],[کد سیستم]])</f>
        <v>1</v>
      </c>
    </row>
    <row r="879" spans="1:4" hidden="1" x14ac:dyDescent="0.25">
      <c r="A879" s="35" t="s">
        <v>3183</v>
      </c>
      <c r="B879" s="35" t="s">
        <v>3183</v>
      </c>
      <c r="C879" s="35" t="s">
        <v>3184</v>
      </c>
      <c r="D879" s="8">
        <f>COUNTIF(Table4[کد سیستم],Table2[[#This Row],[کد سیستم]])</f>
        <v>1</v>
      </c>
    </row>
    <row r="880" spans="1:4" hidden="1" x14ac:dyDescent="0.25">
      <c r="A880" s="35" t="s">
        <v>3185</v>
      </c>
      <c r="B880" s="35" t="s">
        <v>3185</v>
      </c>
      <c r="C880" s="35" t="s">
        <v>3186</v>
      </c>
      <c r="D880" s="8">
        <f>COUNTIF(Table4[کد سیستم],Table2[[#This Row],[کد سیستم]])</f>
        <v>1</v>
      </c>
    </row>
    <row r="881" spans="1:4" hidden="1" x14ac:dyDescent="0.25">
      <c r="A881" s="35" t="s">
        <v>3187</v>
      </c>
      <c r="B881" s="35" t="s">
        <v>3187</v>
      </c>
      <c r="C881" s="35" t="s">
        <v>3188</v>
      </c>
      <c r="D881" s="8">
        <f>COUNTIF(Table4[کد سیستم],Table2[[#This Row],[کد سیستم]])</f>
        <v>1</v>
      </c>
    </row>
    <row r="882" spans="1:4" hidden="1" x14ac:dyDescent="0.25">
      <c r="A882" s="35" t="s">
        <v>3189</v>
      </c>
      <c r="B882" s="35" t="s">
        <v>3189</v>
      </c>
      <c r="C882" s="35" t="s">
        <v>3190</v>
      </c>
      <c r="D882" s="8">
        <f>COUNTIF(Table4[کد سیستم],Table2[[#This Row],[کد سیستم]])</f>
        <v>1</v>
      </c>
    </row>
    <row r="883" spans="1:4" hidden="1" x14ac:dyDescent="0.25">
      <c r="A883" s="35" t="s">
        <v>3191</v>
      </c>
      <c r="B883" s="35" t="s">
        <v>3191</v>
      </c>
      <c r="C883" s="35" t="s">
        <v>3192</v>
      </c>
      <c r="D883" s="8">
        <f>COUNTIF(Table4[کد سیستم],Table2[[#This Row],[کد سیستم]])</f>
        <v>1</v>
      </c>
    </row>
    <row r="884" spans="1:4" hidden="1" x14ac:dyDescent="0.25">
      <c r="A884" s="35" t="s">
        <v>3193</v>
      </c>
      <c r="B884" s="35" t="s">
        <v>3193</v>
      </c>
      <c r="C884" s="35" t="s">
        <v>3194</v>
      </c>
      <c r="D884" s="8">
        <f>COUNTIF(Table4[کد سیستم],Table2[[#This Row],[کد سیستم]])</f>
        <v>1</v>
      </c>
    </row>
    <row r="885" spans="1:4" hidden="1" x14ac:dyDescent="0.25">
      <c r="A885" s="35" t="s">
        <v>3195</v>
      </c>
      <c r="B885" s="35" t="s">
        <v>3195</v>
      </c>
      <c r="C885" s="35" t="s">
        <v>3196</v>
      </c>
      <c r="D885" s="8">
        <f>COUNTIF(Table4[کد سیستم],Table2[[#This Row],[کد سیستم]])</f>
        <v>1</v>
      </c>
    </row>
    <row r="886" spans="1:4" hidden="1" x14ac:dyDescent="0.25">
      <c r="A886" s="35" t="s">
        <v>3197</v>
      </c>
      <c r="B886" s="35" t="s">
        <v>3197</v>
      </c>
      <c r="C886" s="35" t="s">
        <v>3198</v>
      </c>
      <c r="D886" s="8">
        <f>COUNTIF(Table4[کد سیستم],Table2[[#This Row],[کد سیستم]])</f>
        <v>1</v>
      </c>
    </row>
    <row r="887" spans="1:4" hidden="1" x14ac:dyDescent="0.25">
      <c r="A887" s="35" t="s">
        <v>3199</v>
      </c>
      <c r="B887" s="35" t="s">
        <v>3199</v>
      </c>
      <c r="C887" s="35" t="s">
        <v>3200</v>
      </c>
      <c r="D887" s="8">
        <f>COUNTIF(Table4[کد سیستم],Table2[[#This Row],[کد سیستم]])</f>
        <v>1</v>
      </c>
    </row>
    <row r="888" spans="1:4" hidden="1" x14ac:dyDescent="0.25">
      <c r="A888" s="35" t="s">
        <v>3201</v>
      </c>
      <c r="B888" s="35" t="s">
        <v>3201</v>
      </c>
      <c r="C888" s="35" t="s">
        <v>3202</v>
      </c>
      <c r="D888" s="8">
        <f>COUNTIF(Table4[کد سیستم],Table2[[#This Row],[کد سیستم]])</f>
        <v>1</v>
      </c>
    </row>
    <row r="889" spans="1:4" hidden="1" x14ac:dyDescent="0.25">
      <c r="A889" s="35" t="s">
        <v>3203</v>
      </c>
      <c r="B889" s="35" t="s">
        <v>3203</v>
      </c>
      <c r="C889" s="35" t="s">
        <v>3204</v>
      </c>
      <c r="D889" s="8">
        <f>COUNTIF(Table4[کد سیستم],Table2[[#This Row],[کد سیستم]])</f>
        <v>1</v>
      </c>
    </row>
    <row r="890" spans="1:4" hidden="1" x14ac:dyDescent="0.25">
      <c r="A890" s="35" t="s">
        <v>3205</v>
      </c>
      <c r="B890" s="35" t="s">
        <v>3205</v>
      </c>
      <c r="C890" s="35" t="s">
        <v>3206</v>
      </c>
      <c r="D890" s="8">
        <f>COUNTIF(Table4[کد سیستم],Table2[[#This Row],[کد سیستم]])</f>
        <v>1</v>
      </c>
    </row>
    <row r="891" spans="1:4" hidden="1" x14ac:dyDescent="0.25">
      <c r="A891" s="35" t="s">
        <v>3207</v>
      </c>
      <c r="B891" s="35" t="s">
        <v>3207</v>
      </c>
      <c r="C891" s="35" t="s">
        <v>3208</v>
      </c>
      <c r="D891" s="8">
        <f>COUNTIF(Table4[کد سیستم],Table2[[#This Row],[کد سیستم]])</f>
        <v>1</v>
      </c>
    </row>
    <row r="892" spans="1:4" hidden="1" x14ac:dyDescent="0.25">
      <c r="A892" s="35" t="s">
        <v>3209</v>
      </c>
      <c r="B892" s="35" t="s">
        <v>3209</v>
      </c>
      <c r="C892" s="35" t="s">
        <v>3210</v>
      </c>
      <c r="D892" s="8">
        <f>COUNTIF(Table4[کد سیستم],Table2[[#This Row],[کد سیستم]])</f>
        <v>1</v>
      </c>
    </row>
    <row r="893" spans="1:4" hidden="1" x14ac:dyDescent="0.25">
      <c r="A893" s="35" t="s">
        <v>3211</v>
      </c>
      <c r="B893" s="35" t="s">
        <v>3211</v>
      </c>
      <c r="C893" s="35" t="s">
        <v>3212</v>
      </c>
      <c r="D893" s="8">
        <f>COUNTIF(Table4[کد سیستم],Table2[[#This Row],[کد سیستم]])</f>
        <v>1</v>
      </c>
    </row>
    <row r="894" spans="1:4" x14ac:dyDescent="0.25">
      <c r="A894" s="35" t="s">
        <v>3213</v>
      </c>
      <c r="B894" s="35" t="s">
        <v>3214</v>
      </c>
      <c r="C894" s="35" t="s">
        <v>3215</v>
      </c>
      <c r="D894" s="8">
        <f>COUNTIF(Table4[کد سیستم],Table2[[#This Row],[کد سیستم]])</f>
        <v>1</v>
      </c>
    </row>
    <row r="895" spans="1:4" hidden="1" x14ac:dyDescent="0.25">
      <c r="A895" s="35" t="s">
        <v>3216</v>
      </c>
      <c r="B895" s="35" t="s">
        <v>3217</v>
      </c>
      <c r="C895" s="35" t="s">
        <v>3218</v>
      </c>
      <c r="D895" s="8">
        <f>COUNTIF(Table4[کد سیستم],Table2[[#This Row],[کد سیستم]])</f>
        <v>1</v>
      </c>
    </row>
    <row r="896" spans="1:4" hidden="1" x14ac:dyDescent="0.25">
      <c r="A896" s="35" t="s">
        <v>3219</v>
      </c>
      <c r="B896" s="35" t="s">
        <v>3220</v>
      </c>
      <c r="C896" s="35" t="s">
        <v>3221</v>
      </c>
      <c r="D896" s="8">
        <f>COUNTIF(Table4[کد سیستم],Table2[[#This Row],[کد سیستم]])</f>
        <v>1</v>
      </c>
    </row>
    <row r="897" spans="1:4" hidden="1" x14ac:dyDescent="0.25">
      <c r="A897" s="35" t="s">
        <v>3222</v>
      </c>
      <c r="B897" s="35" t="s">
        <v>3222</v>
      </c>
      <c r="C897" s="35" t="s">
        <v>3223</v>
      </c>
      <c r="D897" s="8">
        <f>COUNTIF(Table4[کد سیستم],Table2[[#This Row],[کد سیستم]])</f>
        <v>1</v>
      </c>
    </row>
    <row r="898" spans="1:4" hidden="1" x14ac:dyDescent="0.25">
      <c r="A898" s="35" t="s">
        <v>3224</v>
      </c>
      <c r="B898" s="35" t="s">
        <v>3224</v>
      </c>
      <c r="C898" s="35" t="s">
        <v>3225</v>
      </c>
      <c r="D898" s="8">
        <f>COUNTIF(Table4[کد سیستم],Table2[[#This Row],[کد سیستم]])</f>
        <v>1</v>
      </c>
    </row>
    <row r="899" spans="1:4" hidden="1" x14ac:dyDescent="0.25">
      <c r="A899" s="35" t="s">
        <v>3226</v>
      </c>
      <c r="B899" s="35" t="s">
        <v>3226</v>
      </c>
      <c r="C899" s="35" t="s">
        <v>3227</v>
      </c>
      <c r="D899" s="8">
        <f>COUNTIF(Table4[کد سیستم],Table2[[#This Row],[کد سیستم]])</f>
        <v>1</v>
      </c>
    </row>
    <row r="900" spans="1:4" hidden="1" x14ac:dyDescent="0.25">
      <c r="A900" s="35" t="s">
        <v>3228</v>
      </c>
      <c r="B900" s="35" t="s">
        <v>3228</v>
      </c>
      <c r="C900" s="35" t="s">
        <v>3229</v>
      </c>
      <c r="D900" s="8">
        <f>COUNTIF(Table4[کد سیستم],Table2[[#This Row],[کد سیستم]])</f>
        <v>1</v>
      </c>
    </row>
    <row r="901" spans="1:4" hidden="1" x14ac:dyDescent="0.25">
      <c r="A901" s="35" t="s">
        <v>3230</v>
      </c>
      <c r="B901" s="35" t="s">
        <v>3230</v>
      </c>
      <c r="C901" s="35" t="s">
        <v>3231</v>
      </c>
      <c r="D901" s="8">
        <f>COUNTIF(Table4[کد سیستم],Table2[[#This Row],[کد سیستم]])</f>
        <v>1</v>
      </c>
    </row>
    <row r="902" spans="1:4" hidden="1" x14ac:dyDescent="0.25">
      <c r="A902" s="35" t="s">
        <v>3232</v>
      </c>
      <c r="B902" s="35" t="s">
        <v>3232</v>
      </c>
      <c r="C902" s="35" t="s">
        <v>3233</v>
      </c>
      <c r="D902" s="8">
        <f>COUNTIF(Table4[کد سیستم],Table2[[#This Row],[کد سیستم]])</f>
        <v>1</v>
      </c>
    </row>
    <row r="903" spans="1:4" hidden="1" x14ac:dyDescent="0.25">
      <c r="A903" s="35" t="s">
        <v>3234</v>
      </c>
      <c r="B903" s="35" t="s">
        <v>3235</v>
      </c>
      <c r="C903" s="35" t="s">
        <v>3236</v>
      </c>
      <c r="D903" s="8">
        <f>COUNTIF(Table4[کد سیستم],Table2[[#This Row],[کد سیستم]])</f>
        <v>1</v>
      </c>
    </row>
    <row r="904" spans="1:4" hidden="1" x14ac:dyDescent="0.25">
      <c r="A904" s="35" t="s">
        <v>3780</v>
      </c>
      <c r="B904" s="35" t="s">
        <v>3237</v>
      </c>
      <c r="C904" s="35" t="s">
        <v>3238</v>
      </c>
      <c r="D904" s="8">
        <f>COUNTIF(Table4[کد سیستم],Table2[[#This Row],[کد سیستم]])</f>
        <v>1</v>
      </c>
    </row>
    <row r="905" spans="1:4" hidden="1" x14ac:dyDescent="0.25">
      <c r="A905" s="35" t="s">
        <v>3781</v>
      </c>
      <c r="B905" s="35" t="s">
        <v>3781</v>
      </c>
      <c r="C905" s="35" t="s">
        <v>3782</v>
      </c>
      <c r="D905" s="8">
        <f>COUNTIF(Table4[کد سیستم],Table2[[#This Row],[کد سیستم]])</f>
        <v>1</v>
      </c>
    </row>
    <row r="906" spans="1:4" hidden="1" x14ac:dyDescent="0.25">
      <c r="A906" s="35" t="s">
        <v>3783</v>
      </c>
      <c r="B906" s="35" t="s">
        <v>3783</v>
      </c>
      <c r="C906" s="35" t="s">
        <v>3239</v>
      </c>
      <c r="D906" s="8">
        <f>COUNTIF(Table4[کد سیستم],Table2[[#This Row],[کد سیستم]])</f>
        <v>1</v>
      </c>
    </row>
    <row r="907" spans="1:4" hidden="1" x14ac:dyDescent="0.25">
      <c r="A907" s="35" t="s">
        <v>3784</v>
      </c>
      <c r="B907" s="35" t="s">
        <v>3784</v>
      </c>
      <c r="C907" s="35" t="s">
        <v>3250</v>
      </c>
      <c r="D907" s="8">
        <f>COUNTIF(Table4[کد سیستم],Table2[[#This Row],[کد سیستم]])</f>
        <v>1</v>
      </c>
    </row>
    <row r="908" spans="1:4" hidden="1" x14ac:dyDescent="0.25">
      <c r="A908" s="35" t="s">
        <v>3785</v>
      </c>
      <c r="B908" s="35" t="s">
        <v>3785</v>
      </c>
      <c r="C908" s="35" t="s">
        <v>3258</v>
      </c>
      <c r="D908" s="8">
        <f>COUNTIF(Table4[کد سیستم],Table2[[#This Row],[کد سیستم]])</f>
        <v>1</v>
      </c>
    </row>
    <row r="909" spans="1:4" hidden="1" x14ac:dyDescent="0.25">
      <c r="A909" s="35" t="s">
        <v>3786</v>
      </c>
      <c r="B909" s="35" t="s">
        <v>3786</v>
      </c>
      <c r="C909" s="35" t="s">
        <v>3259</v>
      </c>
      <c r="D909" s="8">
        <f>COUNTIF(Table4[کد سیستم],Table2[[#This Row],[کد سیستم]])</f>
        <v>1</v>
      </c>
    </row>
    <row r="910" spans="1:4" hidden="1" x14ac:dyDescent="0.25">
      <c r="A910" s="35" t="s">
        <v>3787</v>
      </c>
      <c r="B910" s="35" t="s">
        <v>3787</v>
      </c>
      <c r="C910" s="35" t="s">
        <v>3260</v>
      </c>
      <c r="D910" s="8">
        <f>COUNTIF(Table4[کد سیستم],Table2[[#This Row],[کد سیستم]])</f>
        <v>1</v>
      </c>
    </row>
    <row r="911" spans="1:4" hidden="1" x14ac:dyDescent="0.25">
      <c r="A911" s="35" t="s">
        <v>3788</v>
      </c>
      <c r="B911" s="35" t="s">
        <v>3788</v>
      </c>
      <c r="C911" s="35" t="s">
        <v>3261</v>
      </c>
      <c r="D911" s="8">
        <f>COUNTIF(Table4[کد سیستم],Table2[[#This Row],[کد سیستم]])</f>
        <v>1</v>
      </c>
    </row>
    <row r="912" spans="1:4" hidden="1" x14ac:dyDescent="0.25">
      <c r="A912" s="35" t="s">
        <v>3789</v>
      </c>
      <c r="B912" s="35" t="s">
        <v>3789</v>
      </c>
      <c r="C912" s="35" t="s">
        <v>3262</v>
      </c>
      <c r="D912" s="8">
        <f>COUNTIF(Table4[کد سیستم],Table2[[#This Row],[کد سیستم]])</f>
        <v>1</v>
      </c>
    </row>
    <row r="913" spans="1:4" hidden="1" x14ac:dyDescent="0.25">
      <c r="A913" s="35" t="s">
        <v>3790</v>
      </c>
      <c r="B913" s="35" t="s">
        <v>3790</v>
      </c>
      <c r="C913" s="35" t="s">
        <v>3263</v>
      </c>
      <c r="D913" s="8">
        <f>COUNTIF(Table4[کد سیستم],Table2[[#This Row],[کد سیستم]])</f>
        <v>1</v>
      </c>
    </row>
    <row r="914" spans="1:4" hidden="1" x14ac:dyDescent="0.25">
      <c r="A914" s="35" t="s">
        <v>3791</v>
      </c>
      <c r="B914" s="35" t="s">
        <v>3791</v>
      </c>
      <c r="C914" s="35" t="s">
        <v>3264</v>
      </c>
      <c r="D914" s="8">
        <f>COUNTIF(Table4[کد سیستم],Table2[[#This Row],[کد سیستم]])</f>
        <v>1</v>
      </c>
    </row>
    <row r="915" spans="1:4" hidden="1" x14ac:dyDescent="0.25">
      <c r="A915" s="35" t="s">
        <v>3792</v>
      </c>
      <c r="B915" s="35" t="s">
        <v>3792</v>
      </c>
      <c r="C915" s="35" t="s">
        <v>3240</v>
      </c>
      <c r="D915" s="8">
        <f>COUNTIF(Table4[کد سیستم],Table2[[#This Row],[کد سیستم]])</f>
        <v>1</v>
      </c>
    </row>
    <row r="916" spans="1:4" hidden="1" x14ac:dyDescent="0.25">
      <c r="A916" s="35" t="s">
        <v>3793</v>
      </c>
      <c r="B916" s="35" t="s">
        <v>3793</v>
      </c>
      <c r="C916" s="35" t="s">
        <v>3241</v>
      </c>
      <c r="D916" s="8">
        <f>COUNTIF(Table4[کد سیستم],Table2[[#This Row],[کد سیستم]])</f>
        <v>1</v>
      </c>
    </row>
    <row r="917" spans="1:4" hidden="1" x14ac:dyDescent="0.25">
      <c r="A917" s="35" t="s">
        <v>3794</v>
      </c>
      <c r="B917" s="35" t="s">
        <v>3794</v>
      </c>
      <c r="C917" s="35" t="s">
        <v>3242</v>
      </c>
      <c r="D917" s="8">
        <f>COUNTIF(Table4[کد سیستم],Table2[[#This Row],[کد سیستم]])</f>
        <v>1</v>
      </c>
    </row>
    <row r="918" spans="1:4" hidden="1" x14ac:dyDescent="0.25">
      <c r="A918" s="35" t="s">
        <v>3795</v>
      </c>
      <c r="B918" s="35" t="s">
        <v>3795</v>
      </c>
      <c r="C918" s="35" t="s">
        <v>3243</v>
      </c>
      <c r="D918" s="8">
        <f>COUNTIF(Table4[کد سیستم],Table2[[#This Row],[کد سیستم]])</f>
        <v>1</v>
      </c>
    </row>
    <row r="919" spans="1:4" hidden="1" x14ac:dyDescent="0.25">
      <c r="A919" s="35" t="s">
        <v>3796</v>
      </c>
      <c r="B919" s="35" t="s">
        <v>3796</v>
      </c>
      <c r="C919" s="35" t="s">
        <v>3244</v>
      </c>
      <c r="D919" s="8">
        <f>COUNTIF(Table4[کد سیستم],Table2[[#This Row],[کد سیستم]])</f>
        <v>1</v>
      </c>
    </row>
    <row r="920" spans="1:4" hidden="1" x14ac:dyDescent="0.25">
      <c r="A920" s="35" t="s">
        <v>3797</v>
      </c>
      <c r="B920" s="35" t="s">
        <v>3797</v>
      </c>
      <c r="C920" s="35" t="s">
        <v>3245</v>
      </c>
      <c r="D920" s="8">
        <f>COUNTIF(Table4[کد سیستم],Table2[[#This Row],[کد سیستم]])</f>
        <v>1</v>
      </c>
    </row>
    <row r="921" spans="1:4" hidden="1" x14ac:dyDescent="0.25">
      <c r="A921" s="35" t="s">
        <v>3798</v>
      </c>
      <c r="B921" s="35" t="s">
        <v>3798</v>
      </c>
      <c r="C921" s="35" t="s">
        <v>3246</v>
      </c>
      <c r="D921" s="8">
        <f>COUNTIF(Table4[کد سیستم],Table2[[#This Row],[کد سیستم]])</f>
        <v>1</v>
      </c>
    </row>
    <row r="922" spans="1:4" hidden="1" x14ac:dyDescent="0.25">
      <c r="A922" s="35" t="s">
        <v>3799</v>
      </c>
      <c r="B922" s="35" t="s">
        <v>3799</v>
      </c>
      <c r="C922" s="35" t="s">
        <v>3247</v>
      </c>
      <c r="D922" s="8">
        <f>COUNTIF(Table4[کد سیستم],Table2[[#This Row],[کد سیستم]])</f>
        <v>1</v>
      </c>
    </row>
    <row r="923" spans="1:4" hidden="1" x14ac:dyDescent="0.25">
      <c r="A923" s="35" t="s">
        <v>3800</v>
      </c>
      <c r="B923" s="35" t="s">
        <v>3800</v>
      </c>
      <c r="C923" s="35" t="s">
        <v>3248</v>
      </c>
      <c r="D923" s="8">
        <f>COUNTIF(Table4[کد سیستم],Table2[[#This Row],[کد سیستم]])</f>
        <v>1</v>
      </c>
    </row>
    <row r="924" spans="1:4" hidden="1" x14ac:dyDescent="0.25">
      <c r="A924" s="35" t="s">
        <v>3801</v>
      </c>
      <c r="B924" s="35" t="s">
        <v>3801</v>
      </c>
      <c r="C924" s="35" t="s">
        <v>3249</v>
      </c>
      <c r="D924" s="8">
        <f>COUNTIF(Table4[کد سیستم],Table2[[#This Row],[کد سیستم]])</f>
        <v>1</v>
      </c>
    </row>
    <row r="925" spans="1:4" hidden="1" x14ac:dyDescent="0.25">
      <c r="A925" s="35" t="s">
        <v>3802</v>
      </c>
      <c r="B925" s="35" t="s">
        <v>3802</v>
      </c>
      <c r="C925" s="35" t="s">
        <v>3251</v>
      </c>
      <c r="D925" s="8">
        <f>COUNTIF(Table4[کد سیستم],Table2[[#This Row],[کد سیستم]])</f>
        <v>1</v>
      </c>
    </row>
    <row r="926" spans="1:4" hidden="1" x14ac:dyDescent="0.25">
      <c r="A926" s="35" t="s">
        <v>3803</v>
      </c>
      <c r="B926" s="35" t="s">
        <v>3803</v>
      </c>
      <c r="C926" s="35" t="s">
        <v>3252</v>
      </c>
      <c r="D926" s="8">
        <f>COUNTIF(Table4[کد سیستم],Table2[[#This Row],[کد سیستم]])</f>
        <v>1</v>
      </c>
    </row>
    <row r="927" spans="1:4" hidden="1" x14ac:dyDescent="0.25">
      <c r="A927" s="35" t="s">
        <v>3804</v>
      </c>
      <c r="B927" s="35" t="s">
        <v>3804</v>
      </c>
      <c r="C927" s="35" t="s">
        <v>3253</v>
      </c>
      <c r="D927" s="8">
        <f>COUNTIF(Table4[کد سیستم],Table2[[#This Row],[کد سیستم]])</f>
        <v>1</v>
      </c>
    </row>
    <row r="928" spans="1:4" hidden="1" x14ac:dyDescent="0.25">
      <c r="A928" s="35" t="s">
        <v>3805</v>
      </c>
      <c r="B928" s="35" t="s">
        <v>3805</v>
      </c>
      <c r="C928" s="35" t="s">
        <v>3254</v>
      </c>
      <c r="D928" s="8">
        <f>COUNTIF(Table4[کد سیستم],Table2[[#This Row],[کد سیستم]])</f>
        <v>1</v>
      </c>
    </row>
    <row r="929" spans="1:4" hidden="1" x14ac:dyDescent="0.25">
      <c r="A929" s="35" t="s">
        <v>3806</v>
      </c>
      <c r="B929" s="35" t="s">
        <v>3806</v>
      </c>
      <c r="C929" s="35" t="s">
        <v>3255</v>
      </c>
      <c r="D929" s="8">
        <f>COUNTIF(Table4[کد سیستم],Table2[[#This Row],[کد سیستم]])</f>
        <v>1</v>
      </c>
    </row>
    <row r="930" spans="1:4" hidden="1" x14ac:dyDescent="0.25">
      <c r="A930" s="35" t="s">
        <v>3807</v>
      </c>
      <c r="B930" s="35" t="s">
        <v>3807</v>
      </c>
      <c r="C930" s="35" t="s">
        <v>3256</v>
      </c>
      <c r="D930" s="8">
        <f>COUNTIF(Table4[کد سیستم],Table2[[#This Row],[کد سیستم]])</f>
        <v>1</v>
      </c>
    </row>
    <row r="931" spans="1:4" hidden="1" x14ac:dyDescent="0.25">
      <c r="A931" s="35" t="s">
        <v>3808</v>
      </c>
      <c r="B931" s="35" t="s">
        <v>3808</v>
      </c>
      <c r="C931" s="35" t="s">
        <v>3257</v>
      </c>
      <c r="D931" s="8">
        <f>COUNTIF(Table4[کد سیستم],Table2[[#This Row],[کد سیستم]])</f>
        <v>1</v>
      </c>
    </row>
    <row r="932" spans="1:4" hidden="1" x14ac:dyDescent="0.25">
      <c r="A932" s="35" t="s">
        <v>3809</v>
      </c>
      <c r="B932" s="35" t="s">
        <v>3809</v>
      </c>
      <c r="C932" s="35" t="s">
        <v>3810</v>
      </c>
      <c r="D932" s="8">
        <f>COUNTIF(Table4[کد سیستم],Table2[[#This Row],[کد سیستم]])</f>
        <v>1</v>
      </c>
    </row>
    <row r="933" spans="1:4" hidden="1" x14ac:dyDescent="0.25">
      <c r="A933" s="35" t="s">
        <v>3811</v>
      </c>
      <c r="B933" s="35" t="s">
        <v>3811</v>
      </c>
      <c r="C933" s="35" t="s">
        <v>3812</v>
      </c>
      <c r="D933" s="8">
        <f>COUNTIF(Table4[کد سیستم],Table2[[#This Row],[کد سیستم]])</f>
        <v>1</v>
      </c>
    </row>
    <row r="934" spans="1:4" hidden="1" x14ac:dyDescent="0.25">
      <c r="A934" s="35" t="s">
        <v>3265</v>
      </c>
      <c r="B934" s="35" t="s">
        <v>3265</v>
      </c>
      <c r="C934" s="35" t="s">
        <v>3266</v>
      </c>
      <c r="D934" s="8">
        <f>COUNTIF(Table4[کد سیستم],Table2[[#This Row],[کد سیستم]])</f>
        <v>1</v>
      </c>
    </row>
    <row r="935" spans="1:4" hidden="1" x14ac:dyDescent="0.25">
      <c r="A935" s="35" t="s">
        <v>3267</v>
      </c>
      <c r="B935" s="35" t="s">
        <v>3268</v>
      </c>
      <c r="C935" s="35" t="s">
        <v>3269</v>
      </c>
      <c r="D935" s="8">
        <f>COUNTIF(Table4[کد سیستم],Table2[[#This Row],[کد سیستم]])</f>
        <v>1</v>
      </c>
    </row>
    <row r="936" spans="1:4" hidden="1" x14ac:dyDescent="0.25">
      <c r="A936" s="35" t="s">
        <v>4198</v>
      </c>
      <c r="B936" s="35" t="s">
        <v>3270</v>
      </c>
      <c r="C936" s="35" t="s">
        <v>3271</v>
      </c>
      <c r="D936" s="8">
        <f>COUNTIF(Table4[کد سیستم],Table2[[#This Row],[کد سیستم]])</f>
        <v>1</v>
      </c>
    </row>
    <row r="937" spans="1:4" hidden="1" x14ac:dyDescent="0.25">
      <c r="A937" s="35" t="s">
        <v>3272</v>
      </c>
      <c r="B937" s="35" t="s">
        <v>3272</v>
      </c>
      <c r="C937" s="35" t="s">
        <v>3273</v>
      </c>
      <c r="D937" s="8">
        <f>COUNTIF(Table4[کد سیستم],Table2[[#This Row],[کد سیستم]])</f>
        <v>1</v>
      </c>
    </row>
    <row r="938" spans="1:4" hidden="1" x14ac:dyDescent="0.25">
      <c r="A938" s="35" t="s">
        <v>3274</v>
      </c>
      <c r="B938" s="35" t="s">
        <v>3274</v>
      </c>
      <c r="C938" s="35" t="s">
        <v>3275</v>
      </c>
      <c r="D938" s="8">
        <f>COUNTIF(Table4[کد سیستم],Table2[[#This Row],[کد سیستم]])</f>
        <v>1</v>
      </c>
    </row>
    <row r="939" spans="1:4" hidden="1" x14ac:dyDescent="0.25">
      <c r="A939" s="35" t="s">
        <v>3276</v>
      </c>
      <c r="B939" s="35" t="s">
        <v>3276</v>
      </c>
      <c r="C939" s="35" t="s">
        <v>3277</v>
      </c>
      <c r="D939" s="8">
        <f>COUNTIF(Table4[کد سیستم],Table2[[#This Row],[کد سیستم]])</f>
        <v>1</v>
      </c>
    </row>
    <row r="940" spans="1:4" hidden="1" x14ac:dyDescent="0.25">
      <c r="A940" s="35" t="s">
        <v>3278</v>
      </c>
      <c r="B940" s="35" t="s">
        <v>3278</v>
      </c>
      <c r="C940" s="35" t="s">
        <v>3279</v>
      </c>
      <c r="D940" s="8">
        <f>COUNTIF(Table4[کد سیستم],Table2[[#This Row],[کد سیستم]])</f>
        <v>1</v>
      </c>
    </row>
    <row r="941" spans="1:4" hidden="1" x14ac:dyDescent="0.25">
      <c r="A941" s="35" t="s">
        <v>3280</v>
      </c>
      <c r="B941" s="35" t="s">
        <v>3280</v>
      </c>
      <c r="C941" s="35" t="s">
        <v>3281</v>
      </c>
      <c r="D941" s="8">
        <f>COUNTIF(Table4[کد سیستم],Table2[[#This Row],[کد سیستم]])</f>
        <v>1</v>
      </c>
    </row>
    <row r="942" spans="1:4" hidden="1" x14ac:dyDescent="0.25">
      <c r="A942" s="35" t="s">
        <v>3282</v>
      </c>
      <c r="B942" s="35" t="s">
        <v>3282</v>
      </c>
      <c r="C942" s="35" t="s">
        <v>3283</v>
      </c>
      <c r="D942" s="8">
        <f>COUNTIF(Table4[کد سیستم],Table2[[#This Row],[کد سیستم]])</f>
        <v>1</v>
      </c>
    </row>
    <row r="943" spans="1:4" hidden="1" x14ac:dyDescent="0.25">
      <c r="A943" s="35" t="s">
        <v>3284</v>
      </c>
      <c r="B943" s="35" t="s">
        <v>3284</v>
      </c>
      <c r="C943" s="35" t="s">
        <v>3285</v>
      </c>
      <c r="D943" s="8">
        <f>COUNTIF(Table4[کد سیستم],Table2[[#This Row],[کد سیستم]])</f>
        <v>1</v>
      </c>
    </row>
    <row r="944" spans="1:4" hidden="1" x14ac:dyDescent="0.25">
      <c r="A944" s="35" t="s">
        <v>3286</v>
      </c>
      <c r="B944" s="35" t="s">
        <v>3286</v>
      </c>
      <c r="C944" s="35" t="s">
        <v>3287</v>
      </c>
      <c r="D944" s="8">
        <f>COUNTIF(Table4[کد سیستم],Table2[[#This Row],[کد سیستم]])</f>
        <v>1</v>
      </c>
    </row>
    <row r="945" spans="1:4" hidden="1" x14ac:dyDescent="0.25">
      <c r="A945" s="35" t="s">
        <v>3288</v>
      </c>
      <c r="B945" s="35" t="s">
        <v>3288</v>
      </c>
      <c r="C945" s="35" t="s">
        <v>3289</v>
      </c>
      <c r="D945" s="8">
        <f>COUNTIF(Table4[کد سیستم],Table2[[#This Row],[کد سیستم]])</f>
        <v>1</v>
      </c>
    </row>
    <row r="946" spans="1:4" hidden="1" x14ac:dyDescent="0.25">
      <c r="A946" s="35" t="s">
        <v>3290</v>
      </c>
      <c r="B946" s="35" t="s">
        <v>3290</v>
      </c>
      <c r="C946" s="35" t="s">
        <v>3291</v>
      </c>
      <c r="D946" s="8">
        <f>COUNTIF(Table4[کد سیستم],Table2[[#This Row],[کد سیستم]])</f>
        <v>1</v>
      </c>
    </row>
    <row r="947" spans="1:4" hidden="1" x14ac:dyDescent="0.25">
      <c r="A947" s="35" t="s">
        <v>3292</v>
      </c>
      <c r="B947" s="35" t="s">
        <v>3292</v>
      </c>
      <c r="C947" s="35" t="s">
        <v>3293</v>
      </c>
      <c r="D947" s="8">
        <f>COUNTIF(Table4[کد سیستم],Table2[[#This Row],[کد سیستم]])</f>
        <v>1</v>
      </c>
    </row>
    <row r="948" spans="1:4" hidden="1" x14ac:dyDescent="0.25">
      <c r="A948" s="35" t="s">
        <v>3294</v>
      </c>
      <c r="B948" s="35" t="s">
        <v>3294</v>
      </c>
      <c r="C948" s="35" t="s">
        <v>3295</v>
      </c>
      <c r="D948" s="8">
        <f>COUNTIF(Table4[کد سیستم],Table2[[#This Row],[کد سیستم]])</f>
        <v>1</v>
      </c>
    </row>
    <row r="949" spans="1:4" hidden="1" x14ac:dyDescent="0.25">
      <c r="A949" s="35" t="s">
        <v>3296</v>
      </c>
      <c r="B949" s="35" t="s">
        <v>3296</v>
      </c>
      <c r="C949" s="35" t="s">
        <v>3297</v>
      </c>
      <c r="D949" s="8">
        <f>COUNTIF(Table4[کد سیستم],Table2[[#This Row],[کد سیستم]])</f>
        <v>1</v>
      </c>
    </row>
    <row r="950" spans="1:4" hidden="1" x14ac:dyDescent="0.25">
      <c r="A950" s="35" t="s">
        <v>3298</v>
      </c>
      <c r="B950" s="35" t="s">
        <v>3298</v>
      </c>
      <c r="C950" s="35" t="s">
        <v>3299</v>
      </c>
      <c r="D950" s="8">
        <f>COUNTIF(Table4[کد سیستم],Table2[[#This Row],[کد سیستم]])</f>
        <v>1</v>
      </c>
    </row>
    <row r="951" spans="1:4" hidden="1" x14ac:dyDescent="0.25">
      <c r="A951" s="35" t="s">
        <v>3300</v>
      </c>
      <c r="B951" s="35" t="s">
        <v>3300</v>
      </c>
      <c r="C951" s="35" t="s">
        <v>3301</v>
      </c>
      <c r="D951" s="8">
        <f>COUNTIF(Table4[کد سیستم],Table2[[#This Row],[کد سیستم]])</f>
        <v>1</v>
      </c>
    </row>
    <row r="952" spans="1:4" hidden="1" x14ac:dyDescent="0.25">
      <c r="A952" s="35" t="s">
        <v>3302</v>
      </c>
      <c r="B952" s="35" t="s">
        <v>3302</v>
      </c>
      <c r="C952" s="35" t="s">
        <v>3303</v>
      </c>
      <c r="D952" s="8">
        <f>COUNTIF(Table4[کد سیستم],Table2[[#This Row],[کد سیستم]])</f>
        <v>1</v>
      </c>
    </row>
    <row r="953" spans="1:4" hidden="1" x14ac:dyDescent="0.25">
      <c r="A953" s="35" t="s">
        <v>3304</v>
      </c>
      <c r="B953" s="35" t="s">
        <v>3305</v>
      </c>
      <c r="C953" s="35" t="s">
        <v>3306</v>
      </c>
      <c r="D953" s="8">
        <f>COUNTIF(Table4[کد سیستم],Table2[[#This Row],[کد سیستم]])</f>
        <v>1</v>
      </c>
    </row>
    <row r="954" spans="1:4" hidden="1" x14ac:dyDescent="0.25">
      <c r="A954" s="35" t="s">
        <v>3307</v>
      </c>
      <c r="B954" s="35" t="s">
        <v>3307</v>
      </c>
      <c r="C954" s="35" t="s">
        <v>3308</v>
      </c>
      <c r="D954" s="8">
        <f>COUNTIF(Table4[کد سیستم],Table2[[#This Row],[کد سیستم]])</f>
        <v>1</v>
      </c>
    </row>
    <row r="955" spans="1:4" hidden="1" x14ac:dyDescent="0.25">
      <c r="A955" s="35" t="s">
        <v>3309</v>
      </c>
      <c r="B955" s="35" t="s">
        <v>3309</v>
      </c>
      <c r="C955" s="35" t="s">
        <v>3310</v>
      </c>
      <c r="D955" s="8">
        <f>COUNTIF(Table4[کد سیستم],Table2[[#This Row],[کد سیستم]])</f>
        <v>1</v>
      </c>
    </row>
    <row r="956" spans="1:4" hidden="1" x14ac:dyDescent="0.25">
      <c r="A956" s="35" t="s">
        <v>3311</v>
      </c>
      <c r="B956" s="35" t="s">
        <v>3311</v>
      </c>
      <c r="C956" s="35" t="s">
        <v>3312</v>
      </c>
      <c r="D956" s="8">
        <f>COUNTIF(Table4[کد سیستم],Table2[[#This Row],[کد سیستم]])</f>
        <v>1</v>
      </c>
    </row>
    <row r="957" spans="1:4" hidden="1" x14ac:dyDescent="0.25">
      <c r="A957" s="35" t="s">
        <v>3313</v>
      </c>
      <c r="B957" s="35" t="s">
        <v>3313</v>
      </c>
      <c r="C957" s="35" t="s">
        <v>3314</v>
      </c>
      <c r="D957" s="8">
        <f>COUNTIF(Table4[کد سیستم],Table2[[#This Row],[کد سیستم]])</f>
        <v>1</v>
      </c>
    </row>
    <row r="958" spans="1:4" hidden="1" x14ac:dyDescent="0.25">
      <c r="A958" s="35" t="s">
        <v>3315</v>
      </c>
      <c r="B958" s="35" t="s">
        <v>3315</v>
      </c>
      <c r="C958" s="35" t="s">
        <v>3316</v>
      </c>
      <c r="D958" s="8">
        <f>COUNTIF(Table4[کد سیستم],Table2[[#This Row],[کد سیستم]])</f>
        <v>1</v>
      </c>
    </row>
    <row r="959" spans="1:4" hidden="1" x14ac:dyDescent="0.25">
      <c r="A959" s="35" t="s">
        <v>3317</v>
      </c>
      <c r="B959" s="35" t="s">
        <v>3317</v>
      </c>
      <c r="C959" s="35" t="s">
        <v>3318</v>
      </c>
      <c r="D959" s="8">
        <f>COUNTIF(Table4[کد سیستم],Table2[[#This Row],[کد سیستم]])</f>
        <v>1</v>
      </c>
    </row>
    <row r="960" spans="1:4" hidden="1" x14ac:dyDescent="0.25">
      <c r="A960" s="35" t="s">
        <v>3319</v>
      </c>
      <c r="B960" s="35" t="s">
        <v>3319</v>
      </c>
      <c r="C960" s="35" t="s">
        <v>3320</v>
      </c>
      <c r="D960" s="8">
        <f>COUNTIF(Table4[کد سیستم],Table2[[#This Row],[کد سیستم]])</f>
        <v>1</v>
      </c>
    </row>
    <row r="961" spans="1:4" hidden="1" x14ac:dyDescent="0.25">
      <c r="A961" s="35" t="s">
        <v>3321</v>
      </c>
      <c r="B961" s="35" t="s">
        <v>3321</v>
      </c>
      <c r="C961" s="35" t="s">
        <v>3322</v>
      </c>
      <c r="D961" s="8">
        <f>COUNTIF(Table4[کد سیستم],Table2[[#This Row],[کد سیستم]])</f>
        <v>1</v>
      </c>
    </row>
    <row r="962" spans="1:4" hidden="1" x14ac:dyDescent="0.25">
      <c r="A962" s="35" t="s">
        <v>3323</v>
      </c>
      <c r="B962" s="35" t="s">
        <v>3323</v>
      </c>
      <c r="C962" s="35" t="s">
        <v>3324</v>
      </c>
      <c r="D962" s="8">
        <f>COUNTIF(Table4[کد سیستم],Table2[[#This Row],[کد سیستم]])</f>
        <v>1</v>
      </c>
    </row>
    <row r="963" spans="1:4" hidden="1" x14ac:dyDescent="0.25">
      <c r="A963" s="35" t="s">
        <v>3325</v>
      </c>
      <c r="B963" s="35" t="s">
        <v>3325</v>
      </c>
      <c r="C963" s="35" t="s">
        <v>3326</v>
      </c>
      <c r="D963" s="8">
        <f>COUNTIF(Table4[کد سیستم],Table2[[#This Row],[کد سیستم]])</f>
        <v>1</v>
      </c>
    </row>
    <row r="964" spans="1:4" hidden="1" x14ac:dyDescent="0.25">
      <c r="A964" s="35" t="s">
        <v>3327</v>
      </c>
      <c r="B964" s="35" t="s">
        <v>3327</v>
      </c>
      <c r="C964" s="35" t="s">
        <v>3328</v>
      </c>
      <c r="D964" s="8">
        <f>COUNTIF(Table4[کد سیستم],Table2[[#This Row],[کد سیستم]])</f>
        <v>1</v>
      </c>
    </row>
    <row r="965" spans="1:4" hidden="1" x14ac:dyDescent="0.25">
      <c r="A965" s="35" t="s">
        <v>3329</v>
      </c>
      <c r="B965" s="35" t="s">
        <v>3329</v>
      </c>
      <c r="C965" s="35" t="s">
        <v>3330</v>
      </c>
      <c r="D965" s="8">
        <f>COUNTIF(Table4[کد سیستم],Table2[[#This Row],[کد سیستم]])</f>
        <v>1</v>
      </c>
    </row>
    <row r="966" spans="1:4" hidden="1" x14ac:dyDescent="0.25">
      <c r="A966" s="35" t="s">
        <v>3331</v>
      </c>
      <c r="B966" s="35" t="s">
        <v>3331</v>
      </c>
      <c r="C966" s="35" t="s">
        <v>3332</v>
      </c>
      <c r="D966" s="8">
        <f>COUNTIF(Table4[کد سیستم],Table2[[#This Row],[کد سیستم]])</f>
        <v>1</v>
      </c>
    </row>
    <row r="967" spans="1:4" hidden="1" x14ac:dyDescent="0.25">
      <c r="A967" s="35" t="s">
        <v>3333</v>
      </c>
      <c r="B967" s="35" t="s">
        <v>3333</v>
      </c>
      <c r="C967" s="35" t="s">
        <v>3334</v>
      </c>
      <c r="D967" s="8">
        <f>COUNTIF(Table4[کد سیستم],Table2[[#This Row],[کد سیستم]])</f>
        <v>1</v>
      </c>
    </row>
    <row r="968" spans="1:4" hidden="1" x14ac:dyDescent="0.25">
      <c r="A968" s="35" t="s">
        <v>3335</v>
      </c>
      <c r="B968" s="35" t="s">
        <v>3335</v>
      </c>
      <c r="C968" s="35" t="s">
        <v>3336</v>
      </c>
      <c r="D968" s="8">
        <f>COUNTIF(Table4[کد سیستم],Table2[[#This Row],[کد سیستم]])</f>
        <v>1</v>
      </c>
    </row>
    <row r="969" spans="1:4" hidden="1" x14ac:dyDescent="0.25">
      <c r="A969" s="35" t="s">
        <v>3337</v>
      </c>
      <c r="B969" s="35" t="s">
        <v>3337</v>
      </c>
      <c r="C969" s="35" t="s">
        <v>3338</v>
      </c>
      <c r="D969" s="8">
        <f>COUNTIF(Table4[کد سیستم],Table2[[#This Row],[کد سیستم]])</f>
        <v>1</v>
      </c>
    </row>
    <row r="970" spans="1:4" hidden="1" x14ac:dyDescent="0.25">
      <c r="A970" s="35" t="s">
        <v>3339</v>
      </c>
      <c r="B970" s="35" t="s">
        <v>3339</v>
      </c>
      <c r="C970" s="35" t="s">
        <v>3340</v>
      </c>
      <c r="D970" s="8">
        <f>COUNTIF(Table4[کد سیستم],Table2[[#This Row],[کد سیستم]])</f>
        <v>1</v>
      </c>
    </row>
    <row r="971" spans="1:4" hidden="1" x14ac:dyDescent="0.25">
      <c r="A971" s="35" t="s">
        <v>3341</v>
      </c>
      <c r="B971" s="35" t="s">
        <v>3341</v>
      </c>
      <c r="C971" s="35" t="s">
        <v>3342</v>
      </c>
      <c r="D971" s="8">
        <f>COUNTIF(Table4[کد سیستم],Table2[[#This Row],[کد سیستم]])</f>
        <v>1</v>
      </c>
    </row>
    <row r="972" spans="1:4" hidden="1" x14ac:dyDescent="0.25">
      <c r="A972" s="35" t="s">
        <v>3343</v>
      </c>
      <c r="B972" s="35" t="s">
        <v>3343</v>
      </c>
      <c r="C972" s="35" t="s">
        <v>3344</v>
      </c>
      <c r="D972" s="8">
        <f>COUNTIF(Table4[کد سیستم],Table2[[#This Row],[کد سیستم]])</f>
        <v>1</v>
      </c>
    </row>
    <row r="973" spans="1:4" hidden="1" x14ac:dyDescent="0.25">
      <c r="A973" s="35" t="s">
        <v>3345</v>
      </c>
      <c r="B973" s="35" t="s">
        <v>3345</v>
      </c>
      <c r="C973" s="35" t="s">
        <v>3346</v>
      </c>
      <c r="D973" s="8">
        <f>COUNTIF(Table4[کد سیستم],Table2[[#This Row],[کد سیستم]])</f>
        <v>1</v>
      </c>
    </row>
    <row r="974" spans="1:4" hidden="1" x14ac:dyDescent="0.25">
      <c r="A974" s="35" t="s">
        <v>3347</v>
      </c>
      <c r="B974" s="35" t="s">
        <v>3347</v>
      </c>
      <c r="C974" s="35" t="s">
        <v>3348</v>
      </c>
      <c r="D974" s="8">
        <f>COUNTIF(Table4[کد سیستم],Table2[[#This Row],[کد سیستم]])</f>
        <v>1</v>
      </c>
    </row>
    <row r="975" spans="1:4" hidden="1" x14ac:dyDescent="0.25">
      <c r="A975" s="35" t="s">
        <v>3349</v>
      </c>
      <c r="B975" s="35" t="s">
        <v>3349</v>
      </c>
      <c r="C975" s="35" t="s">
        <v>3350</v>
      </c>
      <c r="D975" s="8">
        <f>COUNTIF(Table4[کد سیستم],Table2[[#This Row],[کد سیستم]])</f>
        <v>1</v>
      </c>
    </row>
    <row r="976" spans="1:4" hidden="1" x14ac:dyDescent="0.25">
      <c r="A976" s="35" t="s">
        <v>3351</v>
      </c>
      <c r="B976" s="35" t="s">
        <v>3351</v>
      </c>
      <c r="C976" s="35" t="s">
        <v>3352</v>
      </c>
      <c r="D976" s="8">
        <f>COUNTIF(Table4[کد سیستم],Table2[[#This Row],[کد سیستم]])</f>
        <v>1</v>
      </c>
    </row>
    <row r="977" spans="1:4" hidden="1" x14ac:dyDescent="0.25">
      <c r="A977" s="35" t="s">
        <v>3353</v>
      </c>
      <c r="B977" s="35" t="s">
        <v>3353</v>
      </c>
      <c r="C977" s="35" t="s">
        <v>3354</v>
      </c>
      <c r="D977" s="8">
        <f>COUNTIF(Table4[کد سیستم],Table2[[#This Row],[کد سیستم]])</f>
        <v>1</v>
      </c>
    </row>
    <row r="978" spans="1:4" hidden="1" x14ac:dyDescent="0.25">
      <c r="A978" s="35" t="s">
        <v>3355</v>
      </c>
      <c r="B978" s="35" t="s">
        <v>3355</v>
      </c>
      <c r="C978" s="35" t="s">
        <v>3356</v>
      </c>
      <c r="D978" s="8">
        <f>COUNTIF(Table4[کد سیستم],Table2[[#This Row],[کد سیستم]])</f>
        <v>1</v>
      </c>
    </row>
    <row r="979" spans="1:4" hidden="1" x14ac:dyDescent="0.25">
      <c r="A979" s="35" t="s">
        <v>3357</v>
      </c>
      <c r="B979" s="35" t="s">
        <v>3357</v>
      </c>
      <c r="C979" s="35" t="s">
        <v>3358</v>
      </c>
      <c r="D979" s="8">
        <f>COUNTIF(Table4[کد سیستم],Table2[[#This Row],[کد سیستم]])</f>
        <v>1</v>
      </c>
    </row>
    <row r="980" spans="1:4" hidden="1" x14ac:dyDescent="0.25">
      <c r="A980" s="35" t="s">
        <v>3359</v>
      </c>
      <c r="B980" s="35" t="s">
        <v>3359</v>
      </c>
      <c r="C980" s="35" t="s">
        <v>3360</v>
      </c>
      <c r="D980" s="8">
        <f>COUNTIF(Table4[کد سیستم],Table2[[#This Row],[کد سیستم]])</f>
        <v>1</v>
      </c>
    </row>
    <row r="981" spans="1:4" hidden="1" x14ac:dyDescent="0.25">
      <c r="A981" s="35" t="s">
        <v>3361</v>
      </c>
      <c r="B981" s="35" t="s">
        <v>3361</v>
      </c>
      <c r="C981" s="35" t="s">
        <v>3362</v>
      </c>
      <c r="D981" s="8">
        <f>COUNTIF(Table4[کد سیستم],Table2[[#This Row],[کد سیستم]])</f>
        <v>1</v>
      </c>
    </row>
    <row r="982" spans="1:4" hidden="1" x14ac:dyDescent="0.25">
      <c r="A982" s="35" t="s">
        <v>3363</v>
      </c>
      <c r="B982" s="35" t="s">
        <v>3363</v>
      </c>
      <c r="C982" s="35" t="s">
        <v>3364</v>
      </c>
      <c r="D982" s="8">
        <f>COUNTIF(Table4[کد سیستم],Table2[[#This Row],[کد سیستم]])</f>
        <v>1</v>
      </c>
    </row>
    <row r="983" spans="1:4" hidden="1" x14ac:dyDescent="0.25">
      <c r="A983" s="35" t="s">
        <v>3365</v>
      </c>
      <c r="B983" s="35" t="s">
        <v>3365</v>
      </c>
      <c r="C983" s="35" t="s">
        <v>3366</v>
      </c>
      <c r="D983" s="8">
        <f>COUNTIF(Table4[کد سیستم],Table2[[#This Row],[کد سیستم]])</f>
        <v>1</v>
      </c>
    </row>
    <row r="984" spans="1:4" hidden="1" x14ac:dyDescent="0.25">
      <c r="A984" s="35" t="s">
        <v>3367</v>
      </c>
      <c r="B984" s="35" t="s">
        <v>3367</v>
      </c>
      <c r="C984" s="35" t="s">
        <v>3368</v>
      </c>
      <c r="D984" s="8">
        <f>COUNTIF(Table4[کد سیستم],Table2[[#This Row],[کد سیستم]])</f>
        <v>1</v>
      </c>
    </row>
    <row r="985" spans="1:4" hidden="1" x14ac:dyDescent="0.25">
      <c r="A985" s="35" t="s">
        <v>3369</v>
      </c>
      <c r="B985" s="35" t="s">
        <v>3369</v>
      </c>
      <c r="C985" s="35" t="s">
        <v>3370</v>
      </c>
      <c r="D985" s="8">
        <f>COUNTIF(Table4[کد سیستم],Table2[[#This Row],[کد سیستم]])</f>
        <v>1</v>
      </c>
    </row>
    <row r="986" spans="1:4" hidden="1" x14ac:dyDescent="0.25">
      <c r="A986" s="35" t="s">
        <v>3371</v>
      </c>
      <c r="B986" s="35" t="s">
        <v>3371</v>
      </c>
      <c r="C986" s="35" t="s">
        <v>3372</v>
      </c>
      <c r="D986" s="8">
        <f>COUNTIF(Table4[کد سیستم],Table2[[#This Row],[کد سیستم]])</f>
        <v>1</v>
      </c>
    </row>
    <row r="987" spans="1:4" hidden="1" x14ac:dyDescent="0.25">
      <c r="A987" s="35" t="s">
        <v>3373</v>
      </c>
      <c r="B987" s="35" t="s">
        <v>3373</v>
      </c>
      <c r="C987" s="35" t="s">
        <v>3374</v>
      </c>
      <c r="D987" s="8">
        <f>COUNTIF(Table4[کد سیستم],Table2[[#This Row],[کد سیستم]])</f>
        <v>1</v>
      </c>
    </row>
    <row r="988" spans="1:4" hidden="1" x14ac:dyDescent="0.25">
      <c r="A988" s="35" t="s">
        <v>3375</v>
      </c>
      <c r="B988" s="35" t="s">
        <v>3375</v>
      </c>
      <c r="C988" s="35" t="s">
        <v>3376</v>
      </c>
      <c r="D988" s="8">
        <f>COUNTIF(Table4[کد سیستم],Table2[[#This Row],[کد سیستم]])</f>
        <v>1</v>
      </c>
    </row>
    <row r="989" spans="1:4" hidden="1" x14ac:dyDescent="0.25">
      <c r="A989" s="35" t="s">
        <v>3377</v>
      </c>
      <c r="B989" s="35" t="s">
        <v>3377</v>
      </c>
      <c r="C989" s="35" t="s">
        <v>3378</v>
      </c>
      <c r="D989" s="8">
        <f>COUNTIF(Table4[کد سیستم],Table2[[#This Row],[کد سیستم]])</f>
        <v>1</v>
      </c>
    </row>
    <row r="990" spans="1:4" hidden="1" x14ac:dyDescent="0.25">
      <c r="A990" s="35" t="s">
        <v>3379</v>
      </c>
      <c r="B990" s="35" t="s">
        <v>3379</v>
      </c>
      <c r="C990" s="35" t="s">
        <v>3380</v>
      </c>
      <c r="D990" s="8">
        <f>COUNTIF(Table4[کد سیستم],Table2[[#This Row],[کد سیستم]])</f>
        <v>1</v>
      </c>
    </row>
    <row r="991" spans="1:4" hidden="1" x14ac:dyDescent="0.25">
      <c r="A991" s="35" t="s">
        <v>3381</v>
      </c>
      <c r="B991" s="35" t="s">
        <v>3381</v>
      </c>
      <c r="C991" s="35" t="s">
        <v>3382</v>
      </c>
      <c r="D991" s="8">
        <f>COUNTIF(Table4[کد سیستم],Table2[[#This Row],[کد سیستم]])</f>
        <v>1</v>
      </c>
    </row>
    <row r="992" spans="1:4" hidden="1" x14ac:dyDescent="0.25">
      <c r="A992" s="35" t="s">
        <v>3383</v>
      </c>
      <c r="B992" s="35" t="s">
        <v>3383</v>
      </c>
      <c r="C992" s="35" t="s">
        <v>3384</v>
      </c>
      <c r="D992" s="8">
        <f>COUNTIF(Table4[کد سیستم],Table2[[#This Row],[کد سیستم]])</f>
        <v>1</v>
      </c>
    </row>
    <row r="993" spans="1:4" hidden="1" x14ac:dyDescent="0.25">
      <c r="A993" s="35" t="s">
        <v>3385</v>
      </c>
      <c r="B993" s="35" t="s">
        <v>3385</v>
      </c>
      <c r="C993" s="35" t="s">
        <v>3386</v>
      </c>
      <c r="D993" s="8">
        <f>COUNTIF(Table4[کد سیستم],Table2[[#This Row],[کد سیستم]])</f>
        <v>1</v>
      </c>
    </row>
    <row r="994" spans="1:4" hidden="1" x14ac:dyDescent="0.25">
      <c r="A994" s="35" t="s">
        <v>3387</v>
      </c>
      <c r="B994" s="35" t="s">
        <v>3387</v>
      </c>
      <c r="C994" s="35" t="s">
        <v>3388</v>
      </c>
      <c r="D994" s="8">
        <f>COUNTIF(Table4[کد سیستم],Table2[[#This Row],[کد سیستم]])</f>
        <v>1</v>
      </c>
    </row>
    <row r="995" spans="1:4" hidden="1" x14ac:dyDescent="0.25">
      <c r="A995" s="35" t="s">
        <v>3389</v>
      </c>
      <c r="B995" s="35" t="s">
        <v>3389</v>
      </c>
      <c r="C995" s="35" t="s">
        <v>3390</v>
      </c>
      <c r="D995" s="8">
        <f>COUNTIF(Table4[کد سیستم],Table2[[#This Row],[کد سیستم]])</f>
        <v>1</v>
      </c>
    </row>
    <row r="996" spans="1:4" hidden="1" x14ac:dyDescent="0.25">
      <c r="A996" s="35" t="s">
        <v>3391</v>
      </c>
      <c r="B996" s="35" t="s">
        <v>3391</v>
      </c>
      <c r="C996" s="35" t="s">
        <v>3392</v>
      </c>
      <c r="D996" s="8">
        <f>COUNTIF(Table4[کد سیستم],Table2[[#This Row],[کد سیستم]])</f>
        <v>1</v>
      </c>
    </row>
    <row r="997" spans="1:4" hidden="1" x14ac:dyDescent="0.25">
      <c r="A997" s="35" t="s">
        <v>3393</v>
      </c>
      <c r="B997" s="35" t="s">
        <v>3393</v>
      </c>
      <c r="C997" s="35" t="s">
        <v>3394</v>
      </c>
      <c r="D997" s="8">
        <f>COUNTIF(Table4[کد سیستم],Table2[[#This Row],[کد سیستم]])</f>
        <v>1</v>
      </c>
    </row>
    <row r="998" spans="1:4" hidden="1" x14ac:dyDescent="0.25">
      <c r="A998" s="35" t="s">
        <v>3395</v>
      </c>
      <c r="B998" s="35" t="s">
        <v>3395</v>
      </c>
      <c r="C998" s="35" t="s">
        <v>3396</v>
      </c>
      <c r="D998" s="8">
        <f>COUNTIF(Table4[کد سیستم],Table2[[#This Row],[کد سیستم]])</f>
        <v>1</v>
      </c>
    </row>
    <row r="999" spans="1:4" hidden="1" x14ac:dyDescent="0.25">
      <c r="A999" s="35" t="s">
        <v>3397</v>
      </c>
      <c r="B999" s="35" t="s">
        <v>3397</v>
      </c>
      <c r="C999" s="35" t="s">
        <v>3398</v>
      </c>
      <c r="D999" s="8">
        <f>COUNTIF(Table4[کد سیستم],Table2[[#This Row],[کد سیستم]])</f>
        <v>1</v>
      </c>
    </row>
    <row r="1000" spans="1:4" hidden="1" x14ac:dyDescent="0.25">
      <c r="A1000" s="35" t="s">
        <v>3399</v>
      </c>
      <c r="B1000" s="35" t="s">
        <v>3399</v>
      </c>
      <c r="C1000" s="35" t="s">
        <v>3400</v>
      </c>
      <c r="D1000" s="8">
        <f>COUNTIF(Table4[کد سیستم],Table2[[#This Row],[کد سیستم]])</f>
        <v>1</v>
      </c>
    </row>
    <row r="1001" spans="1:4" hidden="1" x14ac:dyDescent="0.25">
      <c r="A1001" s="35" t="s">
        <v>3401</v>
      </c>
      <c r="B1001" s="35" t="s">
        <v>3401</v>
      </c>
      <c r="C1001" s="35" t="s">
        <v>3402</v>
      </c>
      <c r="D1001" s="8">
        <f>COUNTIF(Table4[کد سیستم],Table2[[#This Row],[کد سیستم]])</f>
        <v>1</v>
      </c>
    </row>
    <row r="1002" spans="1:4" hidden="1" x14ac:dyDescent="0.25">
      <c r="A1002" s="35" t="s">
        <v>3403</v>
      </c>
      <c r="B1002" s="35" t="s">
        <v>3403</v>
      </c>
      <c r="C1002" s="35" t="s">
        <v>3404</v>
      </c>
      <c r="D1002" s="8">
        <f>COUNTIF(Table4[کد سیستم],Table2[[#This Row],[کد سیستم]])</f>
        <v>1</v>
      </c>
    </row>
    <row r="1003" spans="1:4" hidden="1" x14ac:dyDescent="0.25">
      <c r="A1003" s="35" t="s">
        <v>3405</v>
      </c>
      <c r="B1003" s="35" t="s">
        <v>3405</v>
      </c>
      <c r="C1003" s="35" t="s">
        <v>3406</v>
      </c>
      <c r="D1003" s="8">
        <f>COUNTIF(Table4[کد سیستم],Table2[[#This Row],[کد سیستم]])</f>
        <v>1</v>
      </c>
    </row>
    <row r="1004" spans="1:4" hidden="1" x14ac:dyDescent="0.25">
      <c r="A1004" s="35" t="s">
        <v>3407</v>
      </c>
      <c r="B1004" s="35" t="s">
        <v>3407</v>
      </c>
      <c r="C1004" s="35" t="s">
        <v>3408</v>
      </c>
      <c r="D1004" s="8">
        <f>COUNTIF(Table4[کد سیستم],Table2[[#This Row],[کد سیستم]])</f>
        <v>1</v>
      </c>
    </row>
    <row r="1005" spans="1:4" hidden="1" x14ac:dyDescent="0.25">
      <c r="A1005" s="35" t="s">
        <v>3409</v>
      </c>
      <c r="B1005" s="35" t="s">
        <v>3409</v>
      </c>
      <c r="C1005" s="35" t="s">
        <v>3410</v>
      </c>
      <c r="D1005" s="8">
        <f>COUNTIF(Table4[کد سیستم],Table2[[#This Row],[کد سیستم]])</f>
        <v>1</v>
      </c>
    </row>
    <row r="1006" spans="1:4" hidden="1" x14ac:dyDescent="0.25">
      <c r="A1006" s="35" t="s">
        <v>3411</v>
      </c>
      <c r="B1006" s="35" t="s">
        <v>3411</v>
      </c>
      <c r="C1006" s="35" t="s">
        <v>3412</v>
      </c>
      <c r="D1006" s="8">
        <f>COUNTIF(Table4[کد سیستم],Table2[[#This Row],[کد سیستم]])</f>
        <v>1</v>
      </c>
    </row>
    <row r="1007" spans="1:4" hidden="1" x14ac:dyDescent="0.25">
      <c r="A1007" s="35" t="s">
        <v>3413</v>
      </c>
      <c r="B1007" s="35" t="s">
        <v>3413</v>
      </c>
      <c r="C1007" s="35" t="s">
        <v>3414</v>
      </c>
      <c r="D1007" s="8">
        <f>COUNTIF(Table4[کد سیستم],Table2[[#This Row],[کد سیستم]])</f>
        <v>1</v>
      </c>
    </row>
    <row r="1008" spans="1:4" hidden="1" x14ac:dyDescent="0.25">
      <c r="A1008" s="35" t="s">
        <v>3415</v>
      </c>
      <c r="B1008" s="35" t="s">
        <v>3415</v>
      </c>
      <c r="C1008" s="35" t="s">
        <v>3416</v>
      </c>
      <c r="D1008" s="8">
        <f>COUNTIF(Table4[کد سیستم],Table2[[#This Row],[کد سیستم]])</f>
        <v>1</v>
      </c>
    </row>
    <row r="1009" spans="1:4" hidden="1" x14ac:dyDescent="0.25">
      <c r="A1009" s="35" t="s">
        <v>3417</v>
      </c>
      <c r="B1009" s="35" t="s">
        <v>3417</v>
      </c>
      <c r="C1009" s="35" t="s">
        <v>3418</v>
      </c>
      <c r="D1009" s="8">
        <f>COUNTIF(Table4[کد سیستم],Table2[[#This Row],[کد سیستم]])</f>
        <v>1</v>
      </c>
    </row>
    <row r="1010" spans="1:4" hidden="1" x14ac:dyDescent="0.25">
      <c r="A1010" s="35" t="s">
        <v>3419</v>
      </c>
      <c r="B1010" s="35" t="s">
        <v>3419</v>
      </c>
      <c r="C1010" s="35" t="s">
        <v>3420</v>
      </c>
      <c r="D1010" s="8">
        <f>COUNTIF(Table4[کد سیستم],Table2[[#This Row],[کد سیستم]])</f>
        <v>1</v>
      </c>
    </row>
    <row r="1011" spans="1:4" hidden="1" x14ac:dyDescent="0.25">
      <c r="A1011" s="35" t="s">
        <v>3421</v>
      </c>
      <c r="B1011" s="35" t="s">
        <v>3421</v>
      </c>
      <c r="C1011" s="35" t="s">
        <v>3422</v>
      </c>
      <c r="D1011" s="8">
        <f>COUNTIF(Table4[کد سیستم],Table2[[#This Row],[کد سیستم]])</f>
        <v>1</v>
      </c>
    </row>
    <row r="1012" spans="1:4" hidden="1" x14ac:dyDescent="0.25">
      <c r="A1012" s="35" t="s">
        <v>3423</v>
      </c>
      <c r="B1012" s="35" t="s">
        <v>3423</v>
      </c>
      <c r="C1012" s="35" t="s">
        <v>3424</v>
      </c>
      <c r="D1012" s="8">
        <f>COUNTIF(Table4[کد سیستم],Table2[[#This Row],[کد سیستم]])</f>
        <v>1</v>
      </c>
    </row>
    <row r="1013" spans="1:4" hidden="1" x14ac:dyDescent="0.25">
      <c r="A1013" s="35" t="s">
        <v>3425</v>
      </c>
      <c r="B1013" s="35" t="s">
        <v>3425</v>
      </c>
      <c r="C1013" s="35" t="s">
        <v>3426</v>
      </c>
      <c r="D1013" s="8">
        <f>COUNTIF(Table4[کد سیستم],Table2[[#This Row],[کد سیستم]])</f>
        <v>1</v>
      </c>
    </row>
    <row r="1014" spans="1:4" hidden="1" x14ac:dyDescent="0.25">
      <c r="A1014" s="35" t="s">
        <v>3427</v>
      </c>
      <c r="B1014" s="35" t="s">
        <v>3427</v>
      </c>
      <c r="C1014" s="35" t="s">
        <v>3428</v>
      </c>
      <c r="D1014" s="8">
        <f>COUNTIF(Table4[کد سیستم],Table2[[#This Row],[کد سیستم]])</f>
        <v>1</v>
      </c>
    </row>
    <row r="1015" spans="1:4" hidden="1" x14ac:dyDescent="0.25">
      <c r="A1015" s="35" t="s">
        <v>3429</v>
      </c>
      <c r="B1015" s="35" t="s">
        <v>3429</v>
      </c>
      <c r="C1015" s="35" t="s">
        <v>3430</v>
      </c>
      <c r="D1015" s="8">
        <f>COUNTIF(Table4[کد سیستم],Table2[[#This Row],[کد سیستم]])</f>
        <v>1</v>
      </c>
    </row>
    <row r="1016" spans="1:4" hidden="1" x14ac:dyDescent="0.25">
      <c r="A1016" s="35" t="s">
        <v>3431</v>
      </c>
      <c r="B1016" s="35" t="s">
        <v>3431</v>
      </c>
      <c r="C1016" s="35" t="s">
        <v>3432</v>
      </c>
      <c r="D1016" s="8">
        <f>COUNTIF(Table4[کد سیستم],Table2[[#This Row],[کد سیستم]])</f>
        <v>1</v>
      </c>
    </row>
    <row r="1017" spans="1:4" hidden="1" x14ac:dyDescent="0.25">
      <c r="A1017" s="35" t="s">
        <v>3433</v>
      </c>
      <c r="B1017" s="35" t="s">
        <v>3433</v>
      </c>
      <c r="C1017" s="35" t="s">
        <v>3434</v>
      </c>
      <c r="D1017" s="8">
        <f>COUNTIF(Table4[کد سیستم],Table2[[#This Row],[کد سیستم]])</f>
        <v>1</v>
      </c>
    </row>
    <row r="1018" spans="1:4" hidden="1" x14ac:dyDescent="0.25">
      <c r="A1018" s="35" t="s">
        <v>3435</v>
      </c>
      <c r="B1018" s="35" t="s">
        <v>3435</v>
      </c>
      <c r="C1018" s="35" t="s">
        <v>3436</v>
      </c>
      <c r="D1018" s="8">
        <f>COUNTIF(Table4[کد سیستم],Table2[[#This Row],[کد سیستم]])</f>
        <v>1</v>
      </c>
    </row>
    <row r="1019" spans="1:4" hidden="1" x14ac:dyDescent="0.25">
      <c r="A1019" s="35" t="s">
        <v>3437</v>
      </c>
      <c r="B1019" s="35" t="s">
        <v>3437</v>
      </c>
      <c r="C1019" s="35" t="s">
        <v>3438</v>
      </c>
      <c r="D1019" s="8">
        <f>COUNTIF(Table4[کد سیستم],Table2[[#This Row],[کد سیستم]])</f>
        <v>1</v>
      </c>
    </row>
    <row r="1020" spans="1:4" hidden="1" x14ac:dyDescent="0.25">
      <c r="A1020" s="35" t="s">
        <v>3439</v>
      </c>
      <c r="B1020" s="35" t="s">
        <v>3439</v>
      </c>
      <c r="C1020" s="35" t="s">
        <v>3440</v>
      </c>
      <c r="D1020" s="8">
        <f>COUNTIF(Table4[کد سیستم],Table2[[#This Row],[کد سیستم]])</f>
        <v>1</v>
      </c>
    </row>
    <row r="1021" spans="1:4" hidden="1" x14ac:dyDescent="0.25">
      <c r="A1021" s="35" t="s">
        <v>3441</v>
      </c>
      <c r="B1021" s="35" t="s">
        <v>3441</v>
      </c>
      <c r="C1021" s="35" t="s">
        <v>3442</v>
      </c>
      <c r="D1021" s="8">
        <f>COUNTIF(Table4[کد سیستم],Table2[[#This Row],[کد سیستم]])</f>
        <v>1</v>
      </c>
    </row>
    <row r="1022" spans="1:4" hidden="1" x14ac:dyDescent="0.25">
      <c r="A1022" s="35" t="s">
        <v>3443</v>
      </c>
      <c r="B1022" s="35" t="s">
        <v>3443</v>
      </c>
      <c r="C1022" s="35" t="s">
        <v>3444</v>
      </c>
      <c r="D1022" s="8">
        <f>COUNTIF(Table4[کد سیستم],Table2[[#This Row],[کد سیستم]])</f>
        <v>1</v>
      </c>
    </row>
    <row r="1023" spans="1:4" hidden="1" x14ac:dyDescent="0.25">
      <c r="A1023" s="35" t="s">
        <v>3445</v>
      </c>
      <c r="B1023" s="35" t="s">
        <v>3445</v>
      </c>
      <c r="C1023" s="35" t="s">
        <v>3446</v>
      </c>
      <c r="D1023" s="8">
        <f>COUNTIF(Table4[کد سیستم],Table2[[#This Row],[کد سیستم]])</f>
        <v>1</v>
      </c>
    </row>
    <row r="1024" spans="1:4" hidden="1" x14ac:dyDescent="0.25">
      <c r="A1024" s="35" t="s">
        <v>3447</v>
      </c>
      <c r="B1024" s="35" t="s">
        <v>3447</v>
      </c>
      <c r="C1024" s="35" t="s">
        <v>3448</v>
      </c>
      <c r="D1024" s="8">
        <f>COUNTIF(Table4[کد سیستم],Table2[[#This Row],[کد سیستم]])</f>
        <v>1</v>
      </c>
    </row>
    <row r="1025" spans="1:4" hidden="1" x14ac:dyDescent="0.25">
      <c r="A1025" s="35" t="s">
        <v>3449</v>
      </c>
      <c r="B1025" s="35" t="s">
        <v>3449</v>
      </c>
      <c r="C1025" s="35" t="s">
        <v>3450</v>
      </c>
      <c r="D1025" s="8">
        <f>COUNTIF(Table4[کد سیستم],Table2[[#This Row],[کد سیستم]])</f>
        <v>1</v>
      </c>
    </row>
    <row r="1026" spans="1:4" hidden="1" x14ac:dyDescent="0.25">
      <c r="A1026" s="35" t="s">
        <v>3451</v>
      </c>
      <c r="B1026" s="35" t="s">
        <v>3451</v>
      </c>
      <c r="C1026" s="35" t="s">
        <v>3452</v>
      </c>
      <c r="D1026" s="8">
        <f>COUNTIF(Table4[کد سیستم],Table2[[#This Row],[کد سیستم]])</f>
        <v>1</v>
      </c>
    </row>
    <row r="1027" spans="1:4" hidden="1" x14ac:dyDescent="0.25">
      <c r="A1027" s="35" t="s">
        <v>3453</v>
      </c>
      <c r="B1027" s="35" t="s">
        <v>3453</v>
      </c>
      <c r="C1027" s="35" t="s">
        <v>3454</v>
      </c>
      <c r="D1027" s="8">
        <f>COUNTIF(Table4[کد سیستم],Table2[[#This Row],[کد سیستم]])</f>
        <v>1</v>
      </c>
    </row>
    <row r="1028" spans="1:4" hidden="1" x14ac:dyDescent="0.25">
      <c r="A1028" s="35" t="s">
        <v>3455</v>
      </c>
      <c r="B1028" s="35" t="s">
        <v>3455</v>
      </c>
      <c r="C1028" s="35" t="s">
        <v>3456</v>
      </c>
      <c r="D1028" s="8">
        <f>COUNTIF(Table4[کد سیستم],Table2[[#This Row],[کد سیستم]])</f>
        <v>1</v>
      </c>
    </row>
    <row r="1029" spans="1:4" hidden="1" x14ac:dyDescent="0.25">
      <c r="A1029" s="35" t="s">
        <v>3457</v>
      </c>
      <c r="B1029" s="35" t="s">
        <v>3457</v>
      </c>
      <c r="C1029" s="35" t="s">
        <v>3458</v>
      </c>
      <c r="D1029" s="8">
        <f>COUNTIF(Table4[کد سیستم],Table2[[#This Row],[کد سیستم]])</f>
        <v>1</v>
      </c>
    </row>
    <row r="1030" spans="1:4" hidden="1" x14ac:dyDescent="0.25">
      <c r="A1030" s="35" t="s">
        <v>3459</v>
      </c>
      <c r="B1030" s="35" t="s">
        <v>3459</v>
      </c>
      <c r="C1030" s="35" t="s">
        <v>3460</v>
      </c>
      <c r="D1030" s="8">
        <f>COUNTIF(Table4[کد سیستم],Table2[[#This Row],[کد سیستم]])</f>
        <v>1</v>
      </c>
    </row>
    <row r="1031" spans="1:4" hidden="1" x14ac:dyDescent="0.25">
      <c r="A1031" s="35" t="s">
        <v>3461</v>
      </c>
      <c r="B1031" s="35" t="s">
        <v>3461</v>
      </c>
      <c r="C1031" s="35" t="s">
        <v>3462</v>
      </c>
      <c r="D1031" s="8">
        <f>COUNTIF(Table4[کد سیستم],Table2[[#This Row],[کد سیستم]])</f>
        <v>1</v>
      </c>
    </row>
    <row r="1032" spans="1:4" hidden="1" x14ac:dyDescent="0.25">
      <c r="A1032" s="35" t="s">
        <v>3463</v>
      </c>
      <c r="B1032" s="35" t="s">
        <v>3463</v>
      </c>
      <c r="C1032" s="35" t="s">
        <v>3464</v>
      </c>
      <c r="D1032" s="8">
        <f>COUNTIF(Table4[کد سیستم],Table2[[#This Row],[کد سیستم]])</f>
        <v>1</v>
      </c>
    </row>
    <row r="1033" spans="1:4" hidden="1" x14ac:dyDescent="0.25">
      <c r="A1033" s="35" t="s">
        <v>3465</v>
      </c>
      <c r="B1033" s="35" t="s">
        <v>3465</v>
      </c>
      <c r="C1033" s="35" t="s">
        <v>3466</v>
      </c>
      <c r="D1033" s="8">
        <f>COUNTIF(Table4[کد سیستم],Table2[[#This Row],[کد سیستم]])</f>
        <v>1</v>
      </c>
    </row>
    <row r="1034" spans="1:4" hidden="1" x14ac:dyDescent="0.25">
      <c r="A1034" s="35" t="s">
        <v>3467</v>
      </c>
      <c r="B1034" s="35" t="s">
        <v>3467</v>
      </c>
      <c r="C1034" s="35" t="s">
        <v>3468</v>
      </c>
      <c r="D1034" s="8">
        <f>COUNTIF(Table4[کد سیستم],Table2[[#This Row],[کد سیستم]])</f>
        <v>1</v>
      </c>
    </row>
    <row r="1035" spans="1:4" hidden="1" x14ac:dyDescent="0.25">
      <c r="A1035" s="35" t="s">
        <v>3469</v>
      </c>
      <c r="B1035" s="35" t="s">
        <v>3469</v>
      </c>
      <c r="C1035" s="35" t="s">
        <v>3470</v>
      </c>
      <c r="D1035" s="8">
        <f>COUNTIF(Table4[کد سیستم],Table2[[#This Row],[کد سیستم]])</f>
        <v>1</v>
      </c>
    </row>
    <row r="1036" spans="1:4" hidden="1" x14ac:dyDescent="0.25">
      <c r="A1036" s="35" t="s">
        <v>3471</v>
      </c>
      <c r="B1036" s="35" t="s">
        <v>3471</v>
      </c>
      <c r="C1036" s="35" t="s">
        <v>3472</v>
      </c>
      <c r="D1036" s="8">
        <f>COUNTIF(Table4[کد سیستم],Table2[[#This Row],[کد سیستم]])</f>
        <v>1</v>
      </c>
    </row>
    <row r="1037" spans="1:4" hidden="1" x14ac:dyDescent="0.25">
      <c r="A1037" s="35" t="s">
        <v>3473</v>
      </c>
      <c r="B1037" s="35" t="s">
        <v>3473</v>
      </c>
      <c r="C1037" s="35" t="s">
        <v>3474</v>
      </c>
      <c r="D1037" s="8">
        <f>COUNTIF(Table4[کد سیستم],Table2[[#This Row],[کد سیستم]])</f>
        <v>1</v>
      </c>
    </row>
    <row r="1038" spans="1:4" hidden="1" x14ac:dyDescent="0.25">
      <c r="A1038" s="35" t="s">
        <v>3475</v>
      </c>
      <c r="B1038" s="35" t="s">
        <v>3475</v>
      </c>
      <c r="C1038" s="35" t="s">
        <v>3476</v>
      </c>
      <c r="D1038" s="8">
        <f>COUNTIF(Table4[کد سیستم],Table2[[#This Row],[کد سیستم]])</f>
        <v>1</v>
      </c>
    </row>
    <row r="1039" spans="1:4" hidden="1" x14ac:dyDescent="0.25">
      <c r="A1039" s="35" t="s">
        <v>3477</v>
      </c>
      <c r="B1039" s="35" t="s">
        <v>3477</v>
      </c>
      <c r="C1039" s="35" t="s">
        <v>3478</v>
      </c>
      <c r="D1039" s="8">
        <f>COUNTIF(Table4[کد سیستم],Table2[[#This Row],[کد سیستم]])</f>
        <v>1</v>
      </c>
    </row>
    <row r="1040" spans="1:4" hidden="1" x14ac:dyDescent="0.25">
      <c r="A1040" s="35" t="s">
        <v>3479</v>
      </c>
      <c r="B1040" s="35" t="s">
        <v>3479</v>
      </c>
      <c r="C1040" s="35" t="s">
        <v>3480</v>
      </c>
      <c r="D1040" s="8">
        <f>COUNTIF(Table4[کد سیستم],Table2[[#This Row],[کد سیستم]])</f>
        <v>1</v>
      </c>
    </row>
    <row r="1041" spans="1:4" hidden="1" x14ac:dyDescent="0.25">
      <c r="A1041" s="35" t="s">
        <v>3481</v>
      </c>
      <c r="B1041" s="35" t="s">
        <v>3481</v>
      </c>
      <c r="C1041" s="35" t="s">
        <v>3482</v>
      </c>
      <c r="D1041" s="8">
        <f>COUNTIF(Table4[کد سیستم],Table2[[#This Row],[کد سیستم]])</f>
        <v>1</v>
      </c>
    </row>
    <row r="1042" spans="1:4" hidden="1" x14ac:dyDescent="0.25">
      <c r="A1042" s="35" t="s">
        <v>3483</v>
      </c>
      <c r="B1042" s="35" t="s">
        <v>3483</v>
      </c>
      <c r="C1042" s="35" t="s">
        <v>3484</v>
      </c>
      <c r="D1042" s="8">
        <f>COUNTIF(Table4[کد سیستم],Table2[[#This Row],[کد سیستم]])</f>
        <v>1</v>
      </c>
    </row>
    <row r="1043" spans="1:4" hidden="1" x14ac:dyDescent="0.25">
      <c r="A1043" s="35" t="s">
        <v>3485</v>
      </c>
      <c r="B1043" s="35" t="s">
        <v>3485</v>
      </c>
      <c r="C1043" s="35" t="s">
        <v>3486</v>
      </c>
      <c r="D1043" s="8">
        <f>COUNTIF(Table4[کد سیستم],Table2[[#This Row],[کد سیستم]])</f>
        <v>1</v>
      </c>
    </row>
    <row r="1044" spans="1:4" hidden="1" x14ac:dyDescent="0.25">
      <c r="A1044" s="35" t="s">
        <v>3487</v>
      </c>
      <c r="B1044" s="35" t="s">
        <v>3487</v>
      </c>
      <c r="C1044" s="35" t="s">
        <v>3488</v>
      </c>
      <c r="D1044" s="8">
        <f>COUNTIF(Table4[کد سیستم],Table2[[#This Row],[کد سیستم]])</f>
        <v>1</v>
      </c>
    </row>
    <row r="1045" spans="1:4" hidden="1" x14ac:dyDescent="0.25">
      <c r="A1045" s="35" t="s">
        <v>3489</v>
      </c>
      <c r="B1045" s="35" t="s">
        <v>3489</v>
      </c>
      <c r="C1045" s="35" t="s">
        <v>3490</v>
      </c>
      <c r="D1045" s="8">
        <f>COUNTIF(Table4[کد سیستم],Table2[[#This Row],[کد سیستم]])</f>
        <v>1</v>
      </c>
    </row>
    <row r="1046" spans="1:4" hidden="1" x14ac:dyDescent="0.25">
      <c r="A1046" s="35" t="s">
        <v>3491</v>
      </c>
      <c r="B1046" s="35" t="s">
        <v>3491</v>
      </c>
      <c r="C1046" s="35" t="s">
        <v>3492</v>
      </c>
      <c r="D1046" s="8">
        <f>COUNTIF(Table4[کد سیستم],Table2[[#This Row],[کد سیستم]])</f>
        <v>1</v>
      </c>
    </row>
    <row r="1047" spans="1:4" hidden="1" x14ac:dyDescent="0.25">
      <c r="A1047" s="35" t="s">
        <v>3493</v>
      </c>
      <c r="B1047" s="35" t="s">
        <v>3493</v>
      </c>
      <c r="C1047" s="35" t="s">
        <v>3494</v>
      </c>
      <c r="D1047" s="8">
        <f>COUNTIF(Table4[کد سیستم],Table2[[#This Row],[کد سیستم]])</f>
        <v>1</v>
      </c>
    </row>
    <row r="1048" spans="1:4" hidden="1" x14ac:dyDescent="0.25">
      <c r="A1048" s="35" t="s">
        <v>3495</v>
      </c>
      <c r="B1048" s="35" t="s">
        <v>3495</v>
      </c>
      <c r="C1048" s="35" t="s">
        <v>3496</v>
      </c>
      <c r="D1048" s="8">
        <f>COUNTIF(Table4[کد سیستم],Table2[[#This Row],[کد سیستم]])</f>
        <v>1</v>
      </c>
    </row>
    <row r="1049" spans="1:4" hidden="1" x14ac:dyDescent="0.25">
      <c r="A1049" s="35" t="s">
        <v>3497</v>
      </c>
      <c r="B1049" s="35" t="s">
        <v>3497</v>
      </c>
      <c r="C1049" s="35" t="s">
        <v>3498</v>
      </c>
      <c r="D1049" s="8">
        <f>COUNTIF(Table4[کد سیستم],Table2[[#This Row],[کد سیستم]])</f>
        <v>1</v>
      </c>
    </row>
    <row r="1050" spans="1:4" hidden="1" x14ac:dyDescent="0.25">
      <c r="A1050" s="35" t="s">
        <v>3499</v>
      </c>
      <c r="B1050" s="35" t="s">
        <v>3499</v>
      </c>
      <c r="C1050" s="35" t="s">
        <v>3500</v>
      </c>
      <c r="D1050" s="8">
        <f>COUNTIF(Table4[کد سیستم],Table2[[#This Row],[کد سیستم]])</f>
        <v>1</v>
      </c>
    </row>
    <row r="1051" spans="1:4" hidden="1" x14ac:dyDescent="0.25">
      <c r="A1051" s="35" t="s">
        <v>3501</v>
      </c>
      <c r="B1051" s="35" t="s">
        <v>3501</v>
      </c>
      <c r="C1051" s="35" t="s">
        <v>3502</v>
      </c>
      <c r="D1051" s="8">
        <f>COUNTIF(Table4[کد سیستم],Table2[[#This Row],[کد سیستم]])</f>
        <v>1</v>
      </c>
    </row>
    <row r="1052" spans="1:4" hidden="1" x14ac:dyDescent="0.25">
      <c r="A1052" s="35" t="s">
        <v>3503</v>
      </c>
      <c r="B1052" s="35" t="s">
        <v>3503</v>
      </c>
      <c r="C1052" s="35" t="s">
        <v>3504</v>
      </c>
      <c r="D1052" s="8">
        <f>COUNTIF(Table4[کد سیستم],Table2[[#This Row],[کد سیستم]])</f>
        <v>1</v>
      </c>
    </row>
    <row r="1053" spans="1:4" hidden="1" x14ac:dyDescent="0.25">
      <c r="A1053" s="35" t="s">
        <v>3505</v>
      </c>
      <c r="B1053" s="35" t="s">
        <v>3505</v>
      </c>
      <c r="C1053" s="35" t="s">
        <v>3506</v>
      </c>
      <c r="D1053" s="8">
        <f>COUNTIF(Table4[کد سیستم],Table2[[#This Row],[کد سیستم]])</f>
        <v>1</v>
      </c>
    </row>
    <row r="1054" spans="1:4" hidden="1" x14ac:dyDescent="0.25">
      <c r="A1054" s="35" t="s">
        <v>3507</v>
      </c>
      <c r="B1054" s="35" t="s">
        <v>3507</v>
      </c>
      <c r="C1054" s="35" t="s">
        <v>3508</v>
      </c>
      <c r="D1054" s="8">
        <f>COUNTIF(Table4[کد سیستم],Table2[[#This Row],[کد سیستم]])</f>
        <v>1</v>
      </c>
    </row>
    <row r="1055" spans="1:4" hidden="1" x14ac:dyDescent="0.25">
      <c r="A1055" s="35" t="s">
        <v>3509</v>
      </c>
      <c r="B1055" s="35" t="s">
        <v>3509</v>
      </c>
      <c r="C1055" s="35" t="s">
        <v>3510</v>
      </c>
      <c r="D1055" s="8">
        <f>COUNTIF(Table4[کد سیستم],Table2[[#This Row],[کد سیستم]])</f>
        <v>1</v>
      </c>
    </row>
    <row r="1056" spans="1:4" hidden="1" x14ac:dyDescent="0.25">
      <c r="A1056" s="35" t="s">
        <v>3511</v>
      </c>
      <c r="B1056" s="35" t="s">
        <v>3511</v>
      </c>
      <c r="C1056" s="35" t="s">
        <v>3512</v>
      </c>
      <c r="D1056" s="8">
        <f>COUNTIF(Table4[کد سیستم],Table2[[#This Row],[کد سیستم]])</f>
        <v>1</v>
      </c>
    </row>
    <row r="1057" spans="1:4" hidden="1" x14ac:dyDescent="0.25">
      <c r="A1057" s="35" t="s">
        <v>3513</v>
      </c>
      <c r="B1057" s="35" t="s">
        <v>3513</v>
      </c>
      <c r="C1057" s="35" t="s">
        <v>3514</v>
      </c>
      <c r="D1057" s="8">
        <f>COUNTIF(Table4[کد سیستم],Table2[[#This Row],[کد سیستم]])</f>
        <v>1</v>
      </c>
    </row>
    <row r="1058" spans="1:4" hidden="1" x14ac:dyDescent="0.25">
      <c r="A1058" s="35" t="s">
        <v>3515</v>
      </c>
      <c r="B1058" s="35" t="s">
        <v>3515</v>
      </c>
      <c r="C1058" s="35" t="s">
        <v>3516</v>
      </c>
      <c r="D1058" s="8">
        <f>COUNTIF(Table4[کد سیستم],Table2[[#This Row],[کد سیستم]])</f>
        <v>1</v>
      </c>
    </row>
    <row r="1059" spans="1:4" hidden="1" x14ac:dyDescent="0.25">
      <c r="A1059" s="35" t="s">
        <v>3517</v>
      </c>
      <c r="B1059" s="35" t="s">
        <v>3517</v>
      </c>
      <c r="C1059" s="35" t="s">
        <v>3518</v>
      </c>
      <c r="D1059" s="8">
        <f>COUNTIF(Table4[کد سیستم],Table2[[#This Row],[کد سیستم]])</f>
        <v>1</v>
      </c>
    </row>
    <row r="1060" spans="1:4" hidden="1" x14ac:dyDescent="0.25">
      <c r="A1060" s="35" t="s">
        <v>3519</v>
      </c>
      <c r="B1060" s="35" t="s">
        <v>3519</v>
      </c>
      <c r="C1060" s="35" t="s">
        <v>3520</v>
      </c>
      <c r="D1060" s="8">
        <f>COUNTIF(Table4[کد سیستم],Table2[[#This Row],[کد سیستم]])</f>
        <v>1</v>
      </c>
    </row>
    <row r="1061" spans="1:4" hidden="1" x14ac:dyDescent="0.25">
      <c r="A1061" s="35" t="s">
        <v>3521</v>
      </c>
      <c r="B1061" s="35" t="s">
        <v>3521</v>
      </c>
      <c r="C1061" s="35" t="s">
        <v>3522</v>
      </c>
      <c r="D1061" s="8">
        <f>COUNTIF(Table4[کد سیستم],Table2[[#This Row],[کد سیستم]])</f>
        <v>1</v>
      </c>
    </row>
    <row r="1062" spans="1:4" hidden="1" x14ac:dyDescent="0.25">
      <c r="A1062" s="35" t="s">
        <v>3523</v>
      </c>
      <c r="B1062" s="35" t="s">
        <v>3523</v>
      </c>
      <c r="C1062" s="35" t="s">
        <v>3524</v>
      </c>
      <c r="D1062" s="8">
        <f>COUNTIF(Table4[کد سیستم],Table2[[#This Row],[کد سیستم]])</f>
        <v>1</v>
      </c>
    </row>
    <row r="1063" spans="1:4" hidden="1" x14ac:dyDescent="0.25">
      <c r="A1063" s="35" t="s">
        <v>3525</v>
      </c>
      <c r="B1063" s="35" t="s">
        <v>3525</v>
      </c>
      <c r="C1063" s="35" t="s">
        <v>3526</v>
      </c>
      <c r="D1063" s="8">
        <f>COUNTIF(Table4[کد سیستم],Table2[[#This Row],[کد سیستم]])</f>
        <v>1</v>
      </c>
    </row>
    <row r="1064" spans="1:4" hidden="1" x14ac:dyDescent="0.25">
      <c r="A1064" s="35" t="s">
        <v>3527</v>
      </c>
      <c r="B1064" s="35" t="s">
        <v>3527</v>
      </c>
      <c r="C1064" s="35" t="s">
        <v>3528</v>
      </c>
      <c r="D1064" s="8">
        <f>COUNTIF(Table4[کد سیستم],Table2[[#This Row],[کد سیستم]])</f>
        <v>1</v>
      </c>
    </row>
    <row r="1065" spans="1:4" hidden="1" x14ac:dyDescent="0.25">
      <c r="A1065" s="35" t="s">
        <v>3529</v>
      </c>
      <c r="B1065" s="35" t="s">
        <v>3529</v>
      </c>
      <c r="C1065" s="35" t="s">
        <v>3530</v>
      </c>
      <c r="D1065" s="8">
        <f>COUNTIF(Table4[کد سیستم],Table2[[#This Row],[کد سیستم]])</f>
        <v>1</v>
      </c>
    </row>
    <row r="1066" spans="1:4" hidden="1" x14ac:dyDescent="0.25">
      <c r="A1066" s="35" t="s">
        <v>3531</v>
      </c>
      <c r="B1066" s="35" t="s">
        <v>3531</v>
      </c>
      <c r="C1066" s="35" t="s">
        <v>3532</v>
      </c>
      <c r="D1066" s="8">
        <f>COUNTIF(Table4[کد سیستم],Table2[[#This Row],[کد سیستم]])</f>
        <v>1</v>
      </c>
    </row>
    <row r="1067" spans="1:4" hidden="1" x14ac:dyDescent="0.25">
      <c r="A1067" s="35" t="s">
        <v>3533</v>
      </c>
      <c r="B1067" s="35" t="s">
        <v>3533</v>
      </c>
      <c r="C1067" s="35" t="s">
        <v>3534</v>
      </c>
      <c r="D1067" s="8">
        <f>COUNTIF(Table4[کد سیستم],Table2[[#This Row],[کد سیستم]])</f>
        <v>1</v>
      </c>
    </row>
    <row r="1068" spans="1:4" hidden="1" x14ac:dyDescent="0.25">
      <c r="A1068" s="35" t="s">
        <v>3535</v>
      </c>
      <c r="B1068" s="35" t="s">
        <v>3535</v>
      </c>
      <c r="C1068" s="35" t="s">
        <v>3536</v>
      </c>
      <c r="D1068" s="8">
        <f>COUNTIF(Table4[کد سیستم],Table2[[#This Row],[کد سیستم]])</f>
        <v>1</v>
      </c>
    </row>
    <row r="1069" spans="1:4" hidden="1" x14ac:dyDescent="0.25">
      <c r="A1069" s="35" t="s">
        <v>3537</v>
      </c>
      <c r="B1069" s="35" t="s">
        <v>3537</v>
      </c>
      <c r="C1069" s="35" t="s">
        <v>3538</v>
      </c>
      <c r="D1069" s="8">
        <f>COUNTIF(Table4[کد سیستم],Table2[[#This Row],[کد سیستم]])</f>
        <v>1</v>
      </c>
    </row>
    <row r="1070" spans="1:4" hidden="1" x14ac:dyDescent="0.25">
      <c r="A1070" s="35" t="s">
        <v>3539</v>
      </c>
      <c r="B1070" s="35" t="s">
        <v>3539</v>
      </c>
      <c r="C1070" s="35" t="s">
        <v>3540</v>
      </c>
      <c r="D1070" s="8">
        <f>COUNTIF(Table4[کد سیستم],Table2[[#This Row],[کد سیستم]])</f>
        <v>1</v>
      </c>
    </row>
    <row r="1071" spans="1:4" hidden="1" x14ac:dyDescent="0.25">
      <c r="A1071" s="35" t="s">
        <v>3541</v>
      </c>
      <c r="B1071" s="35" t="s">
        <v>3542</v>
      </c>
      <c r="C1071" s="35" t="s">
        <v>3543</v>
      </c>
      <c r="D1071" s="8">
        <f>COUNTIF(Table4[کد سیستم],Table2[[#This Row],[کد سیستم]])</f>
        <v>1</v>
      </c>
    </row>
    <row r="1072" spans="1:4" hidden="1" x14ac:dyDescent="0.25">
      <c r="A1072" s="35" t="s">
        <v>3544</v>
      </c>
      <c r="B1072" s="35" t="s">
        <v>3544</v>
      </c>
      <c r="C1072" s="35" t="s">
        <v>3545</v>
      </c>
      <c r="D1072" s="8">
        <f>COUNTIF(Table4[کد سیستم],Table2[[#This Row],[کد سیستم]])</f>
        <v>1</v>
      </c>
    </row>
    <row r="1073" spans="1:4" hidden="1" x14ac:dyDescent="0.25">
      <c r="A1073" s="35" t="s">
        <v>3546</v>
      </c>
      <c r="B1073" s="35" t="s">
        <v>3546</v>
      </c>
      <c r="C1073" s="35" t="s">
        <v>3547</v>
      </c>
      <c r="D1073" s="8">
        <f>COUNTIF(Table4[کد سیستم],Table2[[#This Row],[کد سیستم]])</f>
        <v>1</v>
      </c>
    </row>
    <row r="1074" spans="1:4" hidden="1" x14ac:dyDescent="0.25">
      <c r="A1074" s="35" t="s">
        <v>3548</v>
      </c>
      <c r="B1074" s="35" t="s">
        <v>3548</v>
      </c>
      <c r="C1074" s="35" t="s">
        <v>3549</v>
      </c>
      <c r="D1074" s="8">
        <f>COUNTIF(Table4[کد سیستم],Table2[[#This Row],[کد سیستم]])</f>
        <v>1</v>
      </c>
    </row>
    <row r="1075" spans="1:4" hidden="1" x14ac:dyDescent="0.25">
      <c r="A1075" s="35" t="s">
        <v>3550</v>
      </c>
      <c r="B1075" s="35" t="s">
        <v>3550</v>
      </c>
      <c r="C1075" s="35" t="s">
        <v>3551</v>
      </c>
      <c r="D1075" s="8">
        <f>COUNTIF(Table4[کد سیستم],Table2[[#This Row],[کد سیستم]])</f>
        <v>1</v>
      </c>
    </row>
    <row r="1076" spans="1:4" hidden="1" x14ac:dyDescent="0.25">
      <c r="A1076" s="35" t="s">
        <v>3552</v>
      </c>
      <c r="B1076" s="35" t="s">
        <v>3552</v>
      </c>
      <c r="C1076" s="35" t="s">
        <v>3553</v>
      </c>
      <c r="D1076" s="8">
        <f>COUNTIF(Table4[کد سیستم],Table2[[#This Row],[کد سیستم]])</f>
        <v>1</v>
      </c>
    </row>
    <row r="1077" spans="1:4" hidden="1" x14ac:dyDescent="0.25">
      <c r="A1077" s="35" t="s">
        <v>3554</v>
      </c>
      <c r="B1077" s="35" t="s">
        <v>3554</v>
      </c>
      <c r="C1077" s="35" t="s">
        <v>3555</v>
      </c>
      <c r="D1077" s="8">
        <f>COUNTIF(Table4[کد سیستم],Table2[[#This Row],[کد سیستم]])</f>
        <v>1</v>
      </c>
    </row>
    <row r="1078" spans="1:4" hidden="1" x14ac:dyDescent="0.25">
      <c r="A1078" s="35" t="s">
        <v>3556</v>
      </c>
      <c r="B1078" s="35" t="s">
        <v>3556</v>
      </c>
      <c r="C1078" s="35" t="s">
        <v>3557</v>
      </c>
      <c r="D1078" s="8">
        <f>COUNTIF(Table4[کد سیستم],Table2[[#This Row],[کد سیستم]])</f>
        <v>1</v>
      </c>
    </row>
    <row r="1079" spans="1:4" hidden="1" x14ac:dyDescent="0.25">
      <c r="A1079" s="35" t="s">
        <v>3558</v>
      </c>
      <c r="B1079" s="35" t="s">
        <v>3558</v>
      </c>
      <c r="C1079" s="35" t="s">
        <v>3559</v>
      </c>
      <c r="D1079" s="8">
        <f>COUNTIF(Table4[کد سیستم],Table2[[#This Row],[کد سیستم]])</f>
        <v>1</v>
      </c>
    </row>
    <row r="1080" spans="1:4" hidden="1" x14ac:dyDescent="0.25">
      <c r="A1080" s="35" t="s">
        <v>3560</v>
      </c>
      <c r="B1080" s="35" t="s">
        <v>3560</v>
      </c>
      <c r="C1080" s="35" t="s">
        <v>3561</v>
      </c>
      <c r="D1080" s="8">
        <f>COUNTIF(Table4[کد سیستم],Table2[[#This Row],[کد سیستم]])</f>
        <v>1</v>
      </c>
    </row>
    <row r="1081" spans="1:4" hidden="1" x14ac:dyDescent="0.25">
      <c r="A1081" s="35" t="s">
        <v>3562</v>
      </c>
      <c r="B1081" s="35" t="s">
        <v>3562</v>
      </c>
      <c r="C1081" s="35" t="s">
        <v>3563</v>
      </c>
      <c r="D1081" s="8">
        <f>COUNTIF(Table4[کد سیستم],Table2[[#This Row],[کد سیستم]])</f>
        <v>1</v>
      </c>
    </row>
    <row r="1082" spans="1:4" hidden="1" x14ac:dyDescent="0.25">
      <c r="A1082" s="35" t="s">
        <v>3564</v>
      </c>
      <c r="B1082" s="35" t="s">
        <v>3564</v>
      </c>
      <c r="C1082" s="35" t="s">
        <v>3565</v>
      </c>
      <c r="D1082" s="8">
        <f>COUNTIF(Table4[کد سیستم],Table2[[#This Row],[کد سیستم]])</f>
        <v>1</v>
      </c>
    </row>
    <row r="1083" spans="1:4" hidden="1" x14ac:dyDescent="0.25">
      <c r="A1083" s="35" t="s">
        <v>3566</v>
      </c>
      <c r="B1083" s="35" t="s">
        <v>3566</v>
      </c>
      <c r="C1083" s="35" t="s">
        <v>3567</v>
      </c>
      <c r="D1083" s="8">
        <f>COUNTIF(Table4[کد سیستم],Table2[[#This Row],[کد سیستم]])</f>
        <v>1</v>
      </c>
    </row>
    <row r="1084" spans="1:4" hidden="1" x14ac:dyDescent="0.25">
      <c r="A1084" s="35" t="s">
        <v>3568</v>
      </c>
      <c r="B1084" s="35" t="s">
        <v>3568</v>
      </c>
      <c r="C1084" s="35" t="s">
        <v>3569</v>
      </c>
      <c r="D1084" s="8">
        <f>COUNTIF(Table4[کد سیستم],Table2[[#This Row],[کد سیستم]])</f>
        <v>1</v>
      </c>
    </row>
    <row r="1085" spans="1:4" hidden="1" x14ac:dyDescent="0.25">
      <c r="A1085" s="35" t="s">
        <v>3570</v>
      </c>
      <c r="B1085" s="35" t="s">
        <v>3570</v>
      </c>
      <c r="C1085" s="35" t="s">
        <v>3571</v>
      </c>
      <c r="D1085" s="8">
        <f>COUNTIF(Table4[کد سیستم],Table2[[#This Row],[کد سیستم]])</f>
        <v>1</v>
      </c>
    </row>
    <row r="1086" spans="1:4" hidden="1" x14ac:dyDescent="0.25">
      <c r="A1086" s="35" t="s">
        <v>3572</v>
      </c>
      <c r="B1086" s="35" t="s">
        <v>3572</v>
      </c>
      <c r="C1086" s="35" t="s">
        <v>3573</v>
      </c>
      <c r="D1086" s="8">
        <f>COUNTIF(Table4[کد سیستم],Table2[[#This Row],[کد سیستم]])</f>
        <v>1</v>
      </c>
    </row>
    <row r="1087" spans="1:4" hidden="1" x14ac:dyDescent="0.25">
      <c r="A1087" s="35" t="s">
        <v>3574</v>
      </c>
      <c r="B1087" s="35" t="s">
        <v>3574</v>
      </c>
      <c r="C1087" s="35" t="s">
        <v>3575</v>
      </c>
      <c r="D1087" s="8">
        <f>COUNTIF(Table4[کد سیستم],Table2[[#This Row],[کد سیستم]])</f>
        <v>1</v>
      </c>
    </row>
    <row r="1088" spans="1:4" hidden="1" x14ac:dyDescent="0.25">
      <c r="A1088" s="35" t="s">
        <v>3576</v>
      </c>
      <c r="B1088" s="35" t="s">
        <v>3576</v>
      </c>
      <c r="C1088" s="35" t="s">
        <v>3577</v>
      </c>
      <c r="D1088" s="8">
        <f>COUNTIF(Table4[کد سیستم],Table2[[#This Row],[کد سیستم]])</f>
        <v>1</v>
      </c>
    </row>
    <row r="1089" spans="1:4" hidden="1" x14ac:dyDescent="0.25">
      <c r="A1089" s="35" t="s">
        <v>3578</v>
      </c>
      <c r="B1089" s="35" t="s">
        <v>3579</v>
      </c>
      <c r="C1089" s="35" t="s">
        <v>3580</v>
      </c>
      <c r="D1089" s="8">
        <f>COUNTIF(Table4[کد سیستم],Table2[[#This Row],[کد سیستم]])</f>
        <v>1</v>
      </c>
    </row>
    <row r="1090" spans="1:4" hidden="1" x14ac:dyDescent="0.25">
      <c r="A1090" s="35" t="s">
        <v>3581</v>
      </c>
      <c r="B1090" s="35" t="s">
        <v>3581</v>
      </c>
      <c r="C1090" s="35" t="s">
        <v>3582</v>
      </c>
      <c r="D1090" s="10">
        <f>COUNTIF(Table4[کد سیستم],Table2[[#This Row],[کد سیستم]])</f>
        <v>1</v>
      </c>
    </row>
    <row r="1091" spans="1:4" hidden="1" x14ac:dyDescent="0.25">
      <c r="A1091" s="35" t="s">
        <v>3583</v>
      </c>
      <c r="B1091" s="35" t="s">
        <v>3583</v>
      </c>
      <c r="C1091" s="35" t="s">
        <v>3584</v>
      </c>
      <c r="D1091" s="10">
        <f>COUNTIF(Table4[کد سیستم],Table2[[#This Row],[کد سیستم]])</f>
        <v>1</v>
      </c>
    </row>
    <row r="1092" spans="1:4" hidden="1" x14ac:dyDescent="0.25">
      <c r="A1092" s="35" t="s">
        <v>3585</v>
      </c>
      <c r="B1092" s="35" t="s">
        <v>3585</v>
      </c>
      <c r="C1092" s="35" t="s">
        <v>3586</v>
      </c>
      <c r="D1092" s="10">
        <f>COUNTIF(Table4[کد سیستم],Table2[[#This Row],[کد سیستم]])</f>
        <v>1</v>
      </c>
    </row>
    <row r="1093" spans="1:4" hidden="1" x14ac:dyDescent="0.25">
      <c r="A1093" s="35" t="s">
        <v>3587</v>
      </c>
      <c r="B1093" s="35" t="s">
        <v>3587</v>
      </c>
      <c r="C1093" s="35" t="s">
        <v>3588</v>
      </c>
      <c r="D1093" s="10">
        <f>COUNTIF(Table4[کد سیستم],Table2[[#This Row],[کد سیستم]])</f>
        <v>1</v>
      </c>
    </row>
    <row r="1094" spans="1:4" hidden="1" x14ac:dyDescent="0.25">
      <c r="A1094" s="35" t="s">
        <v>3589</v>
      </c>
      <c r="B1094" s="35" t="s">
        <v>3589</v>
      </c>
      <c r="C1094" s="35" t="s">
        <v>3590</v>
      </c>
      <c r="D1094" s="10">
        <f>COUNTIF(Table4[کد سیستم],Table2[[#This Row],[کد سیستم]])</f>
        <v>1</v>
      </c>
    </row>
    <row r="1095" spans="1:4" hidden="1" x14ac:dyDescent="0.25">
      <c r="A1095" s="35" t="s">
        <v>3591</v>
      </c>
      <c r="B1095" s="35" t="s">
        <v>3591</v>
      </c>
      <c r="C1095" s="35" t="s">
        <v>3592</v>
      </c>
      <c r="D1095" s="10">
        <f>COUNTIF(Table4[کد سیستم],Table2[[#This Row],[کد سیستم]])</f>
        <v>1</v>
      </c>
    </row>
    <row r="1096" spans="1:4" hidden="1" x14ac:dyDescent="0.25">
      <c r="A1096" s="35" t="s">
        <v>3593</v>
      </c>
      <c r="B1096" s="35" t="s">
        <v>3593</v>
      </c>
      <c r="C1096" s="35" t="s">
        <v>3594</v>
      </c>
      <c r="D1096" s="10">
        <f>COUNTIF(Table4[کد سیستم],Table2[[#This Row],[کد سیستم]])</f>
        <v>1</v>
      </c>
    </row>
    <row r="1097" spans="1:4" hidden="1" x14ac:dyDescent="0.25">
      <c r="A1097" s="35" t="s">
        <v>3595</v>
      </c>
      <c r="B1097" s="35" t="s">
        <v>3595</v>
      </c>
      <c r="C1097" s="35" t="s">
        <v>3596</v>
      </c>
      <c r="D1097" s="10">
        <f>COUNTIF(Table4[کد سیستم],Table2[[#This Row],[کد سیستم]])</f>
        <v>1</v>
      </c>
    </row>
    <row r="1098" spans="1:4" hidden="1" x14ac:dyDescent="0.25">
      <c r="A1098" s="35" t="s">
        <v>3597</v>
      </c>
      <c r="B1098" s="35" t="s">
        <v>3597</v>
      </c>
      <c r="C1098" s="35" t="s">
        <v>3598</v>
      </c>
      <c r="D1098" s="10">
        <f>COUNTIF(Table4[کد سیستم],Table2[[#This Row],[کد سیستم]])</f>
        <v>1</v>
      </c>
    </row>
    <row r="1099" spans="1:4" hidden="1" x14ac:dyDescent="0.25">
      <c r="A1099" s="35" t="s">
        <v>3599</v>
      </c>
      <c r="B1099" s="35" t="s">
        <v>3599</v>
      </c>
      <c r="C1099" s="35" t="s">
        <v>3600</v>
      </c>
      <c r="D1099" s="10">
        <f>COUNTIF(Table4[کد سیستم],Table2[[#This Row],[کد سیستم]])</f>
        <v>1</v>
      </c>
    </row>
    <row r="1100" spans="1:4" hidden="1" x14ac:dyDescent="0.25">
      <c r="A1100" s="35" t="s">
        <v>3601</v>
      </c>
      <c r="B1100" s="35" t="s">
        <v>3601</v>
      </c>
      <c r="C1100" s="35" t="s">
        <v>3602</v>
      </c>
      <c r="D1100" s="10">
        <f>COUNTIF(Table4[کد سیستم],Table2[[#This Row],[کد سیستم]])</f>
        <v>1</v>
      </c>
    </row>
    <row r="1101" spans="1:4" hidden="1" x14ac:dyDescent="0.25">
      <c r="A1101" s="35" t="s">
        <v>3603</v>
      </c>
      <c r="B1101" s="35" t="s">
        <v>3603</v>
      </c>
      <c r="C1101" s="35" t="s">
        <v>3604</v>
      </c>
      <c r="D1101" s="10">
        <f>COUNTIF(Table4[کد سیستم],Table2[[#This Row],[کد سیستم]])</f>
        <v>1</v>
      </c>
    </row>
    <row r="1102" spans="1:4" hidden="1" x14ac:dyDescent="0.25">
      <c r="A1102" s="35" t="s">
        <v>3605</v>
      </c>
      <c r="B1102" s="35" t="s">
        <v>3605</v>
      </c>
      <c r="C1102" s="35" t="s">
        <v>3606</v>
      </c>
      <c r="D1102" s="10">
        <f>COUNTIF(Table4[کد سیستم],Table2[[#This Row],[کد سیستم]])</f>
        <v>1</v>
      </c>
    </row>
    <row r="1103" spans="1:4" hidden="1" x14ac:dyDescent="0.25">
      <c r="A1103" s="35" t="s">
        <v>3607</v>
      </c>
      <c r="B1103" s="35" t="s">
        <v>3607</v>
      </c>
      <c r="C1103" s="35" t="s">
        <v>3608</v>
      </c>
      <c r="D1103" s="10">
        <f>COUNTIF(Table4[کد سیستم],Table2[[#This Row],[کد سیستم]])</f>
        <v>1</v>
      </c>
    </row>
    <row r="1104" spans="1:4" hidden="1" x14ac:dyDescent="0.25">
      <c r="A1104" s="35" t="s">
        <v>3609</v>
      </c>
      <c r="B1104" s="35" t="s">
        <v>3609</v>
      </c>
      <c r="C1104" s="35" t="s">
        <v>3610</v>
      </c>
      <c r="D1104" s="10">
        <f>COUNTIF(Table4[کد سیستم],Table2[[#This Row],[کد سیستم]])</f>
        <v>1</v>
      </c>
    </row>
    <row r="1105" spans="1:4" hidden="1" x14ac:dyDescent="0.25">
      <c r="A1105" s="35" t="s">
        <v>3611</v>
      </c>
      <c r="B1105" s="35" t="s">
        <v>3611</v>
      </c>
      <c r="C1105" s="35" t="s">
        <v>3612</v>
      </c>
      <c r="D1105" s="10">
        <f>COUNTIF(Table4[کد سیستم],Table2[[#This Row],[کد سیستم]])</f>
        <v>1</v>
      </c>
    </row>
    <row r="1106" spans="1:4" hidden="1" x14ac:dyDescent="0.25">
      <c r="A1106" s="35" t="s">
        <v>3613</v>
      </c>
      <c r="B1106" s="35" t="s">
        <v>3613</v>
      </c>
      <c r="C1106" s="35" t="s">
        <v>3614</v>
      </c>
      <c r="D1106" s="10">
        <f>COUNTIF(Table4[کد سیستم],Table2[[#This Row],[کد سیستم]])</f>
        <v>1</v>
      </c>
    </row>
    <row r="1107" spans="1:4" hidden="1" x14ac:dyDescent="0.25">
      <c r="A1107" s="35" t="s">
        <v>3615</v>
      </c>
      <c r="B1107" s="35" t="s">
        <v>3615</v>
      </c>
      <c r="C1107" s="35" t="s">
        <v>3616</v>
      </c>
      <c r="D1107" s="10">
        <f>COUNTIF(Table4[کد سیستم],Table2[[#This Row],[کد سیستم]])</f>
        <v>1</v>
      </c>
    </row>
    <row r="1108" spans="1:4" hidden="1" x14ac:dyDescent="0.25">
      <c r="A1108" s="35" t="s">
        <v>3617</v>
      </c>
      <c r="B1108" s="35" t="s">
        <v>3617</v>
      </c>
      <c r="C1108" s="35" t="s">
        <v>3618</v>
      </c>
      <c r="D1108" s="10">
        <f>COUNTIF(Table4[کد سیستم],Table2[[#This Row],[کد سیستم]])</f>
        <v>1</v>
      </c>
    </row>
    <row r="1109" spans="1:4" hidden="1" x14ac:dyDescent="0.25">
      <c r="A1109" s="35" t="s">
        <v>3619</v>
      </c>
      <c r="B1109" s="35" t="s">
        <v>3619</v>
      </c>
      <c r="C1109" s="35" t="s">
        <v>3620</v>
      </c>
      <c r="D1109" s="10">
        <f>COUNTIF(Table4[کد سیستم],Table2[[#This Row],[کد سیستم]])</f>
        <v>1</v>
      </c>
    </row>
    <row r="1110" spans="1:4" hidden="1" x14ac:dyDescent="0.25">
      <c r="A1110" s="35" t="s">
        <v>3621</v>
      </c>
      <c r="B1110" s="35" t="s">
        <v>3621</v>
      </c>
      <c r="C1110" s="35" t="s">
        <v>3622</v>
      </c>
      <c r="D1110" s="10">
        <f>COUNTIF(Table4[کد سیستم],Table2[[#This Row],[کد سیستم]])</f>
        <v>1</v>
      </c>
    </row>
    <row r="1111" spans="1:4" hidden="1" x14ac:dyDescent="0.25">
      <c r="A1111" s="35" t="s">
        <v>3623</v>
      </c>
      <c r="B1111" s="35" t="s">
        <v>3624</v>
      </c>
      <c r="C1111" s="35" t="s">
        <v>3625</v>
      </c>
      <c r="D1111" s="10">
        <f>COUNTIF(Table4[کد سیستم],Table2[[#This Row],[کد سیستم]])</f>
        <v>1</v>
      </c>
    </row>
    <row r="1112" spans="1:4" hidden="1" x14ac:dyDescent="0.25">
      <c r="A1112" s="35" t="s">
        <v>3626</v>
      </c>
      <c r="B1112" s="35" t="s">
        <v>3626</v>
      </c>
      <c r="C1112" s="35" t="s">
        <v>3627</v>
      </c>
      <c r="D1112" s="10">
        <f>COUNTIF(Table4[کد سیستم],Table2[[#This Row],[کد سیستم]])</f>
        <v>1</v>
      </c>
    </row>
    <row r="1113" spans="1:4" hidden="1" x14ac:dyDescent="0.25">
      <c r="A1113" s="35" t="s">
        <v>3628</v>
      </c>
      <c r="B1113" s="35" t="s">
        <v>3628</v>
      </c>
      <c r="C1113" s="35" t="s">
        <v>3629</v>
      </c>
      <c r="D1113" s="10">
        <f>COUNTIF(Table4[کد سیستم],Table2[[#This Row],[کد سیستم]])</f>
        <v>1</v>
      </c>
    </row>
    <row r="1114" spans="1:4" hidden="1" x14ac:dyDescent="0.25">
      <c r="A1114" s="35" t="s">
        <v>3630</v>
      </c>
      <c r="B1114" s="35" t="s">
        <v>3630</v>
      </c>
      <c r="C1114" s="35" t="s">
        <v>3631</v>
      </c>
      <c r="D1114" s="10">
        <f>COUNTIF(Table4[کد سیستم],Table2[[#This Row],[کد سیستم]])</f>
        <v>1</v>
      </c>
    </row>
    <row r="1115" spans="1:4" hidden="1" x14ac:dyDescent="0.25">
      <c r="A1115" s="35" t="s">
        <v>3632</v>
      </c>
      <c r="B1115" s="35" t="s">
        <v>3632</v>
      </c>
      <c r="C1115" s="35" t="s">
        <v>3633</v>
      </c>
      <c r="D1115" s="10">
        <f>COUNTIF(Table4[کد سیستم],Table2[[#This Row],[کد سیستم]])</f>
        <v>1</v>
      </c>
    </row>
    <row r="1116" spans="1:4" hidden="1" x14ac:dyDescent="0.25">
      <c r="A1116" s="35" t="s">
        <v>3634</v>
      </c>
      <c r="B1116" s="35" t="s">
        <v>3634</v>
      </c>
      <c r="C1116" s="35" t="s">
        <v>3635</v>
      </c>
      <c r="D1116" s="10">
        <f>COUNTIF(Table4[کد سیستم],Table2[[#This Row],[کد سیستم]])</f>
        <v>1</v>
      </c>
    </row>
    <row r="1117" spans="1:4" hidden="1" x14ac:dyDescent="0.25">
      <c r="A1117" s="35" t="s">
        <v>3636</v>
      </c>
      <c r="B1117" s="35" t="s">
        <v>3636</v>
      </c>
      <c r="C1117" s="35" t="s">
        <v>3637</v>
      </c>
      <c r="D1117" s="10">
        <f>COUNTIF(Table4[کد سیستم],Table2[[#This Row],[کد سیستم]])</f>
        <v>1</v>
      </c>
    </row>
    <row r="1118" spans="1:4" hidden="1" x14ac:dyDescent="0.25">
      <c r="A1118" s="35" t="s">
        <v>3638</v>
      </c>
      <c r="B1118" s="35" t="s">
        <v>3638</v>
      </c>
      <c r="C1118" s="35" t="s">
        <v>3639</v>
      </c>
      <c r="D1118" s="10">
        <f>COUNTIF(Table4[کد سیستم],Table2[[#This Row],[کد سیستم]])</f>
        <v>1</v>
      </c>
    </row>
    <row r="1119" spans="1:4" hidden="1" x14ac:dyDescent="0.25">
      <c r="A1119" s="35" t="s">
        <v>3640</v>
      </c>
      <c r="B1119" s="35" t="s">
        <v>3640</v>
      </c>
      <c r="C1119" s="35" t="s">
        <v>3641</v>
      </c>
      <c r="D1119" s="10">
        <f>COUNTIF(Table4[کد سیستم],Table2[[#This Row],[کد سیستم]])</f>
        <v>1</v>
      </c>
    </row>
    <row r="1120" spans="1:4" hidden="1" x14ac:dyDescent="0.25">
      <c r="A1120" s="35" t="s">
        <v>3642</v>
      </c>
      <c r="B1120" s="35" t="s">
        <v>3642</v>
      </c>
      <c r="C1120" s="35" t="s">
        <v>3643</v>
      </c>
      <c r="D1120" s="10">
        <f>COUNTIF(Table4[کد سیستم],Table2[[#This Row],[کد سیستم]])</f>
        <v>1</v>
      </c>
    </row>
    <row r="1121" spans="1:4" hidden="1" x14ac:dyDescent="0.25">
      <c r="A1121" s="35" t="s">
        <v>3644</v>
      </c>
      <c r="B1121" s="35" t="s">
        <v>3644</v>
      </c>
      <c r="C1121" s="35" t="s">
        <v>3645</v>
      </c>
      <c r="D1121" s="10">
        <f>COUNTIF(Table4[کد سیستم],Table2[[#This Row],[کد سیستم]])</f>
        <v>1</v>
      </c>
    </row>
    <row r="1122" spans="1:4" hidden="1" x14ac:dyDescent="0.25">
      <c r="A1122" s="35" t="s">
        <v>3646</v>
      </c>
      <c r="B1122" s="35" t="s">
        <v>3646</v>
      </c>
      <c r="C1122" s="35" t="s">
        <v>3647</v>
      </c>
      <c r="D1122" s="10">
        <f>COUNTIF(Table4[کد سیستم],Table2[[#This Row],[کد سیستم]])</f>
        <v>1</v>
      </c>
    </row>
    <row r="1123" spans="1:4" hidden="1" x14ac:dyDescent="0.25">
      <c r="A1123" s="35" t="s">
        <v>3648</v>
      </c>
      <c r="B1123" s="35" t="s">
        <v>3648</v>
      </c>
      <c r="C1123" s="35" t="s">
        <v>3649</v>
      </c>
      <c r="D1123" s="10">
        <f>COUNTIF(Table4[کد سیستم],Table2[[#This Row],[کد سیستم]])</f>
        <v>1</v>
      </c>
    </row>
    <row r="1124" spans="1:4" hidden="1" x14ac:dyDescent="0.25">
      <c r="A1124" s="35" t="s">
        <v>3650</v>
      </c>
      <c r="B1124" s="35" t="s">
        <v>3650</v>
      </c>
      <c r="C1124" s="35" t="s">
        <v>3651</v>
      </c>
      <c r="D1124" s="10">
        <f>COUNTIF(Table4[کد سیستم],Table2[[#This Row],[کد سیستم]])</f>
        <v>1</v>
      </c>
    </row>
    <row r="1125" spans="1:4" hidden="1" x14ac:dyDescent="0.25">
      <c r="A1125" s="35" t="s">
        <v>3652</v>
      </c>
      <c r="B1125" s="35" t="s">
        <v>3652</v>
      </c>
      <c r="C1125" s="35" t="s">
        <v>3653</v>
      </c>
      <c r="D1125" s="10">
        <f>COUNTIF(Table4[کد سیستم],Table2[[#This Row],[کد سیستم]])</f>
        <v>1</v>
      </c>
    </row>
    <row r="1126" spans="1:4" hidden="1" x14ac:dyDescent="0.25">
      <c r="A1126" s="35" t="s">
        <v>3654</v>
      </c>
      <c r="B1126" s="35" t="s">
        <v>3654</v>
      </c>
      <c r="C1126" s="35" t="s">
        <v>3655</v>
      </c>
      <c r="D1126" s="10">
        <f>COUNTIF(Table4[کد سیستم],Table2[[#This Row],[کد سیستم]])</f>
        <v>1</v>
      </c>
    </row>
    <row r="1127" spans="1:4" hidden="1" x14ac:dyDescent="0.25">
      <c r="A1127" s="35" t="s">
        <v>3656</v>
      </c>
      <c r="B1127" s="35" t="s">
        <v>3656</v>
      </c>
      <c r="C1127" s="35" t="s">
        <v>3657</v>
      </c>
      <c r="D1127" s="10">
        <f>COUNTIF(Table4[کد سیستم],Table2[[#This Row],[کد سیستم]])</f>
        <v>1</v>
      </c>
    </row>
    <row r="1128" spans="1:4" hidden="1" x14ac:dyDescent="0.25">
      <c r="A1128" s="35" t="s">
        <v>3658</v>
      </c>
      <c r="B1128" s="35" t="s">
        <v>3658</v>
      </c>
      <c r="C1128" s="35" t="s">
        <v>3659</v>
      </c>
      <c r="D1128" s="10">
        <f>COUNTIF(Table4[کد سیستم],Table2[[#This Row],[کد سیستم]])</f>
        <v>1</v>
      </c>
    </row>
    <row r="1129" spans="1:4" hidden="1" x14ac:dyDescent="0.25">
      <c r="A1129" s="36" t="s">
        <v>3660</v>
      </c>
      <c r="B1129" s="37" t="s">
        <v>3660</v>
      </c>
      <c r="C1129" s="37" t="s">
        <v>3661</v>
      </c>
      <c r="D1129" s="10">
        <f>COUNTIF(Table4[کد سیستم],Table2[[#This Row],[کد سیستم]])</f>
        <v>1</v>
      </c>
    </row>
    <row r="1130" spans="1:4" x14ac:dyDescent="0.25">
      <c r="A1130" s="36" t="s">
        <v>3662</v>
      </c>
      <c r="B1130" s="37" t="s">
        <v>3662</v>
      </c>
      <c r="C1130" s="37" t="s">
        <v>3663</v>
      </c>
      <c r="D1130" s="10">
        <f>COUNTIF(Table4[کد سیستم],Table2[[#This Row],[کد سیستم]])</f>
        <v>1</v>
      </c>
    </row>
    <row r="1131" spans="1:4" hidden="1" x14ac:dyDescent="0.25">
      <c r="A1131" s="36" t="s">
        <v>3664</v>
      </c>
      <c r="B1131" s="37" t="s">
        <v>3664</v>
      </c>
      <c r="C1131" s="37" t="s">
        <v>3665</v>
      </c>
      <c r="D1131" s="10">
        <f>COUNTIF(Table4[کد سیستم],Table2[[#This Row],[کد سیستم]])</f>
        <v>1</v>
      </c>
    </row>
    <row r="1132" spans="1:4" hidden="1" x14ac:dyDescent="0.25">
      <c r="A1132" s="36" t="s">
        <v>3666</v>
      </c>
      <c r="B1132" s="37" t="s">
        <v>3666</v>
      </c>
      <c r="C1132" s="37" t="s">
        <v>3667</v>
      </c>
      <c r="D1132" s="10">
        <f>COUNTIF(Table4[کد سیستم],Table2[[#This Row],[کد سیستم]])</f>
        <v>1</v>
      </c>
    </row>
    <row r="1133" spans="1:4" hidden="1" x14ac:dyDescent="0.25">
      <c r="A1133" s="36" t="s">
        <v>3668</v>
      </c>
      <c r="B1133" s="37" t="s">
        <v>3668</v>
      </c>
      <c r="C1133" s="37" t="s">
        <v>3669</v>
      </c>
      <c r="D1133" s="10">
        <f>COUNTIF(Table4[کد سیستم],Table2[[#This Row],[کد سیستم]])</f>
        <v>1</v>
      </c>
    </row>
    <row r="1134" spans="1:4" hidden="1" x14ac:dyDescent="0.25">
      <c r="A1134" s="36" t="s">
        <v>3670</v>
      </c>
      <c r="B1134" s="37" t="s">
        <v>3670</v>
      </c>
      <c r="C1134" s="37" t="s">
        <v>3671</v>
      </c>
      <c r="D1134" s="10">
        <f>COUNTIF(Table4[کد سیستم],Table2[[#This Row],[کد سیستم]])</f>
        <v>1</v>
      </c>
    </row>
    <row r="1135" spans="1:4" hidden="1" x14ac:dyDescent="0.25">
      <c r="A1135" s="36" t="s">
        <v>3672</v>
      </c>
      <c r="B1135" s="37" t="s">
        <v>3672</v>
      </c>
      <c r="C1135" s="37" t="s">
        <v>3673</v>
      </c>
      <c r="D1135" s="10">
        <f>COUNTIF(Table4[کد سیستم],Table2[[#This Row],[کد سیستم]])</f>
        <v>1</v>
      </c>
    </row>
    <row r="1136" spans="1:4" hidden="1" x14ac:dyDescent="0.25">
      <c r="A1136" s="36" t="s">
        <v>3674</v>
      </c>
      <c r="B1136" s="37" t="s">
        <v>3674</v>
      </c>
      <c r="C1136" s="37" t="s">
        <v>3675</v>
      </c>
      <c r="D1136" s="10">
        <f>COUNTIF(Table4[کد سیستم],Table2[[#This Row],[کد سیستم]])</f>
        <v>1</v>
      </c>
    </row>
    <row r="1137" spans="1:4" hidden="1" x14ac:dyDescent="0.25">
      <c r="A1137" s="36" t="s">
        <v>3676</v>
      </c>
      <c r="B1137" s="37" t="s">
        <v>3676</v>
      </c>
      <c r="C1137" s="37" t="s">
        <v>3677</v>
      </c>
      <c r="D1137" s="10">
        <f>COUNTIF(Table4[کد سیستم],Table2[[#This Row],[کد سیستم]])</f>
        <v>1</v>
      </c>
    </row>
    <row r="1138" spans="1:4" hidden="1" x14ac:dyDescent="0.25">
      <c r="A1138" s="36" t="s">
        <v>3678</v>
      </c>
      <c r="B1138" s="37" t="s">
        <v>3678</v>
      </c>
      <c r="C1138" s="37" t="s">
        <v>3679</v>
      </c>
      <c r="D1138" s="10">
        <f>COUNTIF(Table4[کد سیستم],Table2[[#This Row],[کد سیستم]])</f>
        <v>1</v>
      </c>
    </row>
    <row r="1139" spans="1:4" hidden="1" x14ac:dyDescent="0.25">
      <c r="A1139" s="36" t="s">
        <v>3680</v>
      </c>
      <c r="B1139" s="37" t="s">
        <v>3680</v>
      </c>
      <c r="C1139" s="37" t="s">
        <v>3681</v>
      </c>
      <c r="D1139" s="10">
        <f>COUNTIF(Table4[کد سیستم],Table2[[#This Row],[کد سیستم]])</f>
        <v>1</v>
      </c>
    </row>
    <row r="1140" spans="1:4" hidden="1" x14ac:dyDescent="0.25">
      <c r="A1140" s="36" t="s">
        <v>3682</v>
      </c>
      <c r="B1140" s="37" t="s">
        <v>3683</v>
      </c>
      <c r="C1140" s="37" t="s">
        <v>3684</v>
      </c>
      <c r="D1140" s="10">
        <f>COUNTIF(Table4[کد سیستم],Table2[[#This Row],[کد سیستم]])</f>
        <v>1</v>
      </c>
    </row>
    <row r="1141" spans="1:4" hidden="1" x14ac:dyDescent="0.25">
      <c r="A1141" s="36" t="s">
        <v>3685</v>
      </c>
      <c r="B1141" s="37" t="s">
        <v>3686</v>
      </c>
      <c r="C1141" s="37" t="s">
        <v>3687</v>
      </c>
      <c r="D1141" s="10">
        <f>COUNTIF(Table4[کد سیستم],Table2[[#This Row],[کد سیستم]])</f>
        <v>1</v>
      </c>
    </row>
    <row r="1142" spans="1:4" hidden="1" x14ac:dyDescent="0.25">
      <c r="A1142" s="36" t="s">
        <v>3688</v>
      </c>
      <c r="B1142" s="37" t="s">
        <v>3688</v>
      </c>
      <c r="C1142" s="37" t="s">
        <v>3689</v>
      </c>
      <c r="D1142" s="10">
        <f>COUNTIF(Table4[کد سیستم],Table2[[#This Row],[کد سیستم]])</f>
        <v>1</v>
      </c>
    </row>
    <row r="1143" spans="1:4" hidden="1" x14ac:dyDescent="0.25">
      <c r="A1143" s="36" t="s">
        <v>3690</v>
      </c>
      <c r="B1143" s="37" t="s">
        <v>3690</v>
      </c>
      <c r="C1143" s="37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4" t="s">
        <v>3693</v>
      </c>
      <c r="B2" s="34" t="s">
        <v>3694</v>
      </c>
    </row>
    <row r="3" spans="1:2" x14ac:dyDescent="0.25">
      <c r="A3" s="34" t="s">
        <v>3695</v>
      </c>
      <c r="B3" s="34" t="s">
        <v>3696</v>
      </c>
    </row>
    <row r="4" spans="1:2" x14ac:dyDescent="0.25">
      <c r="A4" s="34" t="s">
        <v>3697</v>
      </c>
      <c r="B4" s="34" t="s">
        <v>3698</v>
      </c>
    </row>
    <row r="5" spans="1:2" x14ac:dyDescent="0.25">
      <c r="A5" s="24" t="s">
        <v>3699</v>
      </c>
      <c r="B5" s="34" t="s">
        <v>3700</v>
      </c>
    </row>
    <row r="6" spans="1:2" x14ac:dyDescent="0.25">
      <c r="A6" s="24" t="s">
        <v>3701</v>
      </c>
      <c r="B6" s="24" t="s">
        <v>3702</v>
      </c>
    </row>
    <row r="7" spans="1:2" x14ac:dyDescent="0.25">
      <c r="A7" s="24" t="s">
        <v>3703</v>
      </c>
      <c r="B7" s="24" t="s">
        <v>3704</v>
      </c>
    </row>
    <row r="8" spans="1:2" x14ac:dyDescent="0.25">
      <c r="A8" s="24" t="s">
        <v>3705</v>
      </c>
      <c r="B8" s="24" t="s">
        <v>3706</v>
      </c>
    </row>
    <row r="9" spans="1:2" x14ac:dyDescent="0.25">
      <c r="A9" s="24" t="s">
        <v>3707</v>
      </c>
      <c r="B9" s="24" t="s">
        <v>3708</v>
      </c>
    </row>
    <row r="10" spans="1:2" x14ac:dyDescent="0.25">
      <c r="A10" s="24" t="s">
        <v>3709</v>
      </c>
      <c r="B10" s="24" t="s">
        <v>3710</v>
      </c>
    </row>
    <row r="11" spans="1:2" x14ac:dyDescent="0.25">
      <c r="A11" s="24" t="s">
        <v>3711</v>
      </c>
      <c r="B11" s="24" t="s">
        <v>3712</v>
      </c>
    </row>
    <row r="12" spans="1:2" x14ac:dyDescent="0.25">
      <c r="A12" s="24" t="s">
        <v>4052</v>
      </c>
      <c r="B12" s="24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7" t="s">
        <v>3717</v>
      </c>
      <c r="B2" s="27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3719</v>
      </c>
      <c r="B3" s="27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7" t="s">
        <v>3721</v>
      </c>
      <c r="B4" s="27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7" t="s">
        <v>4047</v>
      </c>
      <c r="B5" s="27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7" t="s">
        <v>4048</v>
      </c>
      <c r="B6" s="27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7" t="s">
        <v>3725</v>
      </c>
      <c r="B7" s="27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3727</v>
      </c>
      <c r="B8" s="27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7" t="s">
        <v>3729</v>
      </c>
      <c r="B9" s="27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7" t="s">
        <v>3763</v>
      </c>
      <c r="B10" s="27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3731</v>
      </c>
      <c r="B11" s="27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7" t="s">
        <v>3733</v>
      </c>
      <c r="B12" s="27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7" t="s">
        <v>3735</v>
      </c>
      <c r="B13" s="27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7" t="s">
        <v>3737</v>
      </c>
      <c r="B14" s="27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3739</v>
      </c>
      <c r="B15" s="27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7" t="s">
        <v>3741</v>
      </c>
      <c r="B16" s="27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7" t="s">
        <v>3701</v>
      </c>
      <c r="B17" s="27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7" t="s">
        <v>3744</v>
      </c>
      <c r="B18" s="27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3746</v>
      </c>
      <c r="B19" s="27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7" t="s">
        <v>3748</v>
      </c>
      <c r="B20" s="27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7" t="s">
        <v>3750</v>
      </c>
      <c r="B21" s="27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7" t="s">
        <v>3752</v>
      </c>
      <c r="B22" s="27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7" t="s">
        <v>4049</v>
      </c>
      <c r="B23" s="27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3755</v>
      </c>
      <c r="B24" s="27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7" t="s">
        <v>4079</v>
      </c>
      <c r="B25" s="27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3757</v>
      </c>
      <c r="B26" s="27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7" t="s">
        <v>3759</v>
      </c>
      <c r="B27" s="27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7" t="s">
        <v>4050</v>
      </c>
      <c r="B28" s="27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7" t="s">
        <v>3761</v>
      </c>
      <c r="B29" s="27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5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topLeftCell="A1119"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43" t="s">
        <v>1536</v>
      </c>
      <c r="C2" s="43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3" t="s">
        <v>1538</v>
      </c>
      <c r="C3" s="43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3" t="s">
        <v>1540</v>
      </c>
      <c r="C4" s="43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3" t="s">
        <v>1542</v>
      </c>
      <c r="C5" s="43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3" t="s">
        <v>1544</v>
      </c>
      <c r="C6" s="43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3" t="s">
        <v>1546</v>
      </c>
      <c r="C7" s="43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3" t="s">
        <v>1548</v>
      </c>
      <c r="C8" s="43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3" t="s">
        <v>1550</v>
      </c>
      <c r="C9" s="43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3" t="s">
        <v>1552</v>
      </c>
      <c r="C10" s="43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3" t="s">
        <v>1554</v>
      </c>
      <c r="C11" s="43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3" t="s">
        <v>1556</v>
      </c>
      <c r="C12" s="43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3" t="s">
        <v>1558</v>
      </c>
      <c r="C13" s="43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3" t="s">
        <v>1560</v>
      </c>
      <c r="C14" s="43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3" t="s">
        <v>1562</v>
      </c>
      <c r="C15" s="43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3" t="s">
        <v>1564</v>
      </c>
      <c r="C16" s="43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3" t="s">
        <v>1566</v>
      </c>
      <c r="C17" s="43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3" t="s">
        <v>1568</v>
      </c>
      <c r="C18" s="43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3" t="s">
        <v>1570</v>
      </c>
      <c r="C19" s="43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3" t="s">
        <v>1572</v>
      </c>
      <c r="C20" s="43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3" t="s">
        <v>1574</v>
      </c>
      <c r="C21" s="43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3" t="s">
        <v>1576</v>
      </c>
      <c r="C22" s="43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3" t="s">
        <v>1578</v>
      </c>
      <c r="C23" s="43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3" t="s">
        <v>1580</v>
      </c>
      <c r="C24" s="43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3" t="s">
        <v>1582</v>
      </c>
      <c r="C25" s="43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3" t="s">
        <v>1584</v>
      </c>
      <c r="C26" s="43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3" t="s">
        <v>1586</v>
      </c>
      <c r="C27" s="43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3" t="s">
        <v>1588</v>
      </c>
      <c r="C28" s="43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3" t="s">
        <v>1590</v>
      </c>
      <c r="C29" s="43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3" t="s">
        <v>1592</v>
      </c>
      <c r="C30" s="43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3" t="s">
        <v>1594</v>
      </c>
      <c r="C31" s="43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3" t="s">
        <v>1596</v>
      </c>
      <c r="C32" s="43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3" t="s">
        <v>1598</v>
      </c>
      <c r="C33" s="43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3" t="s">
        <v>1600</v>
      </c>
      <c r="C34" s="43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3" t="s">
        <v>1602</v>
      </c>
      <c r="C35" s="43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3" t="s">
        <v>1604</v>
      </c>
      <c r="C36" s="43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3" t="s">
        <v>1606</v>
      </c>
      <c r="C37" s="43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3" t="s">
        <v>1608</v>
      </c>
      <c r="C38" s="43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3" t="s">
        <v>1610</v>
      </c>
      <c r="C39" s="43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3" t="s">
        <v>1612</v>
      </c>
      <c r="C40" s="43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3" t="s">
        <v>1614</v>
      </c>
      <c r="C41" s="43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3" t="s">
        <v>1616</v>
      </c>
      <c r="C42" s="43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3" t="s">
        <v>1618</v>
      </c>
      <c r="C43" s="43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3" t="s">
        <v>1620</v>
      </c>
      <c r="C44" s="43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3" t="s">
        <v>1622</v>
      </c>
      <c r="C45" s="43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3" t="s">
        <v>1624</v>
      </c>
      <c r="C46" s="43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3" t="s">
        <v>1626</v>
      </c>
      <c r="C47" s="43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3" t="s">
        <v>1628</v>
      </c>
      <c r="C48" s="43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3" t="s">
        <v>1630</v>
      </c>
      <c r="C49" s="43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3" t="s">
        <v>1632</v>
      </c>
      <c r="C50" s="43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3" t="s">
        <v>1634</v>
      </c>
      <c r="C51" s="43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3" t="s">
        <v>1636</v>
      </c>
      <c r="C52" s="43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3" t="s">
        <v>1638</v>
      </c>
      <c r="C53" s="43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3" t="s">
        <v>1640</v>
      </c>
      <c r="C54" s="43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3" t="s">
        <v>1642</v>
      </c>
      <c r="C55" s="43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3" t="s">
        <v>1644</v>
      </c>
      <c r="C56" s="43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6" t="s">
        <v>3888</v>
      </c>
      <c r="C57" s="46" t="s">
        <v>3888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3" t="s">
        <v>1646</v>
      </c>
      <c r="C58" s="43" t="s">
        <v>1646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3" t="s">
        <v>1648</v>
      </c>
      <c r="C59" s="43" t="s">
        <v>1648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3" t="s">
        <v>1650</v>
      </c>
      <c r="C60" s="43" t="s">
        <v>1650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3" t="s">
        <v>1652</v>
      </c>
      <c r="C61" s="43" t="s">
        <v>1652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3" t="s">
        <v>1654</v>
      </c>
      <c r="C62" s="43" t="s">
        <v>1654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3" t="s">
        <v>1656</v>
      </c>
      <c r="C63" s="43" t="s">
        <v>1656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3" t="s">
        <v>1658</v>
      </c>
      <c r="C64" s="43" t="s">
        <v>1658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3" t="s">
        <v>1660</v>
      </c>
      <c r="C65" s="43" t="s">
        <v>1660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3" t="s">
        <v>1662</v>
      </c>
      <c r="C66" s="43" t="s">
        <v>1662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6" t="s">
        <v>3890</v>
      </c>
      <c r="C67" s="46" t="s">
        <v>3890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3" t="s">
        <v>1664</v>
      </c>
      <c r="C68" s="43" t="s">
        <v>1664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3844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3" t="s">
        <v>1666</v>
      </c>
      <c r="C69" s="43" t="s">
        <v>1666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3844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3" t="s">
        <v>1668</v>
      </c>
      <c r="C70" s="43" t="s">
        <v>1668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3" t="s">
        <v>1670</v>
      </c>
      <c r="C71" s="43" t="s">
        <v>1670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3" t="s">
        <v>1672</v>
      </c>
      <c r="C72" s="43" t="s">
        <v>1672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3" t="s">
        <v>1674</v>
      </c>
      <c r="C73" s="43" t="s">
        <v>1674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3" t="s">
        <v>1676</v>
      </c>
      <c r="C74" s="43" t="s">
        <v>1676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3" t="s">
        <v>1678</v>
      </c>
      <c r="C75" s="43" t="s">
        <v>1678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3" t="s">
        <v>1680</v>
      </c>
      <c r="C76" s="43" t="s">
        <v>1680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3" t="s">
        <v>1682</v>
      </c>
      <c r="C77" s="43" t="s">
        <v>1682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3" t="s">
        <v>1684</v>
      </c>
      <c r="C78" s="43" t="s">
        <v>1684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3" t="s">
        <v>1686</v>
      </c>
      <c r="C79" s="43" t="s">
        <v>1686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3" t="s">
        <v>1688</v>
      </c>
      <c r="C80" s="43" t="s">
        <v>1688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3" t="s">
        <v>1690</v>
      </c>
      <c r="C81" s="43" t="s">
        <v>1690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3" t="s">
        <v>1692</v>
      </c>
      <c r="C82" s="43" t="s">
        <v>1692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3" t="s">
        <v>1694</v>
      </c>
      <c r="C83" s="43" t="s">
        <v>1694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3" t="s">
        <v>1696</v>
      </c>
      <c r="C84" s="43" t="s">
        <v>1696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1192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3" t="s">
        <v>1698</v>
      </c>
      <c r="C85" s="43" t="s">
        <v>1698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3" t="s">
        <v>1700</v>
      </c>
      <c r="C86" s="43" t="s">
        <v>1700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3844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3" t="s">
        <v>1702</v>
      </c>
      <c r="C87" s="43" t="s">
        <v>1702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3" t="s">
        <v>1704</v>
      </c>
      <c r="C88" s="43" t="s">
        <v>1704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3" t="s">
        <v>1706</v>
      </c>
      <c r="C89" s="43" t="s">
        <v>1706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3" t="s">
        <v>1708</v>
      </c>
      <c r="C90" s="43" t="s">
        <v>1708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6" t="s">
        <v>3892</v>
      </c>
      <c r="C91" s="46" t="s">
        <v>3892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3" t="s">
        <v>1710</v>
      </c>
      <c r="C92" s="43" t="s">
        <v>1710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3" t="s">
        <v>1712</v>
      </c>
      <c r="C93" s="43" t="s">
        <v>1712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3" t="s">
        <v>1714</v>
      </c>
      <c r="C94" s="43" t="s">
        <v>1714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3" t="s">
        <v>1716</v>
      </c>
      <c r="C95" s="43" t="s">
        <v>1716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3" t="s">
        <v>1718</v>
      </c>
      <c r="C96" s="43" t="s">
        <v>1718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3" t="s">
        <v>1720</v>
      </c>
      <c r="C97" s="43" t="s">
        <v>1720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3" t="s">
        <v>1722</v>
      </c>
      <c r="C98" s="43" t="s">
        <v>1722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3" t="s">
        <v>1724</v>
      </c>
      <c r="C99" s="43" t="s">
        <v>1724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3" t="s">
        <v>1726</v>
      </c>
      <c r="C100" s="43" t="s">
        <v>1726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3" t="s">
        <v>1728</v>
      </c>
      <c r="C101" s="43" t="s">
        <v>1728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6" t="s">
        <v>4168</v>
      </c>
      <c r="C102" s="46" t="s">
        <v>4168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6" t="s">
        <v>4170</v>
      </c>
      <c r="C103" s="46" t="s">
        <v>4170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6" t="s">
        <v>4172</v>
      </c>
      <c r="C104" s="46" t="s">
        <v>4172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6" t="s">
        <v>4174</v>
      </c>
      <c r="C105" s="46" t="s">
        <v>4174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6" t="s">
        <v>4176</v>
      </c>
      <c r="C106" s="46" t="s">
        <v>4176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6" t="s">
        <v>4178</v>
      </c>
      <c r="C107" s="46" t="s">
        <v>4178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6" t="s">
        <v>4180</v>
      </c>
      <c r="C108" s="46" t="s">
        <v>4180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6" t="s">
        <v>4182</v>
      </c>
      <c r="C109" s="46" t="s">
        <v>4182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6" t="s">
        <v>4184</v>
      </c>
      <c r="C110" s="46" t="s">
        <v>4184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6" t="s">
        <v>4186</v>
      </c>
      <c r="C111" s="46" t="s">
        <v>4186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6" t="s">
        <v>4188</v>
      </c>
      <c r="C112" s="46" t="s">
        <v>4188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6" t="s">
        <v>4190</v>
      </c>
      <c r="C113" s="46" t="s">
        <v>4190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6" t="s">
        <v>4192</v>
      </c>
      <c r="C114" s="46" t="s">
        <v>4192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6" t="s">
        <v>4194</v>
      </c>
      <c r="C115" s="46" t="s">
        <v>4194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6" t="s">
        <v>4196</v>
      </c>
      <c r="C116" s="46" t="s">
        <v>4196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3" t="s">
        <v>1730</v>
      </c>
      <c r="C117" s="43" t="s">
        <v>1730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3" t="s">
        <v>1732</v>
      </c>
      <c r="C118" s="43" t="s">
        <v>1732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3" t="s">
        <v>1734</v>
      </c>
      <c r="C119" s="43" t="s">
        <v>1734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3" t="s">
        <v>1736</v>
      </c>
      <c r="C120" s="43" t="s">
        <v>1736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3" t="s">
        <v>1738</v>
      </c>
      <c r="C121" s="43" t="s">
        <v>1738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3" t="s">
        <v>1740</v>
      </c>
      <c r="C122" s="43" t="s">
        <v>1740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3" t="s">
        <v>1742</v>
      </c>
      <c r="C123" s="43" t="s">
        <v>1742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3" t="s">
        <v>1744</v>
      </c>
      <c r="C124" s="43" t="s">
        <v>1744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3" t="s">
        <v>1746</v>
      </c>
      <c r="C125" s="43" t="s">
        <v>1746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3" t="s">
        <v>1748</v>
      </c>
      <c r="C126" s="43" t="s">
        <v>1748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3" t="s">
        <v>1750</v>
      </c>
      <c r="C127" s="43" t="s">
        <v>1750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3" t="s">
        <v>1752</v>
      </c>
      <c r="C128" s="43" t="s">
        <v>1752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3" t="s">
        <v>1754</v>
      </c>
      <c r="C129" s="43" t="s">
        <v>1754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3" t="s">
        <v>1756</v>
      </c>
      <c r="C130" s="43" t="s">
        <v>1756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3" t="s">
        <v>1758</v>
      </c>
      <c r="C131" s="43" t="s">
        <v>1758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3" t="s">
        <v>1760</v>
      </c>
      <c r="C132" s="43" t="s">
        <v>1760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3" t="s">
        <v>1762</v>
      </c>
      <c r="C133" s="43" t="s">
        <v>1762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3" t="s">
        <v>1764</v>
      </c>
      <c r="C134" s="43" t="s">
        <v>1764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3" t="s">
        <v>1766</v>
      </c>
      <c r="C135" s="43" t="s">
        <v>1766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3" t="s">
        <v>1768</v>
      </c>
      <c r="C136" s="43" t="s">
        <v>1768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3" t="s">
        <v>1770</v>
      </c>
      <c r="C137" s="43" t="s">
        <v>1770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3" t="s">
        <v>1772</v>
      </c>
      <c r="C138" s="43" t="s">
        <v>1772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3" t="s">
        <v>1774</v>
      </c>
      <c r="C139" s="43" t="s">
        <v>1774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3" t="s">
        <v>1776</v>
      </c>
      <c r="C140" s="43" t="s">
        <v>1776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3" t="s">
        <v>1778</v>
      </c>
      <c r="C141" s="43" t="s">
        <v>1778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3" t="s">
        <v>1780</v>
      </c>
      <c r="C142" s="43" t="s">
        <v>1780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3" t="s">
        <v>1782</v>
      </c>
      <c r="C143" s="43" t="s">
        <v>1782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3" t="s">
        <v>1784</v>
      </c>
      <c r="C144" s="43" t="s">
        <v>1784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3" t="s">
        <v>1786</v>
      </c>
      <c r="C145" s="43" t="s">
        <v>1786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3" t="s">
        <v>1788</v>
      </c>
      <c r="C146" s="43" t="s">
        <v>1788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3" t="s">
        <v>1790</v>
      </c>
      <c r="C147" s="43" t="s">
        <v>1790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3" t="s">
        <v>1792</v>
      </c>
      <c r="C148" s="43" t="s">
        <v>1792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3" t="s">
        <v>1794</v>
      </c>
      <c r="C149" s="43" t="s">
        <v>1794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3" t="s">
        <v>1796</v>
      </c>
      <c r="C150" s="43" t="s">
        <v>1796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3" t="s">
        <v>1798</v>
      </c>
      <c r="C151" s="43" t="s">
        <v>1798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3" t="s">
        <v>1800</v>
      </c>
      <c r="C152" s="43" t="s">
        <v>1800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3" t="s">
        <v>1802</v>
      </c>
      <c r="C153" s="43" t="s">
        <v>1802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3" t="s">
        <v>1804</v>
      </c>
      <c r="C154" s="43" t="s">
        <v>1804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3" t="s">
        <v>1806</v>
      </c>
      <c r="C155" s="43" t="s">
        <v>1806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3" t="s">
        <v>1808</v>
      </c>
      <c r="C156" s="43" t="s">
        <v>1808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3" t="s">
        <v>1810</v>
      </c>
      <c r="C157" s="43" t="s">
        <v>1810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3" t="s">
        <v>1812</v>
      </c>
      <c r="C158" s="43" t="s">
        <v>1812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3" t="s">
        <v>1814</v>
      </c>
      <c r="C159" s="43" t="s">
        <v>1814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3" t="s">
        <v>1816</v>
      </c>
      <c r="C160" s="43" t="s">
        <v>1816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3" t="s">
        <v>1818</v>
      </c>
      <c r="C161" s="43" t="s">
        <v>1818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3" t="s">
        <v>1820</v>
      </c>
      <c r="C162" s="43" t="s">
        <v>1820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3" t="s">
        <v>1822</v>
      </c>
      <c r="C163" s="43" t="s">
        <v>1822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3" t="s">
        <v>1824</v>
      </c>
      <c r="C164" s="43" t="s">
        <v>1824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3" t="s">
        <v>1826</v>
      </c>
      <c r="C165" s="43" t="s">
        <v>1826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3" t="s">
        <v>1828</v>
      </c>
      <c r="C166" s="43" t="s">
        <v>1828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3" t="s">
        <v>1830</v>
      </c>
      <c r="C167" s="43" t="s">
        <v>1830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3" t="s">
        <v>1832</v>
      </c>
      <c r="C168" s="43" t="s">
        <v>1832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3" t="s">
        <v>1834</v>
      </c>
      <c r="C169" s="43" t="s">
        <v>1834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3" t="s">
        <v>1836</v>
      </c>
      <c r="C170" s="43" t="s">
        <v>1836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3" t="s">
        <v>1838</v>
      </c>
      <c r="C171" s="43" t="s">
        <v>1838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3" t="s">
        <v>1840</v>
      </c>
      <c r="C172" s="43" t="s">
        <v>1840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3" t="s">
        <v>1842</v>
      </c>
      <c r="C173" s="43" t="s">
        <v>1842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3" t="s">
        <v>1844</v>
      </c>
      <c r="C174" s="43" t="s">
        <v>1844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3" t="s">
        <v>1846</v>
      </c>
      <c r="C175" s="43" t="s">
        <v>1846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3" t="s">
        <v>1848</v>
      </c>
      <c r="C176" s="43" t="s">
        <v>1848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3" t="s">
        <v>1850</v>
      </c>
      <c r="C177" s="43" t="s">
        <v>1850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3" t="s">
        <v>1852</v>
      </c>
      <c r="C178" s="43" t="s">
        <v>1852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3" t="s">
        <v>1854</v>
      </c>
      <c r="C179" s="43" t="s">
        <v>1854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3" t="s">
        <v>1856</v>
      </c>
      <c r="C180" s="43" t="s">
        <v>1856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6" t="s">
        <v>3894</v>
      </c>
      <c r="C181" s="46" t="s">
        <v>3894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6" t="s">
        <v>3896</v>
      </c>
      <c r="C182" s="46" t="s">
        <v>3896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6" t="s">
        <v>3898</v>
      </c>
      <c r="C183" s="46" t="s">
        <v>3898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6" t="s">
        <v>3900</v>
      </c>
      <c r="C184" s="46" t="s">
        <v>3900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6" t="s">
        <v>3902</v>
      </c>
      <c r="C185" s="46" t="s">
        <v>3902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6" t="s">
        <v>3904</v>
      </c>
      <c r="C186" s="46" t="s">
        <v>3904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6" t="s">
        <v>3906</v>
      </c>
      <c r="C187" s="46" t="s">
        <v>3906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6" t="s">
        <v>3908</v>
      </c>
      <c r="C188" s="46" t="s">
        <v>3908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3" t="s">
        <v>1858</v>
      </c>
      <c r="C189" s="43" t="s">
        <v>1858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3" t="s">
        <v>1860</v>
      </c>
      <c r="C190" s="43" t="s">
        <v>1860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3" t="s">
        <v>1862</v>
      </c>
      <c r="C191" s="43" t="s">
        <v>1862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3" t="s">
        <v>1864</v>
      </c>
      <c r="C192" s="43" t="s">
        <v>1864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3" t="s">
        <v>1866</v>
      </c>
      <c r="C193" s="43" t="s">
        <v>1866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3" t="s">
        <v>1868</v>
      </c>
      <c r="C194" s="43" t="s">
        <v>1868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1192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3" t="s">
        <v>1870</v>
      </c>
      <c r="C195" s="43" t="s">
        <v>1870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1192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3" t="s">
        <v>1872</v>
      </c>
      <c r="C196" s="43" t="s">
        <v>1872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1192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3" t="s">
        <v>1874</v>
      </c>
      <c r="C197" s="43" t="s">
        <v>1874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1192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3" t="s">
        <v>1876</v>
      </c>
      <c r="C198" s="43" t="s">
        <v>1876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1192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3" t="s">
        <v>1878</v>
      </c>
      <c r="C199" s="43" t="s">
        <v>1878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1192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3" t="s">
        <v>1880</v>
      </c>
      <c r="C200" s="43" t="s">
        <v>1880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1192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3" t="s">
        <v>1882</v>
      </c>
      <c r="C201" s="43" t="s">
        <v>1882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1192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3" t="s">
        <v>1884</v>
      </c>
      <c r="C202" s="43" t="s">
        <v>1884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1192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3" t="s">
        <v>1886</v>
      </c>
      <c r="C203" s="43" t="s">
        <v>1886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1192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3" t="s">
        <v>1888</v>
      </c>
      <c r="C204" s="43" t="s">
        <v>1888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1192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3" t="s">
        <v>1890</v>
      </c>
      <c r="C205" s="43" t="s">
        <v>1890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1192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3" t="s">
        <v>1892</v>
      </c>
      <c r="C206" s="43" t="s">
        <v>1892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1192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3" t="s">
        <v>1894</v>
      </c>
      <c r="C207" s="43" t="s">
        <v>1894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1192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3" t="s">
        <v>1896</v>
      </c>
      <c r="C208" s="43" t="s">
        <v>1896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1192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3" t="s">
        <v>1898</v>
      </c>
      <c r="C209" s="43" t="s">
        <v>1898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1192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3" t="s">
        <v>1900</v>
      </c>
      <c r="C210" s="43" t="s">
        <v>1900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1192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3" t="s">
        <v>1902</v>
      </c>
      <c r="C211" s="43" t="s">
        <v>1902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1192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3" t="s">
        <v>1904</v>
      </c>
      <c r="C212" s="43" t="s">
        <v>1904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1192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3" t="s">
        <v>1906</v>
      </c>
      <c r="C213" s="43" t="s">
        <v>1906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1192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3" t="s">
        <v>1908</v>
      </c>
      <c r="C214" s="43" t="s">
        <v>1908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1192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3" t="s">
        <v>1910</v>
      </c>
      <c r="C215" s="43" t="s">
        <v>1910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1192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3" t="s">
        <v>1912</v>
      </c>
      <c r="C216" s="43" t="s">
        <v>1912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1192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3" t="s">
        <v>1914</v>
      </c>
      <c r="C217" s="43" t="s">
        <v>1914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1192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3" t="s">
        <v>3813</v>
      </c>
      <c r="C218" s="43" t="s">
        <v>3813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1192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3" t="s">
        <v>1916</v>
      </c>
      <c r="C219" s="43" t="s">
        <v>1916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1192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3" t="s">
        <v>1918</v>
      </c>
      <c r="C220" s="43" t="s">
        <v>1918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3" t="s">
        <v>1920</v>
      </c>
      <c r="C221" s="43" t="s">
        <v>1920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3" t="s">
        <v>1922</v>
      </c>
      <c r="C222" s="43" t="s">
        <v>1922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3" t="s">
        <v>1924</v>
      </c>
      <c r="C223" s="43" t="s">
        <v>1924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3" t="s">
        <v>1926</v>
      </c>
      <c r="C224" s="43" t="s">
        <v>1926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3" t="s">
        <v>1928</v>
      </c>
      <c r="C225" s="43" t="s">
        <v>1928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3" t="s">
        <v>1930</v>
      </c>
      <c r="C226" s="43" t="s">
        <v>1930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3" t="s">
        <v>1932</v>
      </c>
      <c r="C227" s="43" t="s">
        <v>1932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3" t="s">
        <v>1934</v>
      </c>
      <c r="C228" s="43" t="s">
        <v>1934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3" t="s">
        <v>1936</v>
      </c>
      <c r="C229" s="43" t="s">
        <v>1936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3" t="s">
        <v>1938</v>
      </c>
      <c r="C230" s="43" t="s">
        <v>1938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3" t="s">
        <v>1940</v>
      </c>
      <c r="C231" s="43" t="s">
        <v>1940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3" t="s">
        <v>1942</v>
      </c>
      <c r="C232" s="43" t="s">
        <v>1942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3" t="s">
        <v>1944</v>
      </c>
      <c r="C233" s="43" t="s">
        <v>1944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3" t="s">
        <v>1946</v>
      </c>
      <c r="C234" s="43" t="s">
        <v>1946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3" t="s">
        <v>1948</v>
      </c>
      <c r="C235" s="43" t="s">
        <v>1948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3" t="s">
        <v>1950</v>
      </c>
      <c r="C236" s="43" t="s">
        <v>1950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3" t="s">
        <v>1952</v>
      </c>
      <c r="C237" s="43" t="s">
        <v>1952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3" t="s">
        <v>1954</v>
      </c>
      <c r="C238" s="43" t="s">
        <v>1954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3" t="s">
        <v>1956</v>
      </c>
      <c r="C239" s="43" t="s">
        <v>1956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3" t="s">
        <v>1958</v>
      </c>
      <c r="C240" s="43" t="s">
        <v>1958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3" t="s">
        <v>1960</v>
      </c>
      <c r="C241" s="43" t="s">
        <v>1960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3" t="s">
        <v>1962</v>
      </c>
      <c r="C242" s="43" t="s">
        <v>1962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3" t="s">
        <v>1964</v>
      </c>
      <c r="C243" s="43" t="s">
        <v>1964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3" t="s">
        <v>1966</v>
      </c>
      <c r="C244" s="43" t="s">
        <v>1966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3" t="s">
        <v>1968</v>
      </c>
      <c r="C245" s="43" t="s">
        <v>1968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3" t="s">
        <v>1970</v>
      </c>
      <c r="C246" s="43" t="s">
        <v>1970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3" t="s">
        <v>1972</v>
      </c>
      <c r="C247" s="43" t="s">
        <v>1972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3" t="s">
        <v>1974</v>
      </c>
      <c r="C248" s="43" t="s">
        <v>1974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3" t="s">
        <v>1976</v>
      </c>
      <c r="C249" s="43" t="s">
        <v>1976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3" t="s">
        <v>1978</v>
      </c>
      <c r="C250" s="43" t="s">
        <v>1978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3" t="s">
        <v>1980</v>
      </c>
      <c r="C251" s="43" t="s">
        <v>1980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6" t="s">
        <v>3910</v>
      </c>
      <c r="C252" s="46" t="s">
        <v>3910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3" t="s">
        <v>1982</v>
      </c>
      <c r="C253" s="43" t="s">
        <v>1982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3" t="s">
        <v>1984</v>
      </c>
      <c r="C254" s="43" t="s">
        <v>1984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3" t="s">
        <v>1986</v>
      </c>
      <c r="C255" s="43" t="s">
        <v>1986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3" t="s">
        <v>1988</v>
      </c>
      <c r="C256" s="43" t="s">
        <v>1988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3" t="s">
        <v>1990</v>
      </c>
      <c r="C257" s="43" t="s">
        <v>1990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3" t="s">
        <v>1992</v>
      </c>
      <c r="C258" s="43" t="s">
        <v>1992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3" t="s">
        <v>1994</v>
      </c>
      <c r="C259" s="43" t="s">
        <v>1994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3" t="s">
        <v>1996</v>
      </c>
      <c r="C260" s="43" t="s">
        <v>1996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3" t="s">
        <v>1998</v>
      </c>
      <c r="C261" s="43" t="s">
        <v>1998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3" t="s">
        <v>2000</v>
      </c>
      <c r="C262" s="43" t="s">
        <v>2000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3" t="s">
        <v>2002</v>
      </c>
      <c r="C263" s="43" t="s">
        <v>2002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3" t="s">
        <v>2004</v>
      </c>
      <c r="C264" s="43" t="s">
        <v>2004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3" t="s">
        <v>2006</v>
      </c>
      <c r="C265" s="43" t="s">
        <v>2006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3" t="s">
        <v>2008</v>
      </c>
      <c r="C266" s="43" t="s">
        <v>2008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3" t="s">
        <v>2010</v>
      </c>
      <c r="C267" s="43" t="s">
        <v>2010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3" t="s">
        <v>2012</v>
      </c>
      <c r="C268" s="43" t="s">
        <v>2012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3" t="s">
        <v>2014</v>
      </c>
      <c r="C269" s="43" t="s">
        <v>2014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3" t="s">
        <v>2016</v>
      </c>
      <c r="C270" s="43" t="s">
        <v>2016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3" t="s">
        <v>2018</v>
      </c>
      <c r="C271" s="43" t="s">
        <v>2018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3" t="s">
        <v>2020</v>
      </c>
      <c r="C272" s="43" t="s">
        <v>2020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984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3" t="s">
        <v>2022</v>
      </c>
      <c r="C273" s="43" t="s">
        <v>2022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984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3" t="s">
        <v>2024</v>
      </c>
      <c r="C274" s="43" t="s">
        <v>2024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984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3" t="s">
        <v>2026</v>
      </c>
      <c r="C275" s="43" t="s">
        <v>2026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984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3" t="s">
        <v>2028</v>
      </c>
      <c r="C276" s="43" t="s">
        <v>2028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984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3" t="s">
        <v>2030</v>
      </c>
      <c r="C277" s="43" t="s">
        <v>2030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984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3" t="s">
        <v>2032</v>
      </c>
      <c r="C278" s="43" t="s">
        <v>2032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984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3" t="s">
        <v>2034</v>
      </c>
      <c r="C279" s="43" t="s">
        <v>2034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984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3" t="s">
        <v>2036</v>
      </c>
      <c r="C280" s="43" t="s">
        <v>2036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984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3" t="s">
        <v>2038</v>
      </c>
      <c r="C281" s="43" t="s">
        <v>2038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984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3" t="s">
        <v>2040</v>
      </c>
      <c r="C282" s="43" t="s">
        <v>2040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984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6" t="s">
        <v>3912</v>
      </c>
      <c r="C283" s="46" t="s">
        <v>3912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984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3" t="s">
        <v>2042</v>
      </c>
      <c r="C284" s="43" t="s">
        <v>2042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984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3" t="s">
        <v>2044</v>
      </c>
      <c r="C285" s="43" t="s">
        <v>2044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984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3" t="s">
        <v>2046</v>
      </c>
      <c r="C286" s="43" t="s">
        <v>2046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984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3" t="s">
        <v>2048</v>
      </c>
      <c r="C287" s="43" t="s">
        <v>2048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984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3" t="s">
        <v>2050</v>
      </c>
      <c r="C288" s="43" t="s">
        <v>2050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984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3" t="s">
        <v>2052</v>
      </c>
      <c r="C289" s="43" t="s">
        <v>2052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984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3" t="s">
        <v>2054</v>
      </c>
      <c r="C290" s="43" t="s">
        <v>2054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984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3" t="s">
        <v>2056</v>
      </c>
      <c r="C291" s="43" t="s">
        <v>2056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984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3" t="s">
        <v>2058</v>
      </c>
      <c r="C292" s="43" t="s">
        <v>2058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984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3" t="s">
        <v>2060</v>
      </c>
      <c r="C293" s="43" t="s">
        <v>2060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984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3" t="s">
        <v>2062</v>
      </c>
      <c r="C294" s="43" t="s">
        <v>2062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984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3" t="s">
        <v>2064</v>
      </c>
      <c r="C295" s="43" t="s">
        <v>2064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984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3" t="s">
        <v>2066</v>
      </c>
      <c r="C296" s="43" t="s">
        <v>2066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984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3" t="s">
        <v>2068</v>
      </c>
      <c r="C297" s="43" t="s">
        <v>2068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984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3" t="s">
        <v>2070</v>
      </c>
      <c r="C298" s="43" t="s">
        <v>2070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984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3" t="s">
        <v>2072</v>
      </c>
      <c r="C299" s="43" t="s">
        <v>2072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984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3" t="s">
        <v>2074</v>
      </c>
      <c r="C300" s="43" t="s">
        <v>2074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3" t="s">
        <v>2076</v>
      </c>
      <c r="C301" s="43" t="s">
        <v>2076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3" t="s">
        <v>2078</v>
      </c>
      <c r="C302" s="43" t="s">
        <v>2078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3" t="s">
        <v>2080</v>
      </c>
      <c r="C303" s="43" t="s">
        <v>2080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3" t="s">
        <v>2082</v>
      </c>
      <c r="C304" s="43" t="s">
        <v>2082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3" t="s">
        <v>2084</v>
      </c>
      <c r="C305" s="43" t="s">
        <v>2084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3" t="s">
        <v>2086</v>
      </c>
      <c r="C306" s="43" t="s">
        <v>2086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3" t="s">
        <v>2088</v>
      </c>
      <c r="C307" s="43" t="s">
        <v>2088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3" t="s">
        <v>2090</v>
      </c>
      <c r="C308" s="43" t="s">
        <v>2090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3" t="s">
        <v>2092</v>
      </c>
      <c r="C309" s="43" t="s">
        <v>2092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3" t="s">
        <v>2094</v>
      </c>
      <c r="C310" s="43" t="s">
        <v>2094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3" t="s">
        <v>2096</v>
      </c>
      <c r="C311" s="43" t="s">
        <v>2096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3" t="s">
        <v>2098</v>
      </c>
      <c r="C312" s="43" t="s">
        <v>2098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3" t="s">
        <v>2100</v>
      </c>
      <c r="C313" s="43" t="s">
        <v>2100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3" t="s">
        <v>2102</v>
      </c>
      <c r="C314" s="43" t="s">
        <v>2102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3" t="s">
        <v>2104</v>
      </c>
      <c r="C315" s="43" t="s">
        <v>2104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3" t="s">
        <v>2106</v>
      </c>
      <c r="C316" s="43" t="s">
        <v>2106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3" t="s">
        <v>2108</v>
      </c>
      <c r="C317" s="43" t="s">
        <v>2108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3" t="s">
        <v>2110</v>
      </c>
      <c r="C318" s="43" t="s">
        <v>2110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3" t="s">
        <v>2112</v>
      </c>
      <c r="C319" s="43" t="s">
        <v>2112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3" t="s">
        <v>2114</v>
      </c>
      <c r="C320" s="43" t="s">
        <v>2114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3" t="s">
        <v>2116</v>
      </c>
      <c r="C321" s="43" t="s">
        <v>2116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3" t="s">
        <v>2118</v>
      </c>
      <c r="C322" s="43" t="s">
        <v>2118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3" t="s">
        <v>2120</v>
      </c>
      <c r="C323" s="43" t="s">
        <v>2120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3" t="s">
        <v>2122</v>
      </c>
      <c r="C324" s="43" t="s">
        <v>2122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3" t="s">
        <v>2124</v>
      </c>
      <c r="C325" s="43" t="s">
        <v>2124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3" t="s">
        <v>2126</v>
      </c>
      <c r="C326" s="43" t="s">
        <v>2126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3" t="s">
        <v>2128</v>
      </c>
      <c r="C327" s="43" t="s">
        <v>2128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3" t="s">
        <v>2130</v>
      </c>
      <c r="C328" s="43" t="s">
        <v>2130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3" t="s">
        <v>2132</v>
      </c>
      <c r="C329" s="43" t="s">
        <v>2132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3" t="s">
        <v>2134</v>
      </c>
      <c r="C330" s="43" t="s">
        <v>2134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3" t="s">
        <v>2136</v>
      </c>
      <c r="C331" s="43" t="s">
        <v>2136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3" t="s">
        <v>2138</v>
      </c>
      <c r="C332" s="43" t="s">
        <v>2138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3" t="s">
        <v>2140</v>
      </c>
      <c r="C333" s="43" t="s">
        <v>2140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3" t="s">
        <v>2142</v>
      </c>
      <c r="C334" s="43" t="s">
        <v>2142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3" t="s">
        <v>2144</v>
      </c>
      <c r="C335" s="43" t="s">
        <v>2144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3" t="s">
        <v>2146</v>
      </c>
      <c r="C336" s="43" t="s">
        <v>2146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3" t="s">
        <v>2148</v>
      </c>
      <c r="C337" s="43" t="s">
        <v>2148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3" t="s">
        <v>2150</v>
      </c>
      <c r="C338" s="43" t="s">
        <v>2150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3" t="s">
        <v>2152</v>
      </c>
      <c r="C339" s="43" t="s">
        <v>2152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3" t="s">
        <v>2154</v>
      </c>
      <c r="C340" s="43" t="s">
        <v>2154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3" t="s">
        <v>2156</v>
      </c>
      <c r="C341" s="43" t="s">
        <v>2156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3" t="s">
        <v>2158</v>
      </c>
      <c r="C342" s="43" t="s">
        <v>2158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3" t="s">
        <v>2160</v>
      </c>
      <c r="C343" s="43" t="s">
        <v>2160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3" t="s">
        <v>2162</v>
      </c>
      <c r="C344" s="43" t="s">
        <v>2162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3" t="s">
        <v>2164</v>
      </c>
      <c r="C345" s="43" t="s">
        <v>2164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3" t="s">
        <v>2166</v>
      </c>
      <c r="C346" s="43" t="s">
        <v>2166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3" t="s">
        <v>2168</v>
      </c>
      <c r="C347" s="43" t="s">
        <v>2168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3" t="s">
        <v>2170</v>
      </c>
      <c r="C348" s="43" t="s">
        <v>2170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3" t="s">
        <v>2172</v>
      </c>
      <c r="C349" s="43" t="s">
        <v>2172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3" t="s">
        <v>2174</v>
      </c>
      <c r="C350" s="43" t="s">
        <v>2174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3" t="s">
        <v>2176</v>
      </c>
      <c r="C351" s="43" t="s">
        <v>2176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3" t="s">
        <v>2178</v>
      </c>
      <c r="C352" s="43" t="s">
        <v>2178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3" t="s">
        <v>2180</v>
      </c>
      <c r="C353" s="43" t="s">
        <v>2180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3" t="s">
        <v>2182</v>
      </c>
      <c r="C354" s="43" t="s">
        <v>2182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3" t="s">
        <v>2184</v>
      </c>
      <c r="C355" s="43" t="s">
        <v>2184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3" t="s">
        <v>2186</v>
      </c>
      <c r="C356" s="43" t="s">
        <v>2186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3" t="s">
        <v>2188</v>
      </c>
      <c r="C357" s="43" t="s">
        <v>2188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3" t="s">
        <v>2190</v>
      </c>
      <c r="C358" s="43" t="s">
        <v>2190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3" t="s">
        <v>2192</v>
      </c>
      <c r="C359" s="43" t="s">
        <v>2192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3" t="s">
        <v>2194</v>
      </c>
      <c r="C360" s="43" t="s">
        <v>2194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3" t="s">
        <v>2196</v>
      </c>
      <c r="C361" s="43" t="s">
        <v>2196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3" t="s">
        <v>2198</v>
      </c>
      <c r="C362" s="43" t="s">
        <v>2198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3" t="s">
        <v>2200</v>
      </c>
      <c r="C363" s="43" t="s">
        <v>2200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3" t="s">
        <v>2202</v>
      </c>
      <c r="C364" s="43" t="s">
        <v>2202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3" t="s">
        <v>2204</v>
      </c>
      <c r="C365" s="43" t="s">
        <v>2204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3" t="s">
        <v>2206</v>
      </c>
      <c r="C366" s="43" t="s">
        <v>2206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3" t="s">
        <v>2208</v>
      </c>
      <c r="C367" s="43" t="s">
        <v>2208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3" t="s">
        <v>2210</v>
      </c>
      <c r="C368" s="43" t="s">
        <v>2210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3" t="s">
        <v>2212</v>
      </c>
      <c r="C369" s="43" t="s">
        <v>2212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3" t="s">
        <v>2214</v>
      </c>
      <c r="C370" s="43" t="s">
        <v>2214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3" t="s">
        <v>2216</v>
      </c>
      <c r="C371" s="43" t="s">
        <v>2216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3" t="s">
        <v>2218</v>
      </c>
      <c r="C372" s="43" t="s">
        <v>2218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3" t="s">
        <v>2220</v>
      </c>
      <c r="C373" s="43" t="s">
        <v>2220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3" t="s">
        <v>2222</v>
      </c>
      <c r="C374" s="43" t="s">
        <v>2222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3" t="s">
        <v>2224</v>
      </c>
      <c r="C375" s="43" t="s">
        <v>2224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3" t="s">
        <v>2226</v>
      </c>
      <c r="C376" s="43" t="s">
        <v>2226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3" t="s">
        <v>2228</v>
      </c>
      <c r="C377" s="43" t="s">
        <v>2228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3" t="s">
        <v>2230</v>
      </c>
      <c r="C378" s="43" t="s">
        <v>2230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3" t="s">
        <v>2232</v>
      </c>
      <c r="C379" s="43" t="s">
        <v>2232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3" t="s">
        <v>2234</v>
      </c>
      <c r="C380" s="43" t="s">
        <v>2234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3" t="s">
        <v>2236</v>
      </c>
      <c r="C381" s="43" t="s">
        <v>2236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3" t="s">
        <v>2238</v>
      </c>
      <c r="C382" s="43" t="s">
        <v>2238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3" t="s">
        <v>2240</v>
      </c>
      <c r="C383" s="43" t="s">
        <v>2240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3" t="s">
        <v>2242</v>
      </c>
      <c r="C384" s="43" t="s">
        <v>2242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3" t="s">
        <v>2244</v>
      </c>
      <c r="C385" s="43" t="s">
        <v>2244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3" t="s">
        <v>2246</v>
      </c>
      <c r="C386" s="43" t="s">
        <v>2246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3844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3" t="s">
        <v>2248</v>
      </c>
      <c r="C387" s="43" t="s">
        <v>2248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3844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3" t="s">
        <v>2250</v>
      </c>
      <c r="C388" s="43" t="s">
        <v>2250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3844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3" t="s">
        <v>2252</v>
      </c>
      <c r="C389" s="43" t="s">
        <v>2252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3844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3" t="s">
        <v>2254</v>
      </c>
      <c r="C390" s="43" t="s">
        <v>2254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3844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3" t="s">
        <v>2256</v>
      </c>
      <c r="C391" s="43" t="s">
        <v>2256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3844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3" t="s">
        <v>2258</v>
      </c>
      <c r="C392" s="43" t="s">
        <v>2258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3844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3" t="s">
        <v>2260</v>
      </c>
      <c r="C393" s="43" t="s">
        <v>2260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3844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3" t="s">
        <v>2262</v>
      </c>
      <c r="C394" s="43" t="s">
        <v>2262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3844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3" t="s">
        <v>2264</v>
      </c>
      <c r="C395" s="43" t="s">
        <v>2264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3844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3" t="s">
        <v>2266</v>
      </c>
      <c r="C396" s="43" t="s">
        <v>2266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3844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3" t="s">
        <v>2268</v>
      </c>
      <c r="C397" s="43" t="s">
        <v>2268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3844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3" t="s">
        <v>2270</v>
      </c>
      <c r="C398" s="43" t="s">
        <v>2270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3844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3" t="s">
        <v>2272</v>
      </c>
      <c r="C399" s="43" t="s">
        <v>2272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3844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3" t="s">
        <v>2274</v>
      </c>
      <c r="C400" s="43" t="s">
        <v>2274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3844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3" t="s">
        <v>2276</v>
      </c>
      <c r="C401" s="43" t="s">
        <v>2276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3844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3" t="s">
        <v>2278</v>
      </c>
      <c r="C402" s="43" t="s">
        <v>2278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3844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6" t="s">
        <v>3914</v>
      </c>
      <c r="C403" s="46" t="s">
        <v>3914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3844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3" t="s">
        <v>2280</v>
      </c>
      <c r="C404" s="43" t="s">
        <v>2280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3844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3" t="s">
        <v>2282</v>
      </c>
      <c r="C405" s="43" t="s">
        <v>2282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3844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3" t="s">
        <v>2284</v>
      </c>
      <c r="C406" s="43" t="s">
        <v>2284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3844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3" t="s">
        <v>2286</v>
      </c>
      <c r="C407" s="43" t="s">
        <v>2286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3844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3" t="s">
        <v>2288</v>
      </c>
      <c r="C408" s="43" t="s">
        <v>2288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3844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3" t="s">
        <v>2290</v>
      </c>
      <c r="C409" s="43" t="s">
        <v>2290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3844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3" t="s">
        <v>2292</v>
      </c>
      <c r="C410" s="43" t="s">
        <v>2292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3844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3" t="s">
        <v>2294</v>
      </c>
      <c r="C411" s="43" t="s">
        <v>2294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3844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3" t="s">
        <v>2296</v>
      </c>
      <c r="C412" s="43" t="s">
        <v>2296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3844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3" t="s">
        <v>2298</v>
      </c>
      <c r="C413" s="43" t="s">
        <v>2298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3844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3" t="s">
        <v>2300</v>
      </c>
      <c r="C414" s="43" t="s">
        <v>2300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3844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3" t="s">
        <v>2302</v>
      </c>
      <c r="C415" s="43" t="s">
        <v>2302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3" t="s">
        <v>2304</v>
      </c>
      <c r="C416" s="43" t="s">
        <v>2304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3" t="s">
        <v>2306</v>
      </c>
      <c r="C417" s="43" t="s">
        <v>2306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3" t="s">
        <v>2308</v>
      </c>
      <c r="C418" s="43" t="s">
        <v>2308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3" t="s">
        <v>2310</v>
      </c>
      <c r="C419" s="43" t="s">
        <v>2310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3" t="s">
        <v>2312</v>
      </c>
      <c r="C420" s="43" t="s">
        <v>2312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3" t="s">
        <v>2314</v>
      </c>
      <c r="C421" s="43" t="s">
        <v>2314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3" t="s">
        <v>2316</v>
      </c>
      <c r="C422" s="43" t="s">
        <v>2316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3" t="s">
        <v>3815</v>
      </c>
      <c r="C423" s="43" t="s">
        <v>3815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3" t="s">
        <v>2318</v>
      </c>
      <c r="C424" s="43" t="s">
        <v>2318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3" t="s">
        <v>2320</v>
      </c>
      <c r="C425" s="43" t="s">
        <v>2320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3" t="s">
        <v>2322</v>
      </c>
      <c r="C426" s="43" t="s">
        <v>2322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3" t="s">
        <v>2324</v>
      </c>
      <c r="C427" s="43" t="s">
        <v>2324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3" t="s">
        <v>2326</v>
      </c>
      <c r="C428" s="43" t="s">
        <v>2326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3" t="s">
        <v>3817</v>
      </c>
      <c r="C429" s="43" t="s">
        <v>3817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3" t="s">
        <v>2328</v>
      </c>
      <c r="C430" s="43" t="s">
        <v>2328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3" t="s">
        <v>2330</v>
      </c>
      <c r="C431" s="43" t="s">
        <v>2330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3" t="s">
        <v>2332</v>
      </c>
      <c r="C432" s="43" t="s">
        <v>2332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3" t="s">
        <v>2334</v>
      </c>
      <c r="C433" s="43" t="s">
        <v>2334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3" t="s">
        <v>2336</v>
      </c>
      <c r="C434" s="43" t="s">
        <v>2336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3" t="s">
        <v>2338</v>
      </c>
      <c r="C435" s="43" t="s">
        <v>2338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3" t="s">
        <v>2340</v>
      </c>
      <c r="C436" s="43" t="s">
        <v>2340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3" t="s">
        <v>2342</v>
      </c>
      <c r="C437" s="43" t="s">
        <v>2342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3" t="s">
        <v>2344</v>
      </c>
      <c r="C438" s="43" t="s">
        <v>2344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3" t="s">
        <v>2346</v>
      </c>
      <c r="C439" s="43" t="s">
        <v>2346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3" t="s">
        <v>2348</v>
      </c>
      <c r="C440" s="43" t="s">
        <v>2348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3" t="s">
        <v>2350</v>
      </c>
      <c r="C441" s="43" t="s">
        <v>2350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3" t="s">
        <v>2352</v>
      </c>
      <c r="C442" s="43" t="s">
        <v>2352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3" t="s">
        <v>2354</v>
      </c>
      <c r="C443" s="43" t="s">
        <v>2354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3" t="s">
        <v>2356</v>
      </c>
      <c r="C444" s="43" t="s">
        <v>2356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3" t="s">
        <v>2358</v>
      </c>
      <c r="C445" s="43" t="s">
        <v>2358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3" t="s">
        <v>2360</v>
      </c>
      <c r="C446" s="43" t="s">
        <v>2360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3" t="s">
        <v>2362</v>
      </c>
      <c r="C447" s="43" t="s">
        <v>2362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3" t="s">
        <v>2364</v>
      </c>
      <c r="C448" s="43" t="s">
        <v>2364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3" t="s">
        <v>2366</v>
      </c>
      <c r="C449" s="43" t="s">
        <v>2366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3" t="s">
        <v>2368</v>
      </c>
      <c r="C450" s="43" t="s">
        <v>2368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3" t="s">
        <v>2370</v>
      </c>
      <c r="C451" s="43" t="s">
        <v>2370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3" t="s">
        <v>2372</v>
      </c>
      <c r="C452" s="43" t="s">
        <v>2372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3" t="s">
        <v>2374</v>
      </c>
      <c r="C453" s="43" t="s">
        <v>2374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3" t="s">
        <v>2376</v>
      </c>
      <c r="C454" s="43" t="s">
        <v>2376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3" t="s">
        <v>2378</v>
      </c>
      <c r="C455" s="43" t="s">
        <v>2378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3" t="s">
        <v>2380</v>
      </c>
      <c r="C456" s="43" t="s">
        <v>2380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3" t="s">
        <v>2382</v>
      </c>
      <c r="C457" s="43" t="s">
        <v>2382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3" t="s">
        <v>2384</v>
      </c>
      <c r="C458" s="43" t="s">
        <v>2384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3" t="s">
        <v>2386</v>
      </c>
      <c r="C459" s="43" t="s">
        <v>2386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3" t="s">
        <v>2388</v>
      </c>
      <c r="C460" s="43" t="s">
        <v>2388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3" t="s">
        <v>2390</v>
      </c>
      <c r="C461" s="43" t="s">
        <v>2390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3" t="s">
        <v>2392</v>
      </c>
      <c r="C462" s="43" t="s">
        <v>2392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3" t="s">
        <v>2394</v>
      </c>
      <c r="C463" s="43" t="s">
        <v>2394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3" t="s">
        <v>2396</v>
      </c>
      <c r="C464" s="43" t="s">
        <v>2396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3" t="s">
        <v>2398</v>
      </c>
      <c r="C465" s="43" t="s">
        <v>2398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3" t="s">
        <v>2400</v>
      </c>
      <c r="C466" s="43" t="s">
        <v>2400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3" t="s">
        <v>2402</v>
      </c>
      <c r="C467" s="43" t="s">
        <v>2402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3" t="s">
        <v>2404</v>
      </c>
      <c r="C468" s="43" t="s">
        <v>2404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3" t="s">
        <v>2406</v>
      </c>
      <c r="C469" s="43" t="s">
        <v>2406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3" t="s">
        <v>2408</v>
      </c>
      <c r="C470" s="43" t="s">
        <v>2408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3" t="s">
        <v>2410</v>
      </c>
      <c r="C471" s="43" t="s">
        <v>2410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3" t="s">
        <v>2412</v>
      </c>
      <c r="C472" s="43" t="s">
        <v>2412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3" t="s">
        <v>2414</v>
      </c>
      <c r="C473" s="43" t="s">
        <v>2414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3" t="s">
        <v>2416</v>
      </c>
      <c r="C474" s="43" t="s">
        <v>2416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3" t="s">
        <v>2418</v>
      </c>
      <c r="C475" s="43" t="s">
        <v>2418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3" t="s">
        <v>2420</v>
      </c>
      <c r="C476" s="43" t="s">
        <v>2420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833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3" t="s">
        <v>2422</v>
      </c>
      <c r="C477" s="43" t="s">
        <v>2422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833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3" t="s">
        <v>2424</v>
      </c>
      <c r="C478" s="43" t="s">
        <v>2424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833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3" t="s">
        <v>2426</v>
      </c>
      <c r="C479" s="43" t="s">
        <v>2426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833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3" t="s">
        <v>2428</v>
      </c>
      <c r="C480" s="43" t="s">
        <v>2428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833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3" t="s">
        <v>2430</v>
      </c>
      <c r="C481" s="43" t="s">
        <v>2430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833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3" t="s">
        <v>2432</v>
      </c>
      <c r="C482" s="43" t="s">
        <v>2432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833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3" t="s">
        <v>2434</v>
      </c>
      <c r="C483" s="43" t="s">
        <v>2434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833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3" t="s">
        <v>2436</v>
      </c>
      <c r="C484" s="43" t="s">
        <v>2436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833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3" t="s">
        <v>2438</v>
      </c>
      <c r="C485" s="43" t="s">
        <v>2438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833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3" t="s">
        <v>2440</v>
      </c>
      <c r="C486" s="43" t="s">
        <v>2440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833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3" t="s">
        <v>2442</v>
      </c>
      <c r="C487" s="43" t="s">
        <v>2442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833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3" t="s">
        <v>2444</v>
      </c>
      <c r="C488" s="43" t="s">
        <v>2444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833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3" t="s">
        <v>2446</v>
      </c>
      <c r="C489" s="43" t="s">
        <v>2446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833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3" t="s">
        <v>2448</v>
      </c>
      <c r="C490" s="43" t="s">
        <v>2448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833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3" t="s">
        <v>2450</v>
      </c>
      <c r="C491" s="43" t="s">
        <v>2450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833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3" t="s">
        <v>2452</v>
      </c>
      <c r="C492" s="43" t="s">
        <v>2452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833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3" t="s">
        <v>2454</v>
      </c>
      <c r="C493" s="43" t="s">
        <v>2454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833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3" t="s">
        <v>2456</v>
      </c>
      <c r="C494" s="43" t="s">
        <v>2456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833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3" t="s">
        <v>2458</v>
      </c>
      <c r="C495" s="43" t="s">
        <v>2458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833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3" t="s">
        <v>2460</v>
      </c>
      <c r="C496" s="43" t="s">
        <v>2460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833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3" t="s">
        <v>2462</v>
      </c>
      <c r="C497" s="43" t="s">
        <v>2462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833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3" t="s">
        <v>2464</v>
      </c>
      <c r="C498" s="43" t="s">
        <v>2464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833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3" t="s">
        <v>2466</v>
      </c>
      <c r="C499" s="43" t="s">
        <v>2466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833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3" t="s">
        <v>2468</v>
      </c>
      <c r="C500" s="43" t="s">
        <v>2468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833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3" t="s">
        <v>2470</v>
      </c>
      <c r="C501" s="43" t="s">
        <v>2470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833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3" t="s">
        <v>2472</v>
      </c>
      <c r="C502" s="43" t="s">
        <v>2472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833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3" t="s">
        <v>2474</v>
      </c>
      <c r="C503" s="43" t="s">
        <v>2474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833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3" t="s">
        <v>2476</v>
      </c>
      <c r="C504" s="43" t="s">
        <v>2476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833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3" t="s">
        <v>2484</v>
      </c>
      <c r="C505" s="43" t="s">
        <v>2484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3" t="s">
        <v>2486</v>
      </c>
      <c r="C506" s="43" t="s">
        <v>2486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3" t="s">
        <v>2488</v>
      </c>
      <c r="C507" s="43" t="s">
        <v>2488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3" t="s">
        <v>2490</v>
      </c>
      <c r="C508" s="43" t="s">
        <v>2490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3" t="s">
        <v>2492</v>
      </c>
      <c r="C509" s="43" t="s">
        <v>2492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3" t="s">
        <v>2494</v>
      </c>
      <c r="C510" s="43" t="s">
        <v>2494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3" t="s">
        <v>2496</v>
      </c>
      <c r="C511" s="43" t="s">
        <v>2496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3" t="s">
        <v>2498</v>
      </c>
      <c r="C512" s="43" t="s">
        <v>2498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3" t="s">
        <v>2500</v>
      </c>
      <c r="C513" s="43" t="s">
        <v>2500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3" t="s">
        <v>2502</v>
      </c>
      <c r="C514" s="43" t="s">
        <v>2502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3" t="s">
        <v>2504</v>
      </c>
      <c r="C515" s="43" t="s">
        <v>2504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3" t="s">
        <v>2506</v>
      </c>
      <c r="C516" s="43" t="s">
        <v>2506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3" t="s">
        <v>2508</v>
      </c>
      <c r="C517" s="43" t="s">
        <v>2508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3" t="s">
        <v>2510</v>
      </c>
      <c r="C518" s="43" t="s">
        <v>2510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3" t="s">
        <v>2512</v>
      </c>
      <c r="C519" s="43" t="s">
        <v>2512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3" t="s">
        <v>2514</v>
      </c>
      <c r="C520" s="43" t="s">
        <v>2514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3" t="s">
        <v>2516</v>
      </c>
      <c r="C521" s="43" t="s">
        <v>2516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3" t="s">
        <v>2518</v>
      </c>
      <c r="C522" s="43" t="s">
        <v>2518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3" t="s">
        <v>2520</v>
      </c>
      <c r="C523" s="43" t="s">
        <v>2520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3" t="s">
        <v>2522</v>
      </c>
      <c r="C524" s="43" t="s">
        <v>2522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3" t="s">
        <v>2524</v>
      </c>
      <c r="C525" s="43" t="s">
        <v>2524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3" t="s">
        <v>2526</v>
      </c>
      <c r="C526" s="43" t="s">
        <v>2526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3" t="s">
        <v>2528</v>
      </c>
      <c r="C527" s="43" t="s">
        <v>2528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6" t="s">
        <v>3922</v>
      </c>
      <c r="C528" s="46" t="s">
        <v>3922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3" t="s">
        <v>2536</v>
      </c>
      <c r="C529" s="43" t="s">
        <v>2536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3" t="s">
        <v>2544</v>
      </c>
      <c r="C530" s="43" t="s">
        <v>2544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3" t="s">
        <v>2546</v>
      </c>
      <c r="C531" s="43" t="s">
        <v>2546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3" t="s">
        <v>2548</v>
      </c>
      <c r="C532" s="43" t="s">
        <v>2548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3" t="s">
        <v>2550</v>
      </c>
      <c r="C533" s="43" t="s">
        <v>2550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3" t="s">
        <v>2552</v>
      </c>
      <c r="C534" s="43" t="s">
        <v>2552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3" t="s">
        <v>2554</v>
      </c>
      <c r="C535" s="43" t="s">
        <v>2554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3" t="s">
        <v>2556</v>
      </c>
      <c r="C536" s="43" t="s">
        <v>2556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3" t="s">
        <v>2564</v>
      </c>
      <c r="C537" s="43" t="s">
        <v>2564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3" t="s">
        <v>2566</v>
      </c>
      <c r="C538" s="43" t="s">
        <v>2566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3" t="s">
        <v>2568</v>
      </c>
      <c r="C539" s="43" t="s">
        <v>2568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3" t="s">
        <v>2570</v>
      </c>
      <c r="C540" s="43" t="s">
        <v>2570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3" t="s">
        <v>2572</v>
      </c>
      <c r="C541" s="43" t="s">
        <v>2572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3" t="s">
        <v>2574</v>
      </c>
      <c r="C542" s="43" t="s">
        <v>2574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3" t="s">
        <v>2578</v>
      </c>
      <c r="C543" s="43" t="s">
        <v>2578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3" t="s">
        <v>2580</v>
      </c>
      <c r="C544" s="43" t="s">
        <v>2580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3" t="s">
        <v>2582</v>
      </c>
      <c r="C545" s="43" t="s">
        <v>2582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3" t="s">
        <v>2584</v>
      </c>
      <c r="C546" s="43" t="s">
        <v>2584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3" t="s">
        <v>2586</v>
      </c>
      <c r="C547" s="43" t="s">
        <v>2586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3" t="s">
        <v>2588</v>
      </c>
      <c r="C548" s="43" t="s">
        <v>2588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3" t="s">
        <v>2590</v>
      </c>
      <c r="C549" s="43" t="s">
        <v>2590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6" t="s">
        <v>3931</v>
      </c>
      <c r="C550" s="46" t="s">
        <v>3931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6" t="s">
        <v>3933</v>
      </c>
      <c r="C551" s="46" t="s">
        <v>3933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6" t="s">
        <v>3935</v>
      </c>
      <c r="C552" s="46" t="s">
        <v>3935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6" t="s">
        <v>3937</v>
      </c>
      <c r="C553" s="46" t="s">
        <v>3937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6" t="s">
        <v>3939</v>
      </c>
      <c r="C554" s="46" t="s">
        <v>3939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6" t="s">
        <v>3941</v>
      </c>
      <c r="C555" s="46" t="s">
        <v>3941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6" t="s">
        <v>3943</v>
      </c>
      <c r="C556" s="46" t="s">
        <v>3943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3" t="s">
        <v>2592</v>
      </c>
      <c r="C557" s="43" t="s">
        <v>2592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3" t="s">
        <v>2594</v>
      </c>
      <c r="C558" s="43" t="s">
        <v>2594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3" t="s">
        <v>2596</v>
      </c>
      <c r="C559" s="43" t="s">
        <v>2596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3" t="s">
        <v>2598</v>
      </c>
      <c r="C560" s="43" t="s">
        <v>2598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3" t="s">
        <v>2600</v>
      </c>
      <c r="C561" s="43" t="s">
        <v>2600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3" t="s">
        <v>2602</v>
      </c>
      <c r="C562" s="43" t="s">
        <v>2602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3" t="s">
        <v>2604</v>
      </c>
      <c r="C563" s="43" t="s">
        <v>2604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3" t="s">
        <v>2606</v>
      </c>
      <c r="C564" s="43" t="s">
        <v>2606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3" t="s">
        <v>2608</v>
      </c>
      <c r="C565" s="43" t="s">
        <v>2608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3" t="s">
        <v>2610</v>
      </c>
      <c r="C566" s="43" t="s">
        <v>2610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3" t="s">
        <v>2612</v>
      </c>
      <c r="C567" s="43" t="s">
        <v>2612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3" t="s">
        <v>2614</v>
      </c>
      <c r="C568" s="43" t="s">
        <v>2614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3" t="s">
        <v>2616</v>
      </c>
      <c r="C569" s="43" t="s">
        <v>2616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3" t="s">
        <v>2618</v>
      </c>
      <c r="C570" s="43" t="s">
        <v>2618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3" t="s">
        <v>2620</v>
      </c>
      <c r="C571" s="43" t="s">
        <v>2620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6" t="s">
        <v>3945</v>
      </c>
      <c r="C572" s="46" t="s">
        <v>3945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6" t="s">
        <v>3947</v>
      </c>
      <c r="C573" s="46" t="s">
        <v>3947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6" t="s">
        <v>3949</v>
      </c>
      <c r="C574" s="46" t="s">
        <v>3949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6" t="s">
        <v>3951</v>
      </c>
      <c r="C575" s="46" t="s">
        <v>3951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6" t="s">
        <v>3953</v>
      </c>
      <c r="C576" s="46" t="s">
        <v>3953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3" t="s">
        <v>2622</v>
      </c>
      <c r="C577" s="43" t="s">
        <v>2622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3" t="s">
        <v>2624</v>
      </c>
      <c r="C578" s="43" t="s">
        <v>2624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3" t="s">
        <v>2628</v>
      </c>
      <c r="C579" s="43" t="s">
        <v>2628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3" t="s">
        <v>2630</v>
      </c>
      <c r="C580" s="43" t="s">
        <v>2630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3" t="s">
        <v>2632</v>
      </c>
      <c r="C581" s="43" t="s">
        <v>2632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3" t="s">
        <v>2634</v>
      </c>
      <c r="C582" s="43" t="s">
        <v>2634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3" t="s">
        <v>2636</v>
      </c>
      <c r="C583" s="43" t="s">
        <v>2636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3" t="s">
        <v>2638</v>
      </c>
      <c r="C584" s="43" t="s">
        <v>2638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3" t="s">
        <v>2640</v>
      </c>
      <c r="C585" s="43" t="s">
        <v>2640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3" t="s">
        <v>2644</v>
      </c>
      <c r="C586" s="43" t="s">
        <v>2644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3" t="s">
        <v>2648</v>
      </c>
      <c r="C587" s="43" t="s">
        <v>2648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3" t="s">
        <v>2650</v>
      </c>
      <c r="C588" s="43" t="s">
        <v>2650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3" t="s">
        <v>2652</v>
      </c>
      <c r="C589" s="43" t="s">
        <v>2652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3" t="s">
        <v>2654</v>
      </c>
      <c r="C590" s="43" t="s">
        <v>2654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3" t="s">
        <v>2656</v>
      </c>
      <c r="C591" s="43" t="s">
        <v>2656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3" t="s">
        <v>2658</v>
      </c>
      <c r="C592" s="43" t="s">
        <v>2658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3" t="s">
        <v>2660</v>
      </c>
      <c r="C593" s="43" t="s">
        <v>2660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3" t="s">
        <v>2662</v>
      </c>
      <c r="C594" s="43" t="s">
        <v>2662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3" t="s">
        <v>2664</v>
      </c>
      <c r="C595" s="43" t="s">
        <v>2664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3" t="s">
        <v>2668</v>
      </c>
      <c r="C596" s="43" t="s">
        <v>2668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3" t="s">
        <v>2670</v>
      </c>
      <c r="C597" s="43" t="s">
        <v>2670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3" t="s">
        <v>2672</v>
      </c>
      <c r="C598" s="43" t="s">
        <v>2672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3" t="s">
        <v>2674</v>
      </c>
      <c r="C599" s="43" t="s">
        <v>2674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3" t="s">
        <v>2676</v>
      </c>
      <c r="C600" s="43" t="s">
        <v>2676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3" t="s">
        <v>2678</v>
      </c>
      <c r="C601" s="43" t="s">
        <v>2678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3" t="s">
        <v>2681</v>
      </c>
      <c r="C602" s="43" t="s">
        <v>2681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6" t="s">
        <v>3962</v>
      </c>
      <c r="C603" s="46" t="s">
        <v>3962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6" t="s">
        <v>3964</v>
      </c>
      <c r="C604" s="46" t="s">
        <v>3964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6" t="s">
        <v>3966</v>
      </c>
      <c r="C605" s="46" t="s">
        <v>3966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3" t="s">
        <v>2687</v>
      </c>
      <c r="C606" s="43" t="s">
        <v>2687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3" t="s">
        <v>2689</v>
      </c>
      <c r="C607" s="43" t="s">
        <v>2689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3" t="s">
        <v>2691</v>
      </c>
      <c r="C608" s="43" t="s">
        <v>2691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3" t="s">
        <v>2695</v>
      </c>
      <c r="C609" s="43" t="s">
        <v>2695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3" t="s">
        <v>2697</v>
      </c>
      <c r="C610" s="43" t="s">
        <v>2697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3" t="s">
        <v>2699</v>
      </c>
      <c r="C611" s="43" t="s">
        <v>2699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3" t="s">
        <v>2701</v>
      </c>
      <c r="C612" s="43" t="s">
        <v>2701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3" t="s">
        <v>2703</v>
      </c>
      <c r="C613" s="43" t="s">
        <v>2703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3" t="s">
        <v>2709</v>
      </c>
      <c r="C614" s="43" t="s">
        <v>2709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3" t="s">
        <v>2713</v>
      </c>
      <c r="C615" s="43" t="s">
        <v>2713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3" t="s">
        <v>2715</v>
      </c>
      <c r="C616" s="43" t="s">
        <v>2715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3" t="s">
        <v>2717</v>
      </c>
      <c r="C617" s="43" t="s">
        <v>2717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3" t="s">
        <v>2719</v>
      </c>
      <c r="C618" s="43" t="s">
        <v>2719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3" t="s">
        <v>2721</v>
      </c>
      <c r="C619" s="43" t="s">
        <v>2721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3" t="s">
        <v>2723</v>
      </c>
      <c r="C620" s="43" t="s">
        <v>2723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3" t="s">
        <v>2725</v>
      </c>
      <c r="C621" s="43" t="s">
        <v>2725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3" t="s">
        <v>2727</v>
      </c>
      <c r="C622" s="43" t="s">
        <v>2727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3" t="s">
        <v>2729</v>
      </c>
      <c r="C623" s="43" t="s">
        <v>2729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3" t="s">
        <v>2731</v>
      </c>
      <c r="C624" s="43" t="s">
        <v>2731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3" t="s">
        <v>2733</v>
      </c>
      <c r="C625" s="43" t="s">
        <v>2733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3" t="s">
        <v>2735</v>
      </c>
      <c r="C626" s="43" t="s">
        <v>2735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6" t="s">
        <v>3972</v>
      </c>
      <c r="C627" s="46" t="s">
        <v>3972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3" t="s">
        <v>2737</v>
      </c>
      <c r="C628" s="43" t="s">
        <v>2737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3" t="s">
        <v>2739</v>
      </c>
      <c r="C629" s="43" t="s">
        <v>2739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3" t="s">
        <v>2741</v>
      </c>
      <c r="C630" s="43" t="s">
        <v>2741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3" t="s">
        <v>2743</v>
      </c>
      <c r="C631" s="43" t="s">
        <v>2743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3" t="s">
        <v>2745</v>
      </c>
      <c r="C632" s="43" t="s">
        <v>2745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3" t="s">
        <v>2747</v>
      </c>
      <c r="C633" s="43" t="s">
        <v>2747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3" t="s">
        <v>2749</v>
      </c>
      <c r="C634" s="43" t="s">
        <v>2749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3" t="s">
        <v>2751</v>
      </c>
      <c r="C635" s="43" t="s">
        <v>2751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6" t="s">
        <v>3974</v>
      </c>
      <c r="C636" s="46" t="s">
        <v>3974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3" t="s">
        <v>2755</v>
      </c>
      <c r="C637" s="43" t="s">
        <v>2755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3" t="s">
        <v>2757</v>
      </c>
      <c r="C638" s="43" t="s">
        <v>2757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3" t="s">
        <v>2759</v>
      </c>
      <c r="C639" s="43" t="s">
        <v>2759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3" t="s">
        <v>2761</v>
      </c>
      <c r="C640" s="43" t="s">
        <v>2761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3" t="s">
        <v>2763</v>
      </c>
      <c r="C641" s="43" t="s">
        <v>2763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3" t="s">
        <v>2765</v>
      </c>
      <c r="C642" s="43" t="s">
        <v>2765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3" t="s">
        <v>2767</v>
      </c>
      <c r="C643" s="43" t="s">
        <v>2767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3" t="s">
        <v>2769</v>
      </c>
      <c r="C644" s="43" t="s">
        <v>2769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3" t="s">
        <v>2771</v>
      </c>
      <c r="C645" s="43" t="s">
        <v>2771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3" t="s">
        <v>2773</v>
      </c>
      <c r="C646" s="43" t="s">
        <v>2773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3" t="s">
        <v>2775</v>
      </c>
      <c r="C647" s="43" t="s">
        <v>2775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3" t="s">
        <v>2777</v>
      </c>
      <c r="C648" s="43" t="s">
        <v>2777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3" t="s">
        <v>2779</v>
      </c>
      <c r="C649" s="43" t="s">
        <v>2779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3" t="s">
        <v>2781</v>
      </c>
      <c r="C650" s="43" t="s">
        <v>2781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6" t="s">
        <v>3977</v>
      </c>
      <c r="C651" s="46" t="s">
        <v>3977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3" t="s">
        <v>2783</v>
      </c>
      <c r="C652" s="43" t="s">
        <v>2783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3" t="s">
        <v>2785</v>
      </c>
      <c r="C653" s="43" t="s">
        <v>2785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3" t="s">
        <v>2787</v>
      </c>
      <c r="C654" s="43" t="s">
        <v>2787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3" t="s">
        <v>2789</v>
      </c>
      <c r="C655" s="43" t="s">
        <v>2789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3" t="s">
        <v>2791</v>
      </c>
      <c r="C656" s="43" t="s">
        <v>2791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3" t="s">
        <v>2793</v>
      </c>
      <c r="C657" s="43" t="s">
        <v>2793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3" t="s">
        <v>2795</v>
      </c>
      <c r="C658" s="43" t="s">
        <v>2795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3" t="s">
        <v>2797</v>
      </c>
      <c r="C659" s="43" t="s">
        <v>2797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3" t="s">
        <v>2799</v>
      </c>
      <c r="C660" s="43" t="s">
        <v>2799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3" t="s">
        <v>2801</v>
      </c>
      <c r="C661" s="43" t="s">
        <v>2801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3" t="s">
        <v>2803</v>
      </c>
      <c r="C662" s="43" t="s">
        <v>2803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3" t="s">
        <v>2805</v>
      </c>
      <c r="C663" s="43" t="s">
        <v>2805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3" t="s">
        <v>2809</v>
      </c>
      <c r="C664" s="43" t="s">
        <v>2809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3" t="s">
        <v>2813</v>
      </c>
      <c r="C665" s="43" t="s">
        <v>2813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3" t="s">
        <v>2815</v>
      </c>
      <c r="C666" s="43" t="s">
        <v>2815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3" t="s">
        <v>2819</v>
      </c>
      <c r="C667" s="43" t="s">
        <v>2819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3" t="s">
        <v>2821</v>
      </c>
      <c r="C668" s="43" t="s">
        <v>2821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3" t="s">
        <v>2823</v>
      </c>
      <c r="C669" s="43" t="s">
        <v>2823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3" t="s">
        <v>2825</v>
      </c>
      <c r="C670" s="43" t="s">
        <v>2825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3" t="s">
        <v>2827</v>
      </c>
      <c r="C671" s="43" t="s">
        <v>2827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3" t="s">
        <v>2829</v>
      </c>
      <c r="C672" s="43" t="s">
        <v>2829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3" t="s">
        <v>2833</v>
      </c>
      <c r="C673" s="43" t="s">
        <v>2833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3" t="s">
        <v>2835</v>
      </c>
      <c r="C674" s="43" t="s">
        <v>2835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3" t="s">
        <v>2837</v>
      </c>
      <c r="C675" s="43" t="s">
        <v>2837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3" t="s">
        <v>2839</v>
      </c>
      <c r="C676" s="43" t="s">
        <v>2839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3" t="s">
        <v>2843</v>
      </c>
      <c r="C677" s="43" t="s">
        <v>2843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3" t="s">
        <v>2845</v>
      </c>
      <c r="C678" s="43" t="s">
        <v>2845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3" t="s">
        <v>2847</v>
      </c>
      <c r="C679" s="43" t="s">
        <v>2847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3" t="s">
        <v>2849</v>
      </c>
      <c r="C680" s="43" t="s">
        <v>2849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3" t="s">
        <v>2851</v>
      </c>
      <c r="C681" s="43" t="s">
        <v>2851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3" t="s">
        <v>2853</v>
      </c>
      <c r="C682" s="43" t="s">
        <v>2853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3" t="s">
        <v>2855</v>
      </c>
      <c r="C683" s="43" t="s">
        <v>2855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3" t="s">
        <v>2857</v>
      </c>
      <c r="C684" s="43" t="s">
        <v>2857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3" t="s">
        <v>2859</v>
      </c>
      <c r="C685" s="43" t="s">
        <v>2859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3" t="s">
        <v>2861</v>
      </c>
      <c r="C686" s="43" t="s">
        <v>2861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3" t="s">
        <v>2865</v>
      </c>
      <c r="C687" s="43" t="s">
        <v>2865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3" t="s">
        <v>2867</v>
      </c>
      <c r="C688" s="43" t="s">
        <v>2867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3" t="s">
        <v>2869</v>
      </c>
      <c r="C689" s="43" t="s">
        <v>2869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3844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6" t="s">
        <v>3986</v>
      </c>
      <c r="C690" s="46" t="s">
        <v>3986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3" t="s">
        <v>2873</v>
      </c>
      <c r="C691" s="43" t="s">
        <v>2873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3844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3" t="s">
        <v>2875</v>
      </c>
      <c r="C692" s="43" t="s">
        <v>2875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3" t="s">
        <v>2877</v>
      </c>
      <c r="C693" s="43" t="s">
        <v>2877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3" t="s">
        <v>2879</v>
      </c>
      <c r="C694" s="43" t="s">
        <v>2879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3" t="s">
        <v>2881</v>
      </c>
      <c r="C695" s="43" t="s">
        <v>2881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3844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3" t="s">
        <v>2883</v>
      </c>
      <c r="C696" s="43" t="s">
        <v>2883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3" t="s">
        <v>2885</v>
      </c>
      <c r="C697" s="43" t="s">
        <v>2885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3844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3" t="s">
        <v>2887</v>
      </c>
      <c r="C698" s="43" t="s">
        <v>2887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3844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3" t="s">
        <v>2889</v>
      </c>
      <c r="C699" s="43" t="s">
        <v>2889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3844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3" t="s">
        <v>2891</v>
      </c>
      <c r="C700" s="43" t="s">
        <v>2891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3844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3" t="s">
        <v>2893</v>
      </c>
      <c r="C701" s="43" t="s">
        <v>2893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3844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3" t="s">
        <v>2895</v>
      </c>
      <c r="C702" s="43" t="s">
        <v>2895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3844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3" t="s">
        <v>2897</v>
      </c>
      <c r="C703" s="43" t="s">
        <v>2897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3844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3" t="s">
        <v>2899</v>
      </c>
      <c r="C704" s="43" t="s">
        <v>2899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3844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3" t="s">
        <v>2999</v>
      </c>
      <c r="C705" s="43" t="s">
        <v>3000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3844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3" t="s">
        <v>2921</v>
      </c>
      <c r="C706" s="43">
        <v>610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1192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3" t="s">
        <v>2919</v>
      </c>
      <c r="C707" s="43">
        <v>600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1192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3" t="s">
        <v>2909</v>
      </c>
      <c r="C708" s="43">
        <v>310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3" t="s">
        <v>2907</v>
      </c>
      <c r="C709" s="43">
        <v>300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1192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3" t="s">
        <v>2915</v>
      </c>
      <c r="C710" s="43">
        <v>510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3844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3" t="s">
        <v>3774</v>
      </c>
      <c r="C711" s="43" t="s">
        <v>3774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3844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3" t="s">
        <v>3775</v>
      </c>
      <c r="C712" s="43" t="s">
        <v>3775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3844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3" t="s">
        <v>2972</v>
      </c>
      <c r="C713" s="43" t="s">
        <v>2972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3844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3" t="s">
        <v>2984</v>
      </c>
      <c r="C714" s="43" t="s">
        <v>2984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3844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3" t="s">
        <v>2986</v>
      </c>
      <c r="C715" s="43" t="s">
        <v>2986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3844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3" t="s">
        <v>2988</v>
      </c>
      <c r="C716" s="43" t="s">
        <v>2988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3" t="s">
        <v>3779</v>
      </c>
      <c r="C717" s="43" t="s">
        <v>3779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3" t="s">
        <v>3005</v>
      </c>
      <c r="C718" s="43" t="s">
        <v>3005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3" t="s">
        <v>3007</v>
      </c>
      <c r="C719" s="43" t="s">
        <v>3007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3" t="s">
        <v>3009</v>
      </c>
      <c r="C720" s="43" t="s">
        <v>3009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3" t="s">
        <v>3011</v>
      </c>
      <c r="C721" s="43" t="s">
        <v>3011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3" t="s">
        <v>3013</v>
      </c>
      <c r="C722" s="43" t="s">
        <v>3013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3" t="s">
        <v>3015</v>
      </c>
      <c r="C723" s="43" t="s">
        <v>3015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3" t="s">
        <v>3017</v>
      </c>
      <c r="C724" s="43" t="s">
        <v>3017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6" t="s">
        <v>4018</v>
      </c>
      <c r="C725" s="46" t="s">
        <v>4018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6" t="s">
        <v>4020</v>
      </c>
      <c r="C726" s="46" t="s">
        <v>4020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6" t="s">
        <v>4022</v>
      </c>
      <c r="C727" s="46" t="s">
        <v>4022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6" t="s">
        <v>4024</v>
      </c>
      <c r="C728" s="46" t="s">
        <v>4024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6" t="s">
        <v>4026</v>
      </c>
      <c r="C729" s="46" t="s">
        <v>4026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6" t="s">
        <v>4028</v>
      </c>
      <c r="C730" s="46" t="s">
        <v>4028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3" t="s">
        <v>3025</v>
      </c>
      <c r="C731" s="43" t="s">
        <v>3025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3" t="s">
        <v>3027</v>
      </c>
      <c r="C732" s="43" t="s">
        <v>3027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3" t="s">
        <v>3029</v>
      </c>
      <c r="C733" s="43" t="s">
        <v>3029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3" t="s">
        <v>3034</v>
      </c>
      <c r="C734" s="43" t="s">
        <v>3034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3" t="s">
        <v>3036</v>
      </c>
      <c r="C735" s="43" t="s">
        <v>3036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3" t="s">
        <v>3041</v>
      </c>
      <c r="C736" s="43" t="s">
        <v>3041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3" t="s">
        <v>3043</v>
      </c>
      <c r="C737" s="43" t="s">
        <v>3043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3" t="s">
        <v>3045</v>
      </c>
      <c r="C738" s="43" t="s">
        <v>3045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3" t="s">
        <v>3047</v>
      </c>
      <c r="C739" s="43" t="s">
        <v>3047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3" t="s">
        <v>3049</v>
      </c>
      <c r="C740" s="43" t="s">
        <v>3049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3" t="s">
        <v>3051</v>
      </c>
      <c r="C741" s="43" t="s">
        <v>3051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3" t="s">
        <v>3053</v>
      </c>
      <c r="C742" s="43" t="s">
        <v>3053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3" t="s">
        <v>3055</v>
      </c>
      <c r="C743" s="43" t="s">
        <v>3055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3" t="s">
        <v>3057</v>
      </c>
      <c r="C744" s="43" t="s">
        <v>3057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3" t="s">
        <v>3059</v>
      </c>
      <c r="C745" s="43" t="s">
        <v>3059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3" t="s">
        <v>3061</v>
      </c>
      <c r="C746" s="43" t="s">
        <v>3061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3" t="s">
        <v>3063</v>
      </c>
      <c r="C747" s="43" t="s">
        <v>3063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3" t="s">
        <v>3065</v>
      </c>
      <c r="C748" s="43" t="s">
        <v>3065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3" t="s">
        <v>3067</v>
      </c>
      <c r="C749" s="43" t="s">
        <v>3067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3" t="s">
        <v>3069</v>
      </c>
      <c r="C750" s="43" t="s">
        <v>3069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3" t="s">
        <v>3071</v>
      </c>
      <c r="C751" s="43" t="s">
        <v>3071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3" t="s">
        <v>3073</v>
      </c>
      <c r="C752" s="43" t="s">
        <v>3073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3" t="s">
        <v>3075</v>
      </c>
      <c r="C753" s="43" t="s">
        <v>3075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3" t="s">
        <v>3077</v>
      </c>
      <c r="C754" s="43" t="s">
        <v>3077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3" t="s">
        <v>3079</v>
      </c>
      <c r="C755" s="43" t="s">
        <v>3079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3" t="s">
        <v>3081</v>
      </c>
      <c r="C756" s="43" t="s">
        <v>3081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3" t="s">
        <v>3083</v>
      </c>
      <c r="C757" s="43" t="s">
        <v>3083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3" t="s">
        <v>3085</v>
      </c>
      <c r="C758" s="43" t="s">
        <v>3085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3" t="s">
        <v>3087</v>
      </c>
      <c r="C759" s="43" t="s">
        <v>3087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3" t="s">
        <v>3089</v>
      </c>
      <c r="C760" s="43" t="s">
        <v>3089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3" t="s">
        <v>3091</v>
      </c>
      <c r="C761" s="43" t="s">
        <v>3091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3" t="s">
        <v>3093</v>
      </c>
      <c r="C762" s="43" t="s">
        <v>3093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3" t="s">
        <v>3095</v>
      </c>
      <c r="C763" s="43" t="s">
        <v>3095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3" t="s">
        <v>3097</v>
      </c>
      <c r="C764" s="43" t="s">
        <v>3097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3" t="s">
        <v>3099</v>
      </c>
      <c r="C765" s="43" t="s">
        <v>3099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3" t="s">
        <v>3101</v>
      </c>
      <c r="C766" s="43" t="s">
        <v>3101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3" t="s">
        <v>3103</v>
      </c>
      <c r="C767" s="43" t="s">
        <v>3103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3" t="s">
        <v>3105</v>
      </c>
      <c r="C768" s="43" t="s">
        <v>3105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3" t="s">
        <v>3107</v>
      </c>
      <c r="C769" s="43" t="s">
        <v>3107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3" t="s">
        <v>3109</v>
      </c>
      <c r="C770" s="43" t="s">
        <v>3109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3" t="s">
        <v>3111</v>
      </c>
      <c r="C771" s="43" t="s">
        <v>3111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3" t="s">
        <v>3113</v>
      </c>
      <c r="C772" s="43" t="s">
        <v>3113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3" t="s">
        <v>3115</v>
      </c>
      <c r="C773" s="43" t="s">
        <v>3115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3" t="s">
        <v>3117</v>
      </c>
      <c r="C774" s="43" t="s">
        <v>3117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3" t="s">
        <v>3119</v>
      </c>
      <c r="C775" s="43" t="s">
        <v>3119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3" t="s">
        <v>3121</v>
      </c>
      <c r="C776" s="43" t="s">
        <v>3121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3" t="s">
        <v>3123</v>
      </c>
      <c r="C777" s="43" t="s">
        <v>3123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3" t="s">
        <v>3125</v>
      </c>
      <c r="C778" s="43" t="s">
        <v>3125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3" t="s">
        <v>3127</v>
      </c>
      <c r="C779" s="43" t="s">
        <v>3127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3" t="s">
        <v>3129</v>
      </c>
      <c r="C780" s="43" t="s">
        <v>3129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3" t="s">
        <v>3131</v>
      </c>
      <c r="C781" s="43" t="s">
        <v>3131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3" t="s">
        <v>3133</v>
      </c>
      <c r="C782" s="43" t="s">
        <v>3133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3" t="s">
        <v>3135</v>
      </c>
      <c r="C783" s="43" t="s">
        <v>3135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3" t="s">
        <v>3137</v>
      </c>
      <c r="C784" s="43" t="s">
        <v>3137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3" t="s">
        <v>3139</v>
      </c>
      <c r="C785" s="43" t="s">
        <v>3139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3" t="s">
        <v>3141</v>
      </c>
      <c r="C786" s="43" t="s">
        <v>3141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3" t="s">
        <v>3143</v>
      </c>
      <c r="C787" s="43" t="s">
        <v>3143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3" t="s">
        <v>3145</v>
      </c>
      <c r="C788" s="43" t="s">
        <v>3145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3" t="s">
        <v>3147</v>
      </c>
      <c r="C789" s="43" t="s">
        <v>3147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3" t="s">
        <v>3149</v>
      </c>
      <c r="C790" s="43" t="s">
        <v>3149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3" t="s">
        <v>3151</v>
      </c>
      <c r="C791" s="43" t="s">
        <v>3151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3" t="s">
        <v>3153</v>
      </c>
      <c r="C792" s="43" t="s">
        <v>3153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3" t="s">
        <v>3155</v>
      </c>
      <c r="C793" s="43" t="s">
        <v>3155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3" t="s">
        <v>3157</v>
      </c>
      <c r="C794" s="43" t="s">
        <v>3157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3" t="s">
        <v>3159</v>
      </c>
      <c r="C795" s="43" t="s">
        <v>3159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3" t="s">
        <v>3161</v>
      </c>
      <c r="C796" s="43" t="s">
        <v>3161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3" t="s">
        <v>3163</v>
      </c>
      <c r="C797" s="43" t="s">
        <v>3163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3" t="s">
        <v>3165</v>
      </c>
      <c r="C798" s="43" t="s">
        <v>3165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3" t="s">
        <v>3167</v>
      </c>
      <c r="C799" s="43" t="s">
        <v>3167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3" t="s">
        <v>3169</v>
      </c>
      <c r="C800" s="43" t="s">
        <v>3169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3" t="s">
        <v>3171</v>
      </c>
      <c r="C801" s="43" t="s">
        <v>3171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3" t="s">
        <v>3173</v>
      </c>
      <c r="C802" s="43" t="s">
        <v>3173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3" t="s">
        <v>3175</v>
      </c>
      <c r="C803" s="43" t="s">
        <v>3175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3" t="s">
        <v>3177</v>
      </c>
      <c r="C804" s="43" t="s">
        <v>3177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3" t="s">
        <v>3179</v>
      </c>
      <c r="C805" s="43" t="s">
        <v>3179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3" t="s">
        <v>3181</v>
      </c>
      <c r="C806" s="43" t="s">
        <v>3181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3" t="s">
        <v>3183</v>
      </c>
      <c r="C807" s="43" t="s">
        <v>3183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3" t="s">
        <v>3185</v>
      </c>
      <c r="C808" s="43" t="s">
        <v>3185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3" t="s">
        <v>3187</v>
      </c>
      <c r="C809" s="43" t="s">
        <v>3187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3" t="s">
        <v>3189</v>
      </c>
      <c r="C810" s="43" t="s">
        <v>3189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3" t="s">
        <v>3191</v>
      </c>
      <c r="C811" s="43" t="s">
        <v>3191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3" t="s">
        <v>3193</v>
      </c>
      <c r="C812" s="43" t="s">
        <v>3193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3" t="s">
        <v>3195</v>
      </c>
      <c r="C813" s="43" t="s">
        <v>3195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3" t="s">
        <v>3197</v>
      </c>
      <c r="C814" s="43" t="s">
        <v>3197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3" t="s">
        <v>3199</v>
      </c>
      <c r="C815" s="43" t="s">
        <v>3199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3" t="s">
        <v>3201</v>
      </c>
      <c r="C816" s="43" t="s">
        <v>3201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3" t="s">
        <v>3203</v>
      </c>
      <c r="C817" s="43" t="s">
        <v>3203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3" t="s">
        <v>3205</v>
      </c>
      <c r="C818" s="43" t="s">
        <v>3205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3" t="s">
        <v>3207</v>
      </c>
      <c r="C819" s="43" t="s">
        <v>3207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3" t="s">
        <v>3209</v>
      </c>
      <c r="C820" s="43" t="s">
        <v>3209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3" t="s">
        <v>3211</v>
      </c>
      <c r="C821" s="43" t="s">
        <v>3211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3" t="s">
        <v>2966</v>
      </c>
      <c r="C822" s="43" t="s">
        <v>2967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3" t="s">
        <v>3219</v>
      </c>
      <c r="C823" s="43" t="s">
        <v>3220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3" t="s">
        <v>3216</v>
      </c>
      <c r="C824" s="43" t="s">
        <v>3217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3" t="s">
        <v>3031</v>
      </c>
      <c r="C825" s="43" t="s">
        <v>3032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3" t="s">
        <v>2941</v>
      </c>
      <c r="C826" s="43">
        <v>830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3" t="s">
        <v>2646</v>
      </c>
      <c r="C827" s="43">
        <v>1350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3" t="s">
        <v>2530</v>
      </c>
      <c r="C828" s="43">
        <v>110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3" t="s">
        <v>2478</v>
      </c>
      <c r="C829" s="43">
        <v>100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3" t="s">
        <v>2538</v>
      </c>
      <c r="C830" s="43">
        <v>120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3" t="s">
        <v>2576</v>
      </c>
      <c r="C831" s="43">
        <v>1320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3" t="s">
        <v>2482</v>
      </c>
      <c r="C832" s="43">
        <v>1010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3" t="s">
        <v>2480</v>
      </c>
      <c r="C833" s="43">
        <v>1000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3" t="s">
        <v>2683</v>
      </c>
      <c r="C834" s="43">
        <v>1380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3" t="s">
        <v>2927</v>
      </c>
      <c r="C835" s="43">
        <v>710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984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3" t="s">
        <v>3222</v>
      </c>
      <c r="C836" s="43" t="s">
        <v>3222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3" t="s">
        <v>3224</v>
      </c>
      <c r="C837" s="43" t="s">
        <v>3224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3" t="s">
        <v>3226</v>
      </c>
      <c r="C838" s="43" t="s">
        <v>3226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3" t="s">
        <v>3228</v>
      </c>
      <c r="C839" s="43" t="s">
        <v>3228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3" t="s">
        <v>3230</v>
      </c>
      <c r="C840" s="43" t="s">
        <v>3230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3" t="s">
        <v>3232</v>
      </c>
      <c r="C841" s="43" t="s">
        <v>3232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3" t="s">
        <v>3780</v>
      </c>
      <c r="C842" s="43" t="s">
        <v>3237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3" t="s">
        <v>3267</v>
      </c>
      <c r="C843" s="43" t="s">
        <v>3268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3" t="s">
        <v>3304</v>
      </c>
      <c r="C844" s="43" t="s">
        <v>3305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3" t="s">
        <v>3541</v>
      </c>
      <c r="C845" s="43" t="s">
        <v>3542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3" t="s">
        <v>3578</v>
      </c>
      <c r="C846" s="43" t="s">
        <v>3579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3" t="s">
        <v>3234</v>
      </c>
      <c r="C847" s="43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4" t="s">
        <v>3781</v>
      </c>
      <c r="C848" s="43" t="s">
        <v>3781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3" t="s">
        <v>3783</v>
      </c>
      <c r="C849" s="43" t="s">
        <v>3783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3" t="s">
        <v>3784</v>
      </c>
      <c r="C850" s="43" t="s">
        <v>3784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3" t="s">
        <v>3785</v>
      </c>
      <c r="C851" s="43" t="s">
        <v>3785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3" t="s">
        <v>3786</v>
      </c>
      <c r="C852" s="43" t="s">
        <v>3786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3" t="s">
        <v>3787</v>
      </c>
      <c r="C853" s="43" t="s">
        <v>3787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3" t="s">
        <v>3788</v>
      </c>
      <c r="C854" s="43" t="s">
        <v>3788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3" t="s">
        <v>3789</v>
      </c>
      <c r="C855" s="43" t="s">
        <v>3789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3" t="s">
        <v>3790</v>
      </c>
      <c r="C856" s="43" t="s">
        <v>3790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3" t="s">
        <v>3791</v>
      </c>
      <c r="C857" s="43" t="s">
        <v>3791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3" t="s">
        <v>3792</v>
      </c>
      <c r="C858" s="43" t="s">
        <v>3792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3" t="s">
        <v>3793</v>
      </c>
      <c r="C859" s="43" t="s">
        <v>3793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3" t="s">
        <v>3794</v>
      </c>
      <c r="C860" s="43" t="s">
        <v>3794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3" t="s">
        <v>3795</v>
      </c>
      <c r="C861" s="43" t="s">
        <v>3795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3" t="s">
        <v>3796</v>
      </c>
      <c r="C862" s="43" t="s">
        <v>3796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3" t="s">
        <v>3797</v>
      </c>
      <c r="C863" s="43" t="s">
        <v>3797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3" t="s">
        <v>3798</v>
      </c>
      <c r="C864" s="43" t="s">
        <v>3798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3" t="s">
        <v>3799</v>
      </c>
      <c r="C865" s="43" t="s">
        <v>3799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3" t="s">
        <v>3800</v>
      </c>
      <c r="C866" s="43" t="s">
        <v>3800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3" t="s">
        <v>3801</v>
      </c>
      <c r="C867" s="43" t="s">
        <v>3801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3" t="s">
        <v>3802</v>
      </c>
      <c r="C868" s="43" t="s">
        <v>3802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3" t="s">
        <v>3803</v>
      </c>
      <c r="C869" s="43" t="s">
        <v>3803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3" t="s">
        <v>3804</v>
      </c>
      <c r="C870" s="43" t="s">
        <v>3804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3" t="s">
        <v>3805</v>
      </c>
      <c r="C871" s="43" t="s">
        <v>3805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3" t="s">
        <v>3806</v>
      </c>
      <c r="C872" s="43" t="s">
        <v>3806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3" t="s">
        <v>3807</v>
      </c>
      <c r="C873" s="43" t="s">
        <v>3807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3" t="s">
        <v>3808</v>
      </c>
      <c r="C874" s="43" t="s">
        <v>3808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3" t="s">
        <v>3809</v>
      </c>
      <c r="C875" s="43" t="s">
        <v>3809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3" t="s">
        <v>3811</v>
      </c>
      <c r="C876" s="43" t="s">
        <v>3811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3" t="s">
        <v>3265</v>
      </c>
      <c r="C877" s="43" t="s">
        <v>3265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3" t="s">
        <v>3270</v>
      </c>
      <c r="C878" s="43" t="s">
        <v>3270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3" t="s">
        <v>3272</v>
      </c>
      <c r="C879" s="43" t="s">
        <v>3272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3" t="s">
        <v>3274</v>
      </c>
      <c r="C880" s="43" t="s">
        <v>3274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3" t="s">
        <v>3276</v>
      </c>
      <c r="C881" s="43" t="s">
        <v>3276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3" t="s">
        <v>3278</v>
      </c>
      <c r="C882" s="43" t="s">
        <v>3278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3" t="s">
        <v>3280</v>
      </c>
      <c r="C883" s="43" t="s">
        <v>3280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3" t="s">
        <v>3282</v>
      </c>
      <c r="C884" s="43" t="s">
        <v>3282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3" t="s">
        <v>3284</v>
      </c>
      <c r="C885" s="43" t="s">
        <v>3284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3" t="s">
        <v>3286</v>
      </c>
      <c r="C886" s="43" t="s">
        <v>3286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3" t="s">
        <v>3288</v>
      </c>
      <c r="C887" s="43" t="s">
        <v>3288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3" t="s">
        <v>3290</v>
      </c>
      <c r="C888" s="43" t="s">
        <v>3290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3" t="s">
        <v>3292</v>
      </c>
      <c r="C889" s="43" t="s">
        <v>3292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3" t="s">
        <v>3294</v>
      </c>
      <c r="C890" s="43" t="s">
        <v>3294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3" t="s">
        <v>3296</v>
      </c>
      <c r="C891" s="43" t="s">
        <v>3296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3" t="s">
        <v>3298</v>
      </c>
      <c r="C892" s="43" t="s">
        <v>3298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3" t="s">
        <v>3300</v>
      </c>
      <c r="C893" s="43" t="s">
        <v>3300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3" t="s">
        <v>3302</v>
      </c>
      <c r="C894" s="43" t="s">
        <v>3302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3" t="s">
        <v>3307</v>
      </c>
      <c r="C895" s="43" t="s">
        <v>3307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3" t="s">
        <v>3309</v>
      </c>
      <c r="C896" s="43" t="s">
        <v>3309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3" t="s">
        <v>3311</v>
      </c>
      <c r="C897" s="43" t="s">
        <v>3311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3" t="s">
        <v>3313</v>
      </c>
      <c r="C898" s="43" t="s">
        <v>3313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3" t="s">
        <v>3315</v>
      </c>
      <c r="C899" s="43" t="s">
        <v>3315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3" t="s">
        <v>3317</v>
      </c>
      <c r="C900" s="43" t="s">
        <v>3317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3" t="s">
        <v>3319</v>
      </c>
      <c r="C901" s="43" t="s">
        <v>3319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3" t="s">
        <v>3321</v>
      </c>
      <c r="C902" s="43" t="s">
        <v>3321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3" t="s">
        <v>3323</v>
      </c>
      <c r="C903" s="43" t="s">
        <v>3323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3" t="s">
        <v>3325</v>
      </c>
      <c r="C904" s="43" t="s">
        <v>3325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3" t="s">
        <v>3327</v>
      </c>
      <c r="C905" s="43" t="s">
        <v>3327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3" t="s">
        <v>3329</v>
      </c>
      <c r="C906" s="43" t="s">
        <v>3329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984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3" t="s">
        <v>3331</v>
      </c>
      <c r="C907" s="43" t="s">
        <v>3331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984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3" t="s">
        <v>3333</v>
      </c>
      <c r="C908" s="43" t="s">
        <v>3333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984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3" t="s">
        <v>3335</v>
      </c>
      <c r="C909" s="43" t="s">
        <v>3335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3" t="s">
        <v>3337</v>
      </c>
      <c r="C910" s="43" t="s">
        <v>3337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833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3" t="s">
        <v>3339</v>
      </c>
      <c r="C911" s="43" t="s">
        <v>3339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3844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3" t="s">
        <v>3341</v>
      </c>
      <c r="C912" s="43" t="s">
        <v>3341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3844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3" t="s">
        <v>3343</v>
      </c>
      <c r="C913" s="43" t="s">
        <v>3343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3844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3" t="s">
        <v>3345</v>
      </c>
      <c r="C914" s="43" t="s">
        <v>3345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3" t="s">
        <v>3347</v>
      </c>
      <c r="C915" s="43" t="s">
        <v>3347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3" t="s">
        <v>3349</v>
      </c>
      <c r="C916" s="43" t="s">
        <v>3349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3" t="s">
        <v>3351</v>
      </c>
      <c r="C917" s="43" t="s">
        <v>3351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3" t="s">
        <v>3353</v>
      </c>
      <c r="C918" s="43" t="s">
        <v>3353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3" t="s">
        <v>3355</v>
      </c>
      <c r="C919" s="43" t="s">
        <v>3355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3" t="s">
        <v>3357</v>
      </c>
      <c r="C920" s="43" t="s">
        <v>3357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3" t="s">
        <v>3359</v>
      </c>
      <c r="C921" s="43" t="s">
        <v>3359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3" t="s">
        <v>3361</v>
      </c>
      <c r="C922" s="43" t="s">
        <v>3361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3" t="s">
        <v>3363</v>
      </c>
      <c r="C923" s="43" t="s">
        <v>3363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3" t="s">
        <v>3365</v>
      </c>
      <c r="C924" s="43" t="s">
        <v>3365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3" t="s">
        <v>3367</v>
      </c>
      <c r="C925" s="43" t="s">
        <v>3367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3" t="s">
        <v>3369</v>
      </c>
      <c r="C926" s="43" t="s">
        <v>3369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3" t="s">
        <v>3371</v>
      </c>
      <c r="C927" s="43" t="s">
        <v>3371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3" t="s">
        <v>3373</v>
      </c>
      <c r="C928" s="43" t="s">
        <v>3373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3" t="s">
        <v>3375</v>
      </c>
      <c r="C929" s="43" t="s">
        <v>3375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3" t="s">
        <v>3377</v>
      </c>
      <c r="C930" s="43" t="s">
        <v>3377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3" t="s">
        <v>3379</v>
      </c>
      <c r="C931" s="43" t="s">
        <v>3379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3" t="s">
        <v>3381</v>
      </c>
      <c r="C932" s="43" t="s">
        <v>3381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3" t="s">
        <v>3383</v>
      </c>
      <c r="C933" s="43" t="s">
        <v>3383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3" t="s">
        <v>3385</v>
      </c>
      <c r="C934" s="43" t="s">
        <v>3385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3" t="s">
        <v>3387</v>
      </c>
      <c r="C935" s="43" t="s">
        <v>3387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3" t="s">
        <v>3389</v>
      </c>
      <c r="C936" s="43" t="s">
        <v>3389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3" t="s">
        <v>3391</v>
      </c>
      <c r="C937" s="43" t="s">
        <v>3391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3" t="s">
        <v>3393</v>
      </c>
      <c r="C938" s="43" t="s">
        <v>3393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3" t="s">
        <v>3395</v>
      </c>
      <c r="C939" s="43" t="s">
        <v>3395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3" t="s">
        <v>3397</v>
      </c>
      <c r="C940" s="43" t="s">
        <v>3397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3" t="s">
        <v>3399</v>
      </c>
      <c r="C941" s="43" t="s">
        <v>3399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3" t="s">
        <v>3401</v>
      </c>
      <c r="C942" s="43" t="s">
        <v>3401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3" t="s">
        <v>3403</v>
      </c>
      <c r="C943" s="43" t="s">
        <v>3403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3" t="s">
        <v>3405</v>
      </c>
      <c r="C944" s="43" t="s">
        <v>3405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3" t="s">
        <v>3407</v>
      </c>
      <c r="C945" s="43" t="s">
        <v>3407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3" t="s">
        <v>3409</v>
      </c>
      <c r="C946" s="43" t="s">
        <v>3409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3" t="s">
        <v>3411</v>
      </c>
      <c r="C947" s="43" t="s">
        <v>3411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3" t="s">
        <v>3413</v>
      </c>
      <c r="C948" s="43" t="s">
        <v>3413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3" t="s">
        <v>3415</v>
      </c>
      <c r="C949" s="43" t="s">
        <v>3415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3" t="s">
        <v>3417</v>
      </c>
      <c r="C950" s="43" t="s">
        <v>3417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3" t="s">
        <v>3419</v>
      </c>
      <c r="C951" s="43" t="s">
        <v>3419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3" t="s">
        <v>3421</v>
      </c>
      <c r="C952" s="43" t="s">
        <v>3421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3" t="s">
        <v>3423</v>
      </c>
      <c r="C953" s="43" t="s">
        <v>3423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3" t="s">
        <v>3425</v>
      </c>
      <c r="C954" s="43" t="s">
        <v>3425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3" t="s">
        <v>3427</v>
      </c>
      <c r="C955" s="43" t="s">
        <v>3427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3" t="s">
        <v>3429</v>
      </c>
      <c r="C956" s="43" t="s">
        <v>3429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3" t="s">
        <v>3431</v>
      </c>
      <c r="C957" s="43" t="s">
        <v>3431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3" t="s">
        <v>3433</v>
      </c>
      <c r="C958" s="43" t="s">
        <v>3433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3" t="s">
        <v>3435</v>
      </c>
      <c r="C959" s="43" t="s">
        <v>3435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3" t="s">
        <v>3437</v>
      </c>
      <c r="C960" s="43" t="s">
        <v>3437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3" t="s">
        <v>3439</v>
      </c>
      <c r="C961" s="43" t="s">
        <v>3439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3" t="s">
        <v>3441</v>
      </c>
      <c r="C962" s="43" t="s">
        <v>3441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3" t="s">
        <v>3443</v>
      </c>
      <c r="C963" s="43" t="s">
        <v>3443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3" t="s">
        <v>3445</v>
      </c>
      <c r="C964" s="43" t="s">
        <v>3445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3" t="s">
        <v>3447</v>
      </c>
      <c r="C965" s="43" t="s">
        <v>3447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3" t="s">
        <v>3449</v>
      </c>
      <c r="C966" s="43" t="s">
        <v>3449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3" t="s">
        <v>3451</v>
      </c>
      <c r="C967" s="43" t="s">
        <v>3451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3" t="s">
        <v>3453</v>
      </c>
      <c r="C968" s="43" t="s">
        <v>3453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3" t="s">
        <v>3455</v>
      </c>
      <c r="C969" s="43" t="s">
        <v>3455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3" t="s">
        <v>3457</v>
      </c>
      <c r="C970" s="43" t="s">
        <v>3457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3" t="s">
        <v>3459</v>
      </c>
      <c r="C971" s="43" t="s">
        <v>3459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3" t="s">
        <v>3461</v>
      </c>
      <c r="C972" s="43" t="s">
        <v>3461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3" t="s">
        <v>3463</v>
      </c>
      <c r="C973" s="43" t="s">
        <v>3463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3" t="s">
        <v>3465</v>
      </c>
      <c r="C974" s="43" t="s">
        <v>3465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3" t="s">
        <v>3467</v>
      </c>
      <c r="C975" s="43" t="s">
        <v>3467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3" t="s">
        <v>3469</v>
      </c>
      <c r="C976" s="43" t="s">
        <v>3469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3" t="s">
        <v>3471</v>
      </c>
      <c r="C977" s="43" t="s">
        <v>3471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3" t="s">
        <v>3473</v>
      </c>
      <c r="C978" s="43" t="s">
        <v>3473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3" t="s">
        <v>3475</v>
      </c>
      <c r="C979" s="43" t="s">
        <v>3475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3" t="s">
        <v>3477</v>
      </c>
      <c r="C980" s="43" t="s">
        <v>3477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3" t="s">
        <v>3479</v>
      </c>
      <c r="C981" s="43" t="s">
        <v>3479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3" t="s">
        <v>3481</v>
      </c>
      <c r="C982" s="43" t="s">
        <v>3481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3" t="s">
        <v>3483</v>
      </c>
      <c r="C983" s="43" t="s">
        <v>3483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3" t="s">
        <v>3485</v>
      </c>
      <c r="C984" s="43" t="s">
        <v>3485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3" t="s">
        <v>3487</v>
      </c>
      <c r="C985" s="43" t="s">
        <v>3487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3" t="s">
        <v>3489</v>
      </c>
      <c r="C986" s="43" t="s">
        <v>3489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3" t="s">
        <v>3491</v>
      </c>
      <c r="C987" s="43" t="s">
        <v>3491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3" t="s">
        <v>3493</v>
      </c>
      <c r="C988" s="43" t="s">
        <v>3493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3" t="s">
        <v>3495</v>
      </c>
      <c r="C989" s="43" t="s">
        <v>3495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3" t="s">
        <v>3497</v>
      </c>
      <c r="C990" s="43" t="s">
        <v>3497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3" t="s">
        <v>3499</v>
      </c>
      <c r="C991" s="43" t="s">
        <v>3499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3" t="s">
        <v>3501</v>
      </c>
      <c r="C992" s="43" t="s">
        <v>3501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3" t="s">
        <v>3503</v>
      </c>
      <c r="C993" s="43" t="s">
        <v>3503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3" t="s">
        <v>3505</v>
      </c>
      <c r="C994" s="43" t="s">
        <v>3505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3" t="s">
        <v>3507</v>
      </c>
      <c r="C995" s="43" t="s">
        <v>3507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3" t="s">
        <v>3509</v>
      </c>
      <c r="C996" s="43" t="s">
        <v>3509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3" t="s">
        <v>3511</v>
      </c>
      <c r="C997" s="43" t="s">
        <v>3511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3" t="s">
        <v>3513</v>
      </c>
      <c r="C998" s="43" t="s">
        <v>3513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3" t="s">
        <v>3515</v>
      </c>
      <c r="C999" s="43" t="s">
        <v>3515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3" t="s">
        <v>3517</v>
      </c>
      <c r="C1000" s="43" t="s">
        <v>3517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3" t="s">
        <v>3519</v>
      </c>
      <c r="C1001" s="43" t="s">
        <v>3519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3" t="s">
        <v>3521</v>
      </c>
      <c r="C1002" s="43" t="s">
        <v>3521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3" t="s">
        <v>3523</v>
      </c>
      <c r="C1003" s="43" t="s">
        <v>3523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3" t="s">
        <v>3525</v>
      </c>
      <c r="C1004" s="43" t="s">
        <v>3525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3" t="s">
        <v>3527</v>
      </c>
      <c r="C1005" s="43" t="s">
        <v>3527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3" t="s">
        <v>3529</v>
      </c>
      <c r="C1006" s="43" t="s">
        <v>3529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3" t="s">
        <v>3531</v>
      </c>
      <c r="C1007" s="43" t="s">
        <v>3531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3" t="s">
        <v>3533</v>
      </c>
      <c r="C1008" s="43" t="s">
        <v>3533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3" t="s">
        <v>3535</v>
      </c>
      <c r="C1009" s="43" t="s">
        <v>3535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3" t="s">
        <v>3537</v>
      </c>
      <c r="C1010" s="43" t="s">
        <v>3537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3" t="s">
        <v>3539</v>
      </c>
      <c r="C1011" s="43" t="s">
        <v>3539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3" t="s">
        <v>3544</v>
      </c>
      <c r="C1012" s="43" t="s">
        <v>3544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3" t="s">
        <v>3546</v>
      </c>
      <c r="C1013" s="43" t="s">
        <v>3546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3" t="s">
        <v>3548</v>
      </c>
      <c r="C1014" s="43" t="s">
        <v>3548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3" t="s">
        <v>3550</v>
      </c>
      <c r="C1015" s="43" t="s">
        <v>3550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3" t="s">
        <v>3552</v>
      </c>
      <c r="C1016" s="43" t="s">
        <v>3552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3" t="s">
        <v>3554</v>
      </c>
      <c r="C1017" s="43" t="s">
        <v>3554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3" t="s">
        <v>3556</v>
      </c>
      <c r="C1018" s="43" t="s">
        <v>3556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3" t="s">
        <v>3558</v>
      </c>
      <c r="C1019" s="43" t="s">
        <v>3558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3" t="s">
        <v>3560</v>
      </c>
      <c r="C1020" s="43" t="s">
        <v>3560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3" t="s">
        <v>3562</v>
      </c>
      <c r="C1021" s="43" t="s">
        <v>3562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3" t="s">
        <v>3564</v>
      </c>
      <c r="C1022" s="43" t="s">
        <v>3564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3" t="s">
        <v>3566</v>
      </c>
      <c r="C1023" s="43" t="s">
        <v>3566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3" t="s">
        <v>3568</v>
      </c>
      <c r="C1024" s="43" t="s">
        <v>3568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3" t="s">
        <v>3570</v>
      </c>
      <c r="C1025" s="43" t="s">
        <v>3570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3" t="s">
        <v>3572</v>
      </c>
      <c r="C1026" s="43" t="s">
        <v>3572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3" t="s">
        <v>3574</v>
      </c>
      <c r="C1027" s="43" t="s">
        <v>3574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3" t="s">
        <v>3576</v>
      </c>
      <c r="C1028" s="43" t="s">
        <v>3576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3" t="s">
        <v>3581</v>
      </c>
      <c r="C1029" s="43" t="s">
        <v>3581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3" t="s">
        <v>3583</v>
      </c>
      <c r="C1030" s="43" t="s">
        <v>3583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3" t="s">
        <v>3585</v>
      </c>
      <c r="C1031" s="43" t="s">
        <v>3585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3" t="s">
        <v>3587</v>
      </c>
      <c r="C1032" s="43" t="s">
        <v>3587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3" t="s">
        <v>3589</v>
      </c>
      <c r="C1033" s="43" t="s">
        <v>3589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3" t="s">
        <v>3591</v>
      </c>
      <c r="C1034" s="43" t="s">
        <v>3591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3" t="s">
        <v>3593</v>
      </c>
      <c r="C1035" s="43" t="s">
        <v>3593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3" t="s">
        <v>3595</v>
      </c>
      <c r="C1036" s="43" t="s">
        <v>3595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3" t="s">
        <v>3597</v>
      </c>
      <c r="C1037" s="43" t="s">
        <v>3597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3" t="s">
        <v>3599</v>
      </c>
      <c r="C1038" s="43" t="s">
        <v>3599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3" t="s">
        <v>3601</v>
      </c>
      <c r="C1039" s="43" t="s">
        <v>3601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3" t="s">
        <v>3603</v>
      </c>
      <c r="C1040" s="43" t="s">
        <v>3603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3" t="s">
        <v>3605</v>
      </c>
      <c r="C1041" s="43" t="s">
        <v>3605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3" t="s">
        <v>3607</v>
      </c>
      <c r="C1042" s="43" t="s">
        <v>3607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3" t="s">
        <v>3609</v>
      </c>
      <c r="C1043" s="43" t="s">
        <v>3609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3" t="s">
        <v>3611</v>
      </c>
      <c r="C1044" s="43" t="s">
        <v>3611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3" t="s">
        <v>3613</v>
      </c>
      <c r="C1045" s="43" t="s">
        <v>3613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3" t="s">
        <v>3615</v>
      </c>
      <c r="C1046" s="43" t="s">
        <v>3615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3" t="s">
        <v>3617</v>
      </c>
      <c r="C1047" s="43" t="s">
        <v>3617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3" t="s">
        <v>3619</v>
      </c>
      <c r="C1048" s="43" t="s">
        <v>3619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3" t="s">
        <v>3621</v>
      </c>
      <c r="C1049" s="43" t="s">
        <v>3621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3" t="s">
        <v>3626</v>
      </c>
      <c r="C1050" s="43" t="s">
        <v>3626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3" t="s">
        <v>3628</v>
      </c>
      <c r="C1051" s="43" t="s">
        <v>3628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3" t="s">
        <v>3630</v>
      </c>
      <c r="C1052" s="43" t="s">
        <v>3630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3" t="s">
        <v>3632</v>
      </c>
      <c r="C1053" s="43" t="s">
        <v>3632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3" t="s">
        <v>3634</v>
      </c>
      <c r="C1054" s="43" t="s">
        <v>3634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3" t="s">
        <v>3636</v>
      </c>
      <c r="C1055" s="43" t="s">
        <v>3636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3" t="s">
        <v>3638</v>
      </c>
      <c r="C1056" s="43" t="s">
        <v>3638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3" t="s">
        <v>3640</v>
      </c>
      <c r="C1057" s="43" t="s">
        <v>3640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3" t="s">
        <v>3642</v>
      </c>
      <c r="C1058" s="43" t="s">
        <v>3642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3" t="s">
        <v>3644</v>
      </c>
      <c r="C1059" s="43" t="s">
        <v>3644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3" t="s">
        <v>3646</v>
      </c>
      <c r="C1060" s="43" t="s">
        <v>3646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3" t="s">
        <v>3648</v>
      </c>
      <c r="C1061" s="43" t="s">
        <v>3648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3" t="s">
        <v>3650</v>
      </c>
      <c r="C1062" s="43" t="s">
        <v>3650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3" t="s">
        <v>3652</v>
      </c>
      <c r="C1063" s="43" t="s">
        <v>3652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3" t="s">
        <v>3654</v>
      </c>
      <c r="C1064" s="43" t="s">
        <v>3654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3" t="s">
        <v>3656</v>
      </c>
      <c r="C1065" s="43" t="s">
        <v>3656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3" t="s">
        <v>3658</v>
      </c>
      <c r="C1066" s="43" t="s">
        <v>3658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3" t="s">
        <v>3660</v>
      </c>
      <c r="C1067" s="43" t="s">
        <v>3660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3" t="s">
        <v>3662</v>
      </c>
      <c r="C1068" s="43" t="s">
        <v>3662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3" t="s">
        <v>3664</v>
      </c>
      <c r="C1069" s="43" t="s">
        <v>3664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3" t="s">
        <v>3666</v>
      </c>
      <c r="C1070" s="43" t="s">
        <v>3666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3" t="s">
        <v>3668</v>
      </c>
      <c r="C1071" s="43" t="s">
        <v>3668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3" t="s">
        <v>3670</v>
      </c>
      <c r="C1072" s="43" t="s">
        <v>3670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3" t="s">
        <v>3672</v>
      </c>
      <c r="C1073" s="43" t="s">
        <v>3672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3" t="s">
        <v>3674</v>
      </c>
      <c r="C1074" s="43" t="s">
        <v>3674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3" t="s">
        <v>3676</v>
      </c>
      <c r="C1075" s="43" t="s">
        <v>3676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3" t="s">
        <v>3678</v>
      </c>
      <c r="C1076" s="43" t="s">
        <v>3678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3" t="s">
        <v>3680</v>
      </c>
      <c r="C1077" s="43" t="s">
        <v>3680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3" t="s">
        <v>2981</v>
      </c>
      <c r="C1078" s="43" t="s">
        <v>2982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3" t="s">
        <v>2953</v>
      </c>
      <c r="C1079" s="43">
        <v>950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833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7" t="s">
        <v>2693</v>
      </c>
      <c r="C1080" s="47">
        <v>1400</v>
      </c>
      <c r="D1080" s="2" t="s">
        <v>4052</v>
      </c>
      <c r="E1080" s="2" t="s">
        <v>351</v>
      </c>
      <c r="F1080" s="41" t="str">
        <f>VLOOKUP(Table6[[#This Row],[نام کارشناس دفتر فنی]],Table1[],3,0)</f>
        <v>کارشناس کنترل کیفی و آزمایشگاه</v>
      </c>
      <c r="G1080" s="2" t="s">
        <v>3844</v>
      </c>
      <c r="H1080" s="41" t="str">
        <f>VLOOKUP(Table6[[#This Row],[نام شخص کارشناس نظارت]],Table1[],3,0)</f>
        <v>رئیس آزمایشگاه و کنترل فرایند چادرملو</v>
      </c>
      <c r="I1080" s="41">
        <f>COUNTIF(Table2[کد سیستم],Table6[[#This Row],[کد سیستم]])</f>
        <v>1</v>
      </c>
    </row>
    <row r="1081" spans="1:9" x14ac:dyDescent="0.25">
      <c r="A1081" s="2">
        <v>1080</v>
      </c>
      <c r="B1081" s="48" t="s">
        <v>2929</v>
      </c>
      <c r="C1081" s="48">
        <v>720</v>
      </c>
      <c r="D1081" s="41" t="s">
        <v>4052</v>
      </c>
      <c r="E1081" s="41" t="s">
        <v>351</v>
      </c>
      <c r="F1081" s="41" t="str">
        <f>VLOOKUP(Table6[[#This Row],[نام کارشناس دفتر فنی]],Table1[],3,0)</f>
        <v>کارشناس کنترل کیفی و آزمایشگاه</v>
      </c>
      <c r="G1081" s="41" t="s">
        <v>984</v>
      </c>
      <c r="H1081" s="41" t="str">
        <f>VLOOKUP(Table6[[#This Row],[نام شخص کارشناس نظارت]],Table1[],3,0)</f>
        <v>کارشناس ناظر تولید چادرملو (1)</v>
      </c>
      <c r="I1081" s="41">
        <f>COUNTIF(Table2[کد سیستم],Table6[[#This Row],[کد سیستم]])</f>
        <v>1</v>
      </c>
    </row>
    <row r="1082" spans="1:9" x14ac:dyDescent="0.25">
      <c r="A1082" s="2">
        <v>1081</v>
      </c>
      <c r="B1082" s="48" t="s">
        <v>3022</v>
      </c>
      <c r="C1082" s="48" t="s">
        <v>3023</v>
      </c>
      <c r="D1082" s="41" t="s">
        <v>4052</v>
      </c>
      <c r="E1082" s="41" t="s">
        <v>351</v>
      </c>
      <c r="F1082" s="41" t="str">
        <f>VLOOKUP(Table6[[#This Row],[نام کارشناس دفتر فنی]],Table1[],3,0)</f>
        <v>کارشناس کنترل کیفی و آزمایشگاه</v>
      </c>
      <c r="G1082" s="41" t="s">
        <v>3844</v>
      </c>
      <c r="H1082" s="41" t="str">
        <f>VLOOKUP(Table6[[#This Row],[نام شخص کارشناس نظارت]],Table1[],3,0)</f>
        <v>رئیس آزمایشگاه و کنترل فرایند چادرملو</v>
      </c>
      <c r="I1082" s="41">
        <f>COUNTIF(Table2[کد سیستم],Table6[[#This Row],[کد سیستم]])</f>
        <v>1</v>
      </c>
    </row>
    <row r="1083" spans="1:9" x14ac:dyDescent="0.25">
      <c r="A1083" s="2">
        <v>1082</v>
      </c>
      <c r="B1083" s="48" t="s">
        <v>2560</v>
      </c>
      <c r="C1083" s="48">
        <v>1300</v>
      </c>
      <c r="D1083" s="41" t="s">
        <v>4052</v>
      </c>
      <c r="E1083" s="41" t="s">
        <v>351</v>
      </c>
      <c r="F1083" s="41" t="str">
        <f>VLOOKUP(Table6[[#This Row],[نام کارشناس دفتر فنی]],Table1[],3,0)</f>
        <v>کارشناس کنترل کیفی و آزمایشگاه</v>
      </c>
      <c r="G1083" s="41" t="s">
        <v>3844</v>
      </c>
      <c r="H1083" s="41" t="str">
        <f>VLOOKUP(Table6[[#This Row],[نام شخص کارشناس نظارت]],Table1[],3,0)</f>
        <v>رئیس آزمایشگاه و کنترل فرایند چادرملو</v>
      </c>
      <c r="I1083" s="41">
        <f>COUNTIF(Table2[کد سیستم],Table6[[#This Row],[کد سیستم]])</f>
        <v>1</v>
      </c>
    </row>
    <row r="1084" spans="1:9" x14ac:dyDescent="0.25">
      <c r="A1084" s="2">
        <v>1083</v>
      </c>
      <c r="B1084" s="48" t="s">
        <v>3776</v>
      </c>
      <c r="C1084" s="48">
        <v>1370</v>
      </c>
      <c r="D1084" s="41" t="s">
        <v>4052</v>
      </c>
      <c r="E1084" s="41" t="s">
        <v>351</v>
      </c>
      <c r="F1084" s="41" t="str">
        <f>VLOOKUP(Table6[[#This Row],[نام کارشناس دفتر فنی]],Table1[],3,0)</f>
        <v>کارشناس کنترل کیفی و آزمایشگاه</v>
      </c>
      <c r="G1084" s="41" t="s">
        <v>3844</v>
      </c>
      <c r="H1084" s="41" t="str">
        <f>VLOOKUP(Table6[[#This Row],[نام شخص کارشناس نظارت]],Table1[],3,0)</f>
        <v>رئیس آزمایشگاه و کنترل فرایند چادرملو</v>
      </c>
      <c r="I1084" s="41">
        <f>COUNTIF(Table2[کد سیستم],Table6[[#This Row],[کد سیستم]])</f>
        <v>1</v>
      </c>
    </row>
    <row r="1085" spans="1:9" x14ac:dyDescent="0.25">
      <c r="A1085" s="2">
        <v>1084</v>
      </c>
      <c r="B1085" s="48" t="s">
        <v>3019</v>
      </c>
      <c r="C1085" s="48" t="s">
        <v>3020</v>
      </c>
      <c r="D1085" s="41" t="s">
        <v>4052</v>
      </c>
      <c r="E1085" s="41" t="s">
        <v>351</v>
      </c>
      <c r="F1085" s="41" t="str">
        <f>VLOOKUP(Table6[[#This Row],[نام کارشناس دفتر فنی]],Table1[],3,0)</f>
        <v>کارشناس کنترل کیفی و آزمایشگاه</v>
      </c>
      <c r="G1085" s="41" t="s">
        <v>3844</v>
      </c>
      <c r="H1085" s="41" t="str">
        <f>VLOOKUP(Table6[[#This Row],[نام شخص کارشناس نظارت]],Table1[],3,0)</f>
        <v>رئیس آزمایشگاه و کنترل فرایند چادرملو</v>
      </c>
      <c r="I1085" s="41">
        <f>COUNTIF(Table2[کد سیستم],Table6[[#This Row],[کد سیستم]])</f>
        <v>1</v>
      </c>
    </row>
    <row r="1086" spans="1:9" x14ac:dyDescent="0.25">
      <c r="A1086" s="2">
        <v>1085</v>
      </c>
      <c r="B1086" s="48" t="s">
        <v>2947</v>
      </c>
      <c r="C1086" s="48">
        <v>920</v>
      </c>
      <c r="D1086" s="41" t="s">
        <v>4052</v>
      </c>
      <c r="E1086" s="41" t="s">
        <v>351</v>
      </c>
      <c r="F1086" s="41" t="str">
        <f>VLOOKUP(Table6[[#This Row],[نام کارشناس دفتر فنی]],Table1[],3,0)</f>
        <v>کارشناس کنترل کیفی و آزمایشگاه</v>
      </c>
      <c r="G1086" s="41" t="s">
        <v>833</v>
      </c>
      <c r="H1086" s="41" t="str">
        <f>VLOOKUP(Table6[[#This Row],[نام شخص کارشناس نظارت]],Table1[],3,0)</f>
        <v>کارشناس ناظر تولید چادرملو (4)</v>
      </c>
      <c r="I1086" s="41">
        <f>COUNTIF(Table2[کد سیستم],Table6[[#This Row],[کد سیستم]])</f>
        <v>1</v>
      </c>
    </row>
    <row r="1087" spans="1:9" x14ac:dyDescent="0.25">
      <c r="A1087" s="2">
        <v>1086</v>
      </c>
      <c r="B1087" s="48" t="s">
        <v>2705</v>
      </c>
      <c r="C1087" s="48">
        <v>150</v>
      </c>
      <c r="D1087" s="41" t="s">
        <v>4052</v>
      </c>
      <c r="E1087" s="41" t="s">
        <v>351</v>
      </c>
      <c r="F1087" s="41" t="str">
        <f>VLOOKUP(Table6[[#This Row],[نام کارشناس دفتر فنی]],Table1[],3,0)</f>
        <v>کارشناس کنترل کیفی و آزمایشگاه</v>
      </c>
      <c r="G1087" s="41" t="s">
        <v>3844</v>
      </c>
      <c r="H1087" s="41" t="str">
        <f>VLOOKUP(Table6[[#This Row],[نام شخص کارشناس نظارت]],Table1[],3,0)</f>
        <v>رئیس آزمایشگاه و کنترل فرایند چادرملو</v>
      </c>
      <c r="I1087" s="41">
        <f>COUNTIF(Table2[کد سیستم],Table6[[#This Row],[کد سیستم]])</f>
        <v>1</v>
      </c>
    </row>
    <row r="1088" spans="1:9" x14ac:dyDescent="0.25">
      <c r="A1088" s="2">
        <v>1087</v>
      </c>
      <c r="B1088" s="48" t="s">
        <v>2931</v>
      </c>
      <c r="C1088" s="48">
        <v>730</v>
      </c>
      <c r="D1088" s="41" t="s">
        <v>4052</v>
      </c>
      <c r="E1088" s="41" t="s">
        <v>351</v>
      </c>
      <c r="F1088" s="41" t="str">
        <f>VLOOKUP(Table6[[#This Row],[نام کارشناس دفتر فنی]],Table1[],3,0)</f>
        <v>کارشناس کنترل کیفی و آزمایشگاه</v>
      </c>
      <c r="G1088" s="41" t="s">
        <v>984</v>
      </c>
      <c r="H1088" s="41" t="str">
        <f>VLOOKUP(Table6[[#This Row],[نام شخص کارشناس نظارت]],Table1[],3,0)</f>
        <v>کارشناس ناظر تولید چادرملو (1)</v>
      </c>
      <c r="I1088" s="41">
        <f>COUNTIF(Table2[کد سیستم],Table6[[#This Row],[کد سیستم]])</f>
        <v>1</v>
      </c>
    </row>
    <row r="1089" spans="1:9" x14ac:dyDescent="0.25">
      <c r="A1089" s="2">
        <v>1088</v>
      </c>
      <c r="B1089" s="48" t="s">
        <v>2925</v>
      </c>
      <c r="C1089" s="48">
        <v>700</v>
      </c>
      <c r="D1089" s="41" t="s">
        <v>4052</v>
      </c>
      <c r="E1089" s="41" t="s">
        <v>351</v>
      </c>
      <c r="F1089" s="41" t="str">
        <f>VLOOKUP(Table6[[#This Row],[نام کارشناس دفتر فنی]],Table1[],3,0)</f>
        <v>کارشناس کنترل کیفی و آزمایشگاه</v>
      </c>
      <c r="G1089" s="41" t="s">
        <v>984</v>
      </c>
      <c r="H1089" s="41" t="str">
        <f>VLOOKUP(Table6[[#This Row],[نام شخص کارشناس نظارت]],Table1[],3,0)</f>
        <v>کارشناس ناظر تولید چادرملو (1)</v>
      </c>
      <c r="I1089" s="41">
        <f>COUNTIF(Table2[کد سیستم],Table6[[#This Row],[کد سیستم]])</f>
        <v>1</v>
      </c>
    </row>
    <row r="1090" spans="1:9" x14ac:dyDescent="0.25">
      <c r="A1090" s="2">
        <v>1089</v>
      </c>
      <c r="B1090" s="48" t="s">
        <v>2960</v>
      </c>
      <c r="C1090" s="48" t="s">
        <v>2961</v>
      </c>
      <c r="D1090" s="41" t="s">
        <v>4052</v>
      </c>
      <c r="E1090" s="41" t="s">
        <v>351</v>
      </c>
      <c r="F1090" s="41" t="str">
        <f>VLOOKUP(Table6[[#This Row],[نام کارشناس دفتر فنی]],Table1[],3,0)</f>
        <v>کارشناس کنترل کیفی و آزمایشگاه</v>
      </c>
      <c r="G1090" s="41" t="s">
        <v>3844</v>
      </c>
      <c r="H1090" s="41" t="str">
        <f>VLOOKUP(Table6[[#This Row],[نام شخص کارشناس نظارت]],Table1[],3,0)</f>
        <v>رئیس آزمایشگاه و کنترل فرایند چادرملو</v>
      </c>
      <c r="I1090" s="41">
        <f>COUNTIF(Table2[کد سیستم],Table6[[#This Row],[کد سیستم]])</f>
        <v>1</v>
      </c>
    </row>
    <row r="1091" spans="1:9" x14ac:dyDescent="0.25">
      <c r="A1091" s="2">
        <v>1090</v>
      </c>
      <c r="B1091" s="48" t="s">
        <v>2666</v>
      </c>
      <c r="C1091" s="48">
        <v>1360</v>
      </c>
      <c r="D1091" s="41" t="s">
        <v>4052</v>
      </c>
      <c r="E1091" s="41" t="s">
        <v>351</v>
      </c>
      <c r="F1091" s="41" t="str">
        <f>VLOOKUP(Table6[[#This Row],[نام کارشناس دفتر فنی]],Table1[],3,0)</f>
        <v>کارشناس کنترل کیفی و آزمایشگاه</v>
      </c>
      <c r="G1091" s="41" t="s">
        <v>3844</v>
      </c>
      <c r="H1091" s="41" t="str">
        <f>VLOOKUP(Table6[[#This Row],[نام شخص کارشناس نظارت]],Table1[],3,0)</f>
        <v>رئیس آزمایشگاه و کنترل فرایند چادرملو</v>
      </c>
      <c r="I1091" s="41">
        <f>COUNTIF(Table2[کد سیستم],Table6[[#This Row],[کد سیستم]])</f>
        <v>1</v>
      </c>
    </row>
    <row r="1092" spans="1:9" x14ac:dyDescent="0.25">
      <c r="A1092" s="2">
        <v>1091</v>
      </c>
      <c r="B1092" s="48" t="s">
        <v>3213</v>
      </c>
      <c r="C1092" s="48" t="s">
        <v>3214</v>
      </c>
      <c r="D1092" s="41" t="s">
        <v>4052</v>
      </c>
      <c r="E1092" s="41" t="s">
        <v>351</v>
      </c>
      <c r="F1092" s="41" t="str">
        <f>VLOOKUP(Table6[[#This Row],[نام کارشناس دفتر فنی]],Table1[],3,0)</f>
        <v>کارشناس کنترل کیفی و آزمایشگاه</v>
      </c>
      <c r="G1092" s="41" t="s">
        <v>3844</v>
      </c>
      <c r="H1092" s="41" t="str">
        <f>VLOOKUP(Table6[[#This Row],[نام شخص کارشناس نظارت]],Table1[],3,0)</f>
        <v>رئیس آزمایشگاه و کنترل فرایند چادرملو</v>
      </c>
      <c r="I1092" s="41">
        <f>COUNTIF(Table2[کد سیستم],Table6[[#This Row],[کد سیستم]])</f>
        <v>1</v>
      </c>
    </row>
    <row r="1093" spans="1:9" x14ac:dyDescent="0.25">
      <c r="A1093" s="2">
        <v>1092</v>
      </c>
      <c r="B1093" s="48" t="s">
        <v>2534</v>
      </c>
      <c r="C1093" s="48">
        <v>1110</v>
      </c>
      <c r="D1093" s="41" t="s">
        <v>4052</v>
      </c>
      <c r="E1093" s="41" t="s">
        <v>351</v>
      </c>
      <c r="F1093" s="41" t="str">
        <f>VLOOKUP(Table6[[#This Row],[نام کارشناس دفتر فنی]],Table1[],3,0)</f>
        <v>کارشناس کنترل کیفی و آزمایشگاه</v>
      </c>
      <c r="G1093" s="41" t="s">
        <v>3844</v>
      </c>
      <c r="H1093" s="41" t="str">
        <f>VLOOKUP(Table6[[#This Row],[نام شخص کارشناس نظارت]],Table1[],3,0)</f>
        <v>رئیس آزمایشگاه و کنترل فرایند چادرملو</v>
      </c>
      <c r="I1093" s="41">
        <f>COUNTIF(Table2[کد سیستم],Table6[[#This Row],[کد سیستم]])</f>
        <v>1</v>
      </c>
    </row>
    <row r="1094" spans="1:9" x14ac:dyDescent="0.25">
      <c r="A1094" s="2">
        <v>1093</v>
      </c>
      <c r="B1094" s="48" t="s">
        <v>2532</v>
      </c>
      <c r="C1094" s="48">
        <v>1100</v>
      </c>
      <c r="D1094" s="41" t="s">
        <v>4052</v>
      </c>
      <c r="E1094" s="41" t="s">
        <v>351</v>
      </c>
      <c r="F1094" s="41" t="str">
        <f>VLOOKUP(Table6[[#This Row],[نام کارشناس دفتر فنی]],Table1[],3,0)</f>
        <v>کارشناس کنترل کیفی و آزمایشگاه</v>
      </c>
      <c r="G1094" s="41" t="s">
        <v>3844</v>
      </c>
      <c r="H1094" s="41" t="str">
        <f>VLOOKUP(Table6[[#This Row],[نام شخص کارشناس نظارت]],Table1[],3,0)</f>
        <v>رئیس آزمایشگاه و کنترل فرایند چادرملو</v>
      </c>
      <c r="I1094" s="41">
        <f>COUNTIF(Table2[کد سیستم],Table6[[#This Row],[کد سیستم]])</f>
        <v>1</v>
      </c>
    </row>
    <row r="1095" spans="1:9" x14ac:dyDescent="0.25">
      <c r="A1095" s="2">
        <v>1094</v>
      </c>
      <c r="B1095" s="48" t="s">
        <v>2903</v>
      </c>
      <c r="C1095" s="48">
        <v>200</v>
      </c>
      <c r="D1095" s="41" t="s">
        <v>4052</v>
      </c>
      <c r="E1095" s="41" t="s">
        <v>351</v>
      </c>
      <c r="F1095" s="41" t="str">
        <f>VLOOKUP(Table6[[#This Row],[نام کارشناس دفتر فنی]],Table1[],3,0)</f>
        <v>کارشناس کنترل کیفی و آزمایشگاه</v>
      </c>
      <c r="G1095" s="41" t="s">
        <v>1192</v>
      </c>
      <c r="H1095" s="41" t="str">
        <f>VLOOKUP(Table6[[#This Row],[نام شخص کارشناس نظارت]],Table1[],3,0)</f>
        <v>کارشناس ناظر تولید چادرملو (2)</v>
      </c>
      <c r="I1095" s="41">
        <f>COUNTIF(Table2[کد سیستم],Table6[[#This Row],[کد سیستم]])</f>
        <v>1</v>
      </c>
    </row>
    <row r="1096" spans="1:9" x14ac:dyDescent="0.25">
      <c r="A1096" s="2">
        <v>1095</v>
      </c>
      <c r="B1096" s="48" t="s">
        <v>2905</v>
      </c>
      <c r="C1096" s="48">
        <v>210</v>
      </c>
      <c r="D1096" s="41" t="s">
        <v>4052</v>
      </c>
      <c r="E1096" s="41" t="s">
        <v>351</v>
      </c>
      <c r="F1096" s="41" t="str">
        <f>VLOOKUP(Table6[[#This Row],[نام کارشناس دفتر فنی]],Table1[],3,0)</f>
        <v>کارشناس کنترل کیفی و آزمایشگاه</v>
      </c>
      <c r="G1096" s="41" t="s">
        <v>3844</v>
      </c>
      <c r="H1096" s="41" t="str">
        <f>VLOOKUP(Table6[[#This Row],[نام شخص کارشناس نظارت]],Table1[],3,0)</f>
        <v>رئیس آزمایشگاه و کنترل فرایند چادرملو</v>
      </c>
      <c r="I1096" s="41">
        <f>COUNTIF(Table2[کد سیستم],Table6[[#This Row],[کد سیستم]])</f>
        <v>1</v>
      </c>
    </row>
    <row r="1097" spans="1:9" x14ac:dyDescent="0.25">
      <c r="A1097" s="2">
        <v>1096</v>
      </c>
      <c r="B1097" s="48" t="s">
        <v>2558</v>
      </c>
      <c r="C1097" s="48">
        <v>130</v>
      </c>
      <c r="D1097" s="41" t="s">
        <v>4052</v>
      </c>
      <c r="E1097" s="41" t="s">
        <v>351</v>
      </c>
      <c r="F1097" s="41" t="str">
        <f>VLOOKUP(Table6[[#This Row],[نام کارشناس دفتر فنی]],Table1[],3,0)</f>
        <v>کارشناس کنترل کیفی و آزمایشگاه</v>
      </c>
      <c r="G1097" s="41" t="s">
        <v>3844</v>
      </c>
      <c r="H1097" s="41" t="str">
        <f>VLOOKUP(Table6[[#This Row],[نام شخص کارشناس نظارت]],Table1[],3,0)</f>
        <v>رئیس آزمایشگاه و کنترل فرایند چادرملو</v>
      </c>
      <c r="I1097" s="41">
        <f>COUNTIF(Table2[کد سیستم],Table6[[#This Row],[کد سیستم]])</f>
        <v>1</v>
      </c>
    </row>
    <row r="1098" spans="1:9" x14ac:dyDescent="0.25">
      <c r="A1098" s="2">
        <v>1097</v>
      </c>
      <c r="B1098" s="48" t="s">
        <v>2540</v>
      </c>
      <c r="C1098" s="48">
        <v>1200</v>
      </c>
      <c r="D1098" s="41" t="s">
        <v>4052</v>
      </c>
      <c r="E1098" s="41" t="s">
        <v>351</v>
      </c>
      <c r="F1098" s="41" t="str">
        <f>VLOOKUP(Table6[[#This Row],[نام کارشناس دفتر فنی]],Table1[],3,0)</f>
        <v>کارشناس کنترل کیفی و آزمایشگاه</v>
      </c>
      <c r="G1098" s="41" t="s">
        <v>3844</v>
      </c>
      <c r="H1098" s="41" t="str">
        <f>VLOOKUP(Table6[[#This Row],[نام شخص کارشناس نظارت]],Table1[],3,0)</f>
        <v>رئیس آزمایشگاه و کنترل فرایند چادرملو</v>
      </c>
      <c r="I1098" s="41">
        <f>COUNTIF(Table2[کد سیستم],Table6[[#This Row],[کد سیستم]])</f>
        <v>1</v>
      </c>
    </row>
    <row r="1099" spans="1:9" x14ac:dyDescent="0.25">
      <c r="A1099" s="2">
        <v>1098</v>
      </c>
      <c r="B1099" s="48" t="s">
        <v>2542</v>
      </c>
      <c r="C1099" s="48">
        <v>1210</v>
      </c>
      <c r="D1099" s="41" t="s">
        <v>4052</v>
      </c>
      <c r="E1099" s="41" t="s">
        <v>351</v>
      </c>
      <c r="F1099" s="41" t="str">
        <f>VLOOKUP(Table6[[#This Row],[نام کارشناس دفتر فنی]],Table1[],3,0)</f>
        <v>کارشناس کنترل کیفی و آزمایشگاه</v>
      </c>
      <c r="G1099" s="41" t="s">
        <v>3844</v>
      </c>
      <c r="H1099" s="41" t="str">
        <f>VLOOKUP(Table6[[#This Row],[نام شخص کارشناس نظارت]],Table1[],3,0)</f>
        <v>رئیس آزمایشگاه و کنترل فرایند چادرملو</v>
      </c>
      <c r="I1099" s="41">
        <f>COUNTIF(Table2[کد سیستم],Table6[[#This Row],[کد سیستم]])</f>
        <v>1</v>
      </c>
    </row>
    <row r="1100" spans="1:9" x14ac:dyDescent="0.25">
      <c r="A1100" s="2">
        <v>1099</v>
      </c>
      <c r="B1100" s="48" t="s">
        <v>2707</v>
      </c>
      <c r="C1100" s="48">
        <v>1500</v>
      </c>
      <c r="D1100" s="41" t="s">
        <v>4052</v>
      </c>
      <c r="E1100" s="41" t="s">
        <v>351</v>
      </c>
      <c r="F1100" s="41" t="str">
        <f>VLOOKUP(Table6[[#This Row],[نام کارشناس دفتر فنی]],Table1[],3,0)</f>
        <v>کارشناس کنترل کیفی و آزمایشگاه</v>
      </c>
      <c r="G1100" s="41" t="s">
        <v>3844</v>
      </c>
      <c r="H1100" s="41" t="str">
        <f>VLOOKUP(Table6[[#This Row],[نام شخص کارشناس نظارت]],Table1[],3,0)</f>
        <v>رئیس آزمایشگاه و کنترل فرایند چادرملو</v>
      </c>
      <c r="I1100" s="41">
        <f>COUNTIF(Table2[کد سیستم],Table6[[#This Row],[کد سیستم]])</f>
        <v>1</v>
      </c>
    </row>
    <row r="1101" spans="1:9" x14ac:dyDescent="0.25">
      <c r="A1101" s="2">
        <v>1100</v>
      </c>
      <c r="B1101" s="48" t="s">
        <v>2917</v>
      </c>
      <c r="C1101" s="48">
        <v>520</v>
      </c>
      <c r="D1101" s="41" t="s">
        <v>4052</v>
      </c>
      <c r="E1101" s="41" t="s">
        <v>351</v>
      </c>
      <c r="F1101" s="41" t="str">
        <f>VLOOKUP(Table6[[#This Row],[نام کارشناس دفتر فنی]],Table1[],3,0)</f>
        <v>کارشناس کنترل کیفی و آزمایشگاه</v>
      </c>
      <c r="G1101" s="41" t="s">
        <v>1192</v>
      </c>
      <c r="H1101" s="41" t="str">
        <f>VLOOKUP(Table6[[#This Row],[نام شخص کارشناس نظارت]],Table1[],3,0)</f>
        <v>کارشناس ناظر تولید چادرملو (2)</v>
      </c>
      <c r="I1101" s="41">
        <f>COUNTIF(Table2[کد سیستم],Table6[[#This Row],[کد سیستم]])</f>
        <v>1</v>
      </c>
    </row>
    <row r="1102" spans="1:9" x14ac:dyDescent="0.25">
      <c r="A1102" s="2">
        <v>1101</v>
      </c>
      <c r="B1102" s="48" t="s">
        <v>2913</v>
      </c>
      <c r="C1102" s="48">
        <v>500</v>
      </c>
      <c r="D1102" s="41" t="s">
        <v>4052</v>
      </c>
      <c r="E1102" s="41" t="s">
        <v>351</v>
      </c>
      <c r="F1102" s="41" t="str">
        <f>VLOOKUP(Table6[[#This Row],[نام کارشناس دفتر فنی]],Table1[],3,0)</f>
        <v>کارشناس کنترل کیفی و آزمایشگاه</v>
      </c>
      <c r="G1102" s="41" t="s">
        <v>1192</v>
      </c>
      <c r="H1102" s="41" t="str">
        <f>VLOOKUP(Table6[[#This Row],[نام شخص کارشناس نظارت]],Table1[],3,0)</f>
        <v>کارشناس ناظر تولید چادرملو (2)</v>
      </c>
      <c r="I1102" s="41">
        <f>COUNTIF(Table2[کد سیستم],Table6[[#This Row],[کد سیستم]])</f>
        <v>1</v>
      </c>
    </row>
    <row r="1103" spans="1:9" x14ac:dyDescent="0.25">
      <c r="A1103" s="2">
        <v>1102</v>
      </c>
      <c r="B1103" s="48" t="s">
        <v>3682</v>
      </c>
      <c r="C1103" s="48" t="s">
        <v>3683</v>
      </c>
      <c r="D1103" s="41" t="s">
        <v>4052</v>
      </c>
      <c r="E1103" s="41" t="s">
        <v>351</v>
      </c>
      <c r="F1103" s="41" t="str">
        <f>VLOOKUP(Table6[[#This Row],[نام کارشناس دفتر فنی]],Table1[],3,0)</f>
        <v>کارشناس کنترل کیفی و آزمایشگاه</v>
      </c>
      <c r="G1103" s="41" t="s">
        <v>3844</v>
      </c>
      <c r="H1103" s="41" t="str">
        <f>VLOOKUP(Table6[[#This Row],[نام شخص کارشناس نظارت]],Table1[],3,0)</f>
        <v>رئیس آزمایشگاه و کنترل فرایند چادرملو</v>
      </c>
      <c r="I1103" s="41">
        <f>COUNTIF(Table2[کد سیستم],Table6[[#This Row],[کد سیستم]])</f>
        <v>1</v>
      </c>
    </row>
    <row r="1104" spans="1:9" x14ac:dyDescent="0.25">
      <c r="A1104" s="2">
        <v>1103</v>
      </c>
      <c r="B1104" s="48" t="s">
        <v>2911</v>
      </c>
      <c r="C1104" s="48">
        <v>410</v>
      </c>
      <c r="D1104" s="41" t="s">
        <v>4052</v>
      </c>
      <c r="E1104" s="41" t="s">
        <v>351</v>
      </c>
      <c r="F1104" s="41" t="str">
        <f>VLOOKUP(Table6[[#This Row],[نام کارشناس دفتر فنی]],Table1[],3,0)</f>
        <v>کارشناس کنترل کیفی و آزمایشگاه</v>
      </c>
      <c r="G1104" s="41" t="s">
        <v>3844</v>
      </c>
      <c r="H1104" s="41" t="str">
        <f>VLOOKUP(Table6[[#This Row],[نام شخص کارشناس نظارت]],Table1[],3,0)</f>
        <v>رئیس آزمایشگاه و کنترل فرایند چادرملو</v>
      </c>
      <c r="I1104" s="41">
        <f>COUNTIF(Table2[کد سیستم],Table6[[#This Row],[کد سیستم]])</f>
        <v>1</v>
      </c>
    </row>
    <row r="1105" spans="1:9" x14ac:dyDescent="0.25">
      <c r="A1105" s="2">
        <v>1104</v>
      </c>
      <c r="B1105" s="48" t="s">
        <v>3777</v>
      </c>
      <c r="C1105" s="48">
        <v>400</v>
      </c>
      <c r="D1105" s="41" t="s">
        <v>4052</v>
      </c>
      <c r="E1105" s="41" t="s">
        <v>351</v>
      </c>
      <c r="F1105" s="41" t="str">
        <f>VLOOKUP(Table6[[#This Row],[نام کارشناس دفتر فنی]],Table1[],3,0)</f>
        <v>کارشناس کنترل کیفی و آزمایشگاه</v>
      </c>
      <c r="G1105" s="41" t="s">
        <v>3844</v>
      </c>
      <c r="H1105" s="41" t="str">
        <f>VLOOKUP(Table6[[#This Row],[نام شخص کارشناس نظارت]],Table1[],3,0)</f>
        <v>رئیس آزمایشگاه و کنترل فرایند چادرملو</v>
      </c>
      <c r="I1105" s="41">
        <f>COUNTIF(Table2[کد سیستم],Table6[[#This Row],[کد سیستم]])</f>
        <v>1</v>
      </c>
    </row>
    <row r="1106" spans="1:9" x14ac:dyDescent="0.25">
      <c r="A1106" s="2">
        <v>1105</v>
      </c>
      <c r="B1106" s="48" t="s">
        <v>3002</v>
      </c>
      <c r="C1106" s="48" t="s">
        <v>3003</v>
      </c>
      <c r="D1106" s="41" t="s">
        <v>4052</v>
      </c>
      <c r="E1106" s="41" t="s">
        <v>351</v>
      </c>
      <c r="F1106" s="41" t="str">
        <f>VLOOKUP(Table6[[#This Row],[نام کارشناس دفتر فنی]],Table1[],3,0)</f>
        <v>کارشناس کنترل کیفی و آزمایشگاه</v>
      </c>
      <c r="G1106" s="41" t="s">
        <v>3844</v>
      </c>
      <c r="H1106" s="41" t="str">
        <f>VLOOKUP(Table6[[#This Row],[نام شخص کارشناس نظارت]],Table1[],3,0)</f>
        <v>رئیس آزمایشگاه و کنترل فرایند چادرملو</v>
      </c>
      <c r="I1106" s="41">
        <f>COUNTIF(Table2[کد سیستم],Table6[[#This Row],[کد سیستم]])</f>
        <v>1</v>
      </c>
    </row>
    <row r="1107" spans="1:9" x14ac:dyDescent="0.25">
      <c r="A1107" s="2">
        <v>1106</v>
      </c>
      <c r="B1107" s="48" t="s">
        <v>2923</v>
      </c>
      <c r="C1107" s="48">
        <v>620</v>
      </c>
      <c r="D1107" s="41" t="s">
        <v>4052</v>
      </c>
      <c r="E1107" s="41" t="s">
        <v>351</v>
      </c>
      <c r="F1107" s="41" t="str">
        <f>VLOOKUP(Table6[[#This Row],[نام کارشناس دفتر فنی]],Table1[],3,0)</f>
        <v>کارشناس کنترل کیفی و آزمایشگاه</v>
      </c>
      <c r="G1107" s="41" t="s">
        <v>1192</v>
      </c>
      <c r="H1107" s="41" t="str">
        <f>VLOOKUP(Table6[[#This Row],[نام شخص کارشناس نظارت]],Table1[],3,0)</f>
        <v>کارشناس ناظر تولید چادرملو (2)</v>
      </c>
      <c r="I1107" s="41">
        <f>COUNTIF(Table2[کد سیستم],Table6[[#This Row],[کد سیستم]])</f>
        <v>1</v>
      </c>
    </row>
    <row r="1108" spans="1:9" x14ac:dyDescent="0.25">
      <c r="A1108" s="2">
        <v>1107</v>
      </c>
      <c r="B1108" s="48" t="s">
        <v>2969</v>
      </c>
      <c r="C1108" s="48" t="s">
        <v>2970</v>
      </c>
      <c r="D1108" s="41" t="s">
        <v>4052</v>
      </c>
      <c r="E1108" s="41" t="s">
        <v>351</v>
      </c>
      <c r="F1108" s="41" t="str">
        <f>VLOOKUP(Table6[[#This Row],[نام کارشناس دفتر فنی]],Table1[],3,0)</f>
        <v>کارشناس کنترل کیفی و آزمایشگاه</v>
      </c>
      <c r="G1108" s="41" t="s">
        <v>3844</v>
      </c>
      <c r="H1108" s="41" t="str">
        <f>VLOOKUP(Table6[[#This Row],[نام شخص کارشناس نظارت]],Table1[],3,0)</f>
        <v>رئیس آزمایشگاه و کنترل فرایند چادرملو</v>
      </c>
      <c r="I1108" s="41">
        <f>COUNTIF(Table2[کد سیستم],Table6[[#This Row],[کد سیستم]])</f>
        <v>1</v>
      </c>
    </row>
    <row r="1109" spans="1:9" x14ac:dyDescent="0.25">
      <c r="A1109" s="2">
        <v>1108</v>
      </c>
      <c r="B1109" s="48" t="s">
        <v>3685</v>
      </c>
      <c r="C1109" s="48" t="s">
        <v>3686</v>
      </c>
      <c r="D1109" s="41" t="s">
        <v>4052</v>
      </c>
      <c r="E1109" s="41" t="s">
        <v>351</v>
      </c>
      <c r="F1109" s="41" t="str">
        <f>VLOOKUP(Table6[[#This Row],[نام کارشناس دفتر فنی]],Table1[],3,0)</f>
        <v>کارشناس کنترل کیفی و آزمایشگاه</v>
      </c>
      <c r="G1109" s="41" t="s">
        <v>3844</v>
      </c>
      <c r="H1109" s="41" t="str">
        <f>VLOOKUP(Table6[[#This Row],[نام شخص کارشناس نظارت]],Table1[],3,0)</f>
        <v>رئیس آزمایشگاه و کنترل فرایند چادرملو</v>
      </c>
      <c r="I1109" s="41">
        <f>COUNTIF(Table2[کد سیستم],Table6[[#This Row],[کد سیستم]])</f>
        <v>1</v>
      </c>
    </row>
    <row r="1110" spans="1:9" x14ac:dyDescent="0.25">
      <c r="A1110" s="2">
        <v>1109</v>
      </c>
      <c r="B1110" s="48" t="s">
        <v>2963</v>
      </c>
      <c r="C1110" s="48" t="s">
        <v>2964</v>
      </c>
      <c r="D1110" s="41" t="s">
        <v>4052</v>
      </c>
      <c r="E1110" s="41" t="s">
        <v>351</v>
      </c>
      <c r="F1110" s="41" t="str">
        <f>VLOOKUP(Table6[[#This Row],[نام کارشناس دفتر فنی]],Table1[],3,0)</f>
        <v>کارشناس کنترل کیفی و آزمایشگاه</v>
      </c>
      <c r="G1110" s="41" t="s">
        <v>3844</v>
      </c>
      <c r="H1110" s="41" t="str">
        <f>VLOOKUP(Table6[[#This Row],[نام شخص کارشناس نظارت]],Table1[],3,0)</f>
        <v>رئیس آزمایشگاه و کنترل فرایند چادرملو</v>
      </c>
      <c r="I1110" s="41">
        <f>COUNTIF(Table2[کد سیستم],Table6[[#This Row],[کد سیستم]])</f>
        <v>1</v>
      </c>
    </row>
    <row r="1111" spans="1:9" x14ac:dyDescent="0.25">
      <c r="A1111" s="2">
        <v>1110</v>
      </c>
      <c r="B1111" s="48" t="s">
        <v>2626</v>
      </c>
      <c r="C1111" s="48">
        <v>1330</v>
      </c>
      <c r="D1111" s="41" t="s">
        <v>4052</v>
      </c>
      <c r="E1111" s="41" t="s">
        <v>351</v>
      </c>
      <c r="F1111" s="41" t="str">
        <f>VLOOKUP(Table6[[#This Row],[نام کارشناس دفتر فنی]],Table1[],3,0)</f>
        <v>کارشناس کنترل کیفی و آزمایشگاه</v>
      </c>
      <c r="G1111" s="41" t="s">
        <v>3844</v>
      </c>
      <c r="H1111" s="41" t="str">
        <f>VLOOKUP(Table6[[#This Row],[نام شخص کارشناس نظارت]],Table1[],3,0)</f>
        <v>رئیس آزمایشگاه و کنترل فرایند چادرملو</v>
      </c>
      <c r="I1111" s="41">
        <f>COUNTIF(Table2[کد سیستم],Table6[[#This Row],[کد سیستم]])</f>
        <v>1</v>
      </c>
    </row>
    <row r="1112" spans="1:9" x14ac:dyDescent="0.25">
      <c r="A1112" s="2">
        <v>1111</v>
      </c>
      <c r="B1112" s="48" t="s">
        <v>2939</v>
      </c>
      <c r="C1112" s="48">
        <v>820</v>
      </c>
      <c r="D1112" s="41" t="s">
        <v>4052</v>
      </c>
      <c r="E1112" s="41" t="s">
        <v>351</v>
      </c>
      <c r="F1112" s="41" t="str">
        <f>VLOOKUP(Table6[[#This Row],[نام کارشناس دفتر فنی]],Table1[],3,0)</f>
        <v>کارشناس کنترل کیفی و آزمایشگاه</v>
      </c>
      <c r="G1112" s="41" t="s">
        <v>3844</v>
      </c>
      <c r="H1112" s="41" t="str">
        <f>VLOOKUP(Table6[[#This Row],[نام شخص کارشناس نظارت]],Table1[],3,0)</f>
        <v>رئیس آزمایشگاه و کنترل فرایند چادرملو</v>
      </c>
      <c r="I1112" s="41">
        <f>COUNTIF(Table2[کد سیستم],Table6[[#This Row],[کد سیستم]])</f>
        <v>1</v>
      </c>
    </row>
    <row r="1113" spans="1:9" x14ac:dyDescent="0.25">
      <c r="A1113" s="2">
        <v>1112</v>
      </c>
      <c r="B1113" s="48" t="s">
        <v>2933</v>
      </c>
      <c r="C1113" s="48">
        <v>740</v>
      </c>
      <c r="D1113" s="41" t="s">
        <v>4052</v>
      </c>
      <c r="E1113" s="41" t="s">
        <v>351</v>
      </c>
      <c r="F1113" s="41" t="str">
        <f>VLOOKUP(Table6[[#This Row],[نام کارشناس دفتر فنی]],Table1[],3,0)</f>
        <v>کارشناس کنترل کیفی و آزمایشگاه</v>
      </c>
      <c r="G1113" s="41" t="s">
        <v>984</v>
      </c>
      <c r="H1113" s="41" t="str">
        <f>VLOOKUP(Table6[[#This Row],[نام شخص کارشناس نظارت]],Table1[],3,0)</f>
        <v>کارشناس ناظر تولید چادرملو (1)</v>
      </c>
      <c r="I1113" s="41">
        <f>COUNTIF(Table2[کد سیستم],Table6[[#This Row],[کد سیستم]])</f>
        <v>1</v>
      </c>
    </row>
    <row r="1114" spans="1:9" x14ac:dyDescent="0.25">
      <c r="A1114" s="2">
        <v>1113</v>
      </c>
      <c r="B1114" s="48" t="s">
        <v>2937</v>
      </c>
      <c r="C1114" s="48">
        <v>810</v>
      </c>
      <c r="D1114" s="41" t="s">
        <v>4052</v>
      </c>
      <c r="E1114" s="41" t="s">
        <v>351</v>
      </c>
      <c r="F1114" s="41" t="str">
        <f>VLOOKUP(Table6[[#This Row],[نام کارشناس دفتر فنی]],Table1[],3,0)</f>
        <v>کارشناس کنترل کیفی و آزمایشگاه</v>
      </c>
      <c r="G1114" s="41" t="s">
        <v>3844</v>
      </c>
      <c r="H1114" s="41" t="str">
        <f>VLOOKUP(Table6[[#This Row],[نام شخص کارشناس نظارت]],Table1[],3,0)</f>
        <v>رئیس آزمایشگاه و کنترل فرایند چادرملو</v>
      </c>
      <c r="I1114" s="41">
        <f>COUNTIF(Table2[کد سیستم],Table6[[#This Row],[کد سیستم]])</f>
        <v>1</v>
      </c>
    </row>
    <row r="1115" spans="1:9" x14ac:dyDescent="0.25">
      <c r="A1115" s="2">
        <v>1114</v>
      </c>
      <c r="B1115" s="48" t="s">
        <v>2935</v>
      </c>
      <c r="C1115" s="48">
        <v>800</v>
      </c>
      <c r="D1115" s="41" t="s">
        <v>4052</v>
      </c>
      <c r="E1115" s="41" t="s">
        <v>351</v>
      </c>
      <c r="F1115" s="41" t="str">
        <f>VLOOKUP(Table6[[#This Row],[نام کارشناس دفتر فنی]],Table1[],3,0)</f>
        <v>کارشناس کنترل کیفی و آزمایشگاه</v>
      </c>
      <c r="G1115" s="41" t="s">
        <v>3844</v>
      </c>
      <c r="H1115" s="41" t="str">
        <f>VLOOKUP(Table6[[#This Row],[نام شخص کارشناس نظارت]],Table1[],3,0)</f>
        <v>رئیس آزمایشگاه و کنترل فرایند چادرملو</v>
      </c>
      <c r="I1115" s="41">
        <f>COUNTIF(Table2[کد سیستم],Table6[[#This Row],[کد سیستم]])</f>
        <v>1</v>
      </c>
    </row>
    <row r="1116" spans="1:9" x14ac:dyDescent="0.25">
      <c r="A1116" s="2">
        <v>1115</v>
      </c>
      <c r="B1116" s="48" t="s">
        <v>2996</v>
      </c>
      <c r="C1116" s="48" t="s">
        <v>2997</v>
      </c>
      <c r="D1116" s="41" t="s">
        <v>4052</v>
      </c>
      <c r="E1116" s="41" t="s">
        <v>351</v>
      </c>
      <c r="F1116" s="41" t="str">
        <f>VLOOKUP(Table6[[#This Row],[نام کارشناس دفتر فنی]],Table1[],3,0)</f>
        <v>کارشناس کنترل کیفی و آزمایشگاه</v>
      </c>
      <c r="G1116" s="41" t="s">
        <v>3844</v>
      </c>
      <c r="H1116" s="41" t="str">
        <f>VLOOKUP(Table6[[#This Row],[نام شخص کارشناس نظارت]],Table1[],3,0)</f>
        <v>رئیس آزمایشگاه و کنترل فرایند چادرملو</v>
      </c>
      <c r="I1116" s="41">
        <f>COUNTIF(Table2[کد سیستم],Table6[[#This Row],[کد سیستم]])</f>
        <v>1</v>
      </c>
    </row>
    <row r="1117" spans="1:9" x14ac:dyDescent="0.25">
      <c r="A1117" s="2">
        <v>1116</v>
      </c>
      <c r="B1117" s="48" t="s">
        <v>2685</v>
      </c>
      <c r="C1117" s="48">
        <v>1390</v>
      </c>
      <c r="D1117" s="41" t="s">
        <v>4052</v>
      </c>
      <c r="E1117" s="41" t="s">
        <v>351</v>
      </c>
      <c r="F1117" s="41" t="str">
        <f>VLOOKUP(Table6[[#This Row],[نام کارشناس دفتر فنی]],Table1[],3,0)</f>
        <v>کارشناس کنترل کیفی و آزمایشگاه</v>
      </c>
      <c r="G1117" s="41" t="s">
        <v>3844</v>
      </c>
      <c r="H1117" s="41" t="str">
        <f>VLOOKUP(Table6[[#This Row],[نام شخص کارشناس نظارت]],Table1[],3,0)</f>
        <v>رئیس آزمایشگاه و کنترل فرایند چادرملو</v>
      </c>
      <c r="I1117" s="41">
        <f>COUNTIF(Table2[کد سیستم],Table6[[#This Row],[کد سیستم]])</f>
        <v>1</v>
      </c>
    </row>
    <row r="1118" spans="1:9" x14ac:dyDescent="0.25">
      <c r="A1118" s="2">
        <v>1117</v>
      </c>
      <c r="B1118" s="48" t="s">
        <v>2949</v>
      </c>
      <c r="C1118" s="48">
        <v>930</v>
      </c>
      <c r="D1118" s="41" t="s">
        <v>4052</v>
      </c>
      <c r="E1118" s="41" t="s">
        <v>351</v>
      </c>
      <c r="F1118" s="41" t="str">
        <f>VLOOKUP(Table6[[#This Row],[نام کارشناس دفتر فنی]],Table1[],3,0)</f>
        <v>کارشناس کنترل کیفی و آزمایشگاه</v>
      </c>
      <c r="G1118" s="41" t="s">
        <v>833</v>
      </c>
      <c r="H1118" s="41" t="str">
        <f>VLOOKUP(Table6[[#This Row],[نام شخص کارشناس نظارت]],Table1[],3,0)</f>
        <v>کارشناس ناظر تولید چادرملو (4)</v>
      </c>
      <c r="I1118" s="41">
        <f>COUNTIF(Table2[کد سیستم],Table6[[#This Row],[کد سیستم]])</f>
        <v>1</v>
      </c>
    </row>
    <row r="1119" spans="1:9" x14ac:dyDescent="0.25">
      <c r="A1119" s="2">
        <v>1118</v>
      </c>
      <c r="B1119" s="48" t="s">
        <v>2977</v>
      </c>
      <c r="C1119" s="48" t="s">
        <v>2978</v>
      </c>
      <c r="D1119" s="41" t="s">
        <v>4052</v>
      </c>
      <c r="E1119" s="41" t="s">
        <v>351</v>
      </c>
      <c r="F1119" s="41" t="str">
        <f>VLOOKUP(Table6[[#This Row],[نام کارشناس دفتر فنی]],Table1[],3,0)</f>
        <v>کارشناس کنترل کیفی و آزمایشگاه</v>
      </c>
      <c r="G1119" s="41" t="s">
        <v>3844</v>
      </c>
      <c r="H1119" s="41" t="str">
        <f>VLOOKUP(Table6[[#This Row],[نام شخص کارشناس نظارت]],Table1[],3,0)</f>
        <v>رئیس آزمایشگاه و کنترل فرایند چادرملو</v>
      </c>
      <c r="I1119" s="41">
        <f>COUNTIF(Table2[کد سیستم],Table6[[#This Row],[کد سیستم]])</f>
        <v>1</v>
      </c>
    </row>
    <row r="1120" spans="1:9" x14ac:dyDescent="0.25">
      <c r="A1120" s="2">
        <v>1119</v>
      </c>
      <c r="B1120" s="48" t="s">
        <v>3688</v>
      </c>
      <c r="C1120" s="48" t="s">
        <v>3688</v>
      </c>
      <c r="D1120" s="41" t="s">
        <v>4052</v>
      </c>
      <c r="E1120" s="41" t="s">
        <v>351</v>
      </c>
      <c r="F1120" s="41" t="str">
        <f>VLOOKUP(Table6[[#This Row],[نام کارشناس دفتر فنی]],Table1[],3,0)</f>
        <v>کارشناس کنترل کیفی و آزمایشگاه</v>
      </c>
      <c r="G1120" s="41" t="s">
        <v>3844</v>
      </c>
      <c r="H1120" s="41" t="str">
        <f>VLOOKUP(Table6[[#This Row],[نام شخص کارشناس نظارت]],Table1[],3,0)</f>
        <v>رئیس آزمایشگاه و کنترل فرایند چادرملو</v>
      </c>
      <c r="I1120" s="41">
        <f>COUNTIF(Table2[کد سیستم],Table6[[#This Row],[کد سیستم]])</f>
        <v>1</v>
      </c>
    </row>
    <row r="1121" spans="1:9" x14ac:dyDescent="0.25">
      <c r="A1121" s="2">
        <v>1120</v>
      </c>
      <c r="B1121" s="48" t="s">
        <v>3690</v>
      </c>
      <c r="C1121" s="48" t="s">
        <v>3690</v>
      </c>
      <c r="D1121" s="41" t="s">
        <v>4052</v>
      </c>
      <c r="E1121" s="41" t="s">
        <v>351</v>
      </c>
      <c r="F1121" s="41" t="str">
        <f>VLOOKUP(Table6[[#This Row],[نام کارشناس دفتر فنی]],Table1[],3,0)</f>
        <v>کارشناس کنترل کیفی و آزمایشگاه</v>
      </c>
      <c r="G1121" s="41" t="s">
        <v>3844</v>
      </c>
      <c r="H1121" s="41" t="str">
        <f>VLOOKUP(Table6[[#This Row],[نام شخص کارشناس نظارت]],Table1[],3,0)</f>
        <v>رئیس آزمایشگاه و کنترل فرایند چادرملو</v>
      </c>
      <c r="I1121" s="41">
        <f>COUNTIF(Table2[کد سیستم],Table6[[#This Row],[کد سیستم]])</f>
        <v>1</v>
      </c>
    </row>
    <row r="1122" spans="1:9" x14ac:dyDescent="0.25">
      <c r="A1122" s="2">
        <v>1121</v>
      </c>
      <c r="B1122" s="48" t="s">
        <v>2642</v>
      </c>
      <c r="C1122" s="48">
        <v>1340</v>
      </c>
      <c r="D1122" s="41" t="s">
        <v>4052</v>
      </c>
      <c r="E1122" s="41" t="s">
        <v>351</v>
      </c>
      <c r="F1122" s="41" t="str">
        <f>VLOOKUP(Table6[[#This Row],[نام کارشناس دفتر فنی]],Table1[],3,0)</f>
        <v>کارشناس کنترل کیفی و آزمایشگاه</v>
      </c>
      <c r="G1122" s="41" t="s">
        <v>3844</v>
      </c>
      <c r="H1122" s="41" t="str">
        <f>VLOOKUP(Table6[[#This Row],[نام شخص کارشناس نظارت]],Table1[],3,0)</f>
        <v>رئیس آزمایشگاه و کنترل فرایند چادرملو</v>
      </c>
      <c r="I1122" s="41">
        <f>COUNTIF(Table2[کد سیستم],Table6[[#This Row],[کد سیستم]])</f>
        <v>1</v>
      </c>
    </row>
    <row r="1123" spans="1:9" x14ac:dyDescent="0.25">
      <c r="A1123" s="2">
        <v>1122</v>
      </c>
      <c r="B1123" s="48" t="s">
        <v>2993</v>
      </c>
      <c r="C1123" s="48" t="s">
        <v>2994</v>
      </c>
      <c r="D1123" s="41" t="s">
        <v>4052</v>
      </c>
      <c r="E1123" s="41" t="s">
        <v>351</v>
      </c>
      <c r="F1123" s="41" t="str">
        <f>VLOOKUP(Table6[[#This Row],[نام کارشناس دفتر فنی]],Table1[],3,0)</f>
        <v>کارشناس کنترل کیفی و آزمایشگاه</v>
      </c>
      <c r="G1123" s="41" t="s">
        <v>3844</v>
      </c>
      <c r="H1123" s="41" t="str">
        <f>VLOOKUP(Table6[[#This Row],[نام شخص کارشناس نظارت]],Table1[],3,0)</f>
        <v>رئیس آزمایشگاه و کنترل فرایند چادرملو</v>
      </c>
      <c r="I1123" s="41">
        <f>COUNTIF(Table2[کد سیستم],Table6[[#This Row],[کد سیستم]])</f>
        <v>1</v>
      </c>
    </row>
    <row r="1124" spans="1:9" x14ac:dyDescent="0.25">
      <c r="A1124" s="2">
        <v>1123</v>
      </c>
      <c r="B1124" s="48" t="s">
        <v>2974</v>
      </c>
      <c r="C1124" s="48" t="s">
        <v>2975</v>
      </c>
      <c r="D1124" s="41" t="s">
        <v>4052</v>
      </c>
      <c r="E1124" s="41" t="s">
        <v>351</v>
      </c>
      <c r="F1124" s="41" t="str">
        <f>VLOOKUP(Table6[[#This Row],[نام کارشناس دفتر فنی]],Table1[],3,0)</f>
        <v>کارشناس کنترل کیفی و آزمایشگاه</v>
      </c>
      <c r="G1124" s="41" t="s">
        <v>3844</v>
      </c>
      <c r="H1124" s="41" t="str">
        <f>VLOOKUP(Table6[[#This Row],[نام شخص کارشناس نظارت]],Table1[],3,0)</f>
        <v>رئیس آزمایشگاه و کنترل فرایند چادرملو</v>
      </c>
      <c r="I1124" s="41">
        <f>COUNTIF(Table2[کد سیستم],Table6[[#This Row],[کد سیستم]])</f>
        <v>1</v>
      </c>
    </row>
    <row r="1125" spans="1:9" x14ac:dyDescent="0.25">
      <c r="A1125" s="2">
        <v>1124</v>
      </c>
      <c r="B1125" s="48" t="s">
        <v>2951</v>
      </c>
      <c r="C1125" s="48">
        <v>940</v>
      </c>
      <c r="D1125" s="41" t="s">
        <v>4052</v>
      </c>
      <c r="E1125" s="41" t="s">
        <v>351</v>
      </c>
      <c r="F1125" s="41" t="str">
        <f>VLOOKUP(Table6[[#This Row],[نام کارشناس دفتر فنی]],Table1[],3,0)</f>
        <v>کارشناس کنترل کیفی و آزمایشگاه</v>
      </c>
      <c r="G1125" s="41" t="s">
        <v>833</v>
      </c>
      <c r="H1125" s="41" t="str">
        <f>VLOOKUP(Table6[[#This Row],[نام شخص کارشناس نظارت]],Table1[],3,0)</f>
        <v>کارشناس ناظر تولید چادرملو (4)</v>
      </c>
      <c r="I1125" s="41">
        <f>COUNTIF(Table2[کد سیستم],Table6[[#This Row],[کد سیستم]])</f>
        <v>1</v>
      </c>
    </row>
    <row r="1126" spans="1:9" x14ac:dyDescent="0.25">
      <c r="A1126" s="2">
        <v>1125</v>
      </c>
      <c r="B1126" s="48" t="s">
        <v>2990</v>
      </c>
      <c r="C1126" s="48" t="s">
        <v>2991</v>
      </c>
      <c r="D1126" s="41" t="s">
        <v>4052</v>
      </c>
      <c r="E1126" s="41" t="s">
        <v>351</v>
      </c>
      <c r="F1126" s="41" t="str">
        <f>VLOOKUP(Table6[[#This Row],[نام کارشناس دفتر فنی]],Table1[],3,0)</f>
        <v>کارشناس کنترل کیفی و آزمایشگاه</v>
      </c>
      <c r="G1126" s="41" t="s">
        <v>3844</v>
      </c>
      <c r="H1126" s="41" t="str">
        <f>VLOOKUP(Table6[[#This Row],[نام شخص کارشناس نظارت]],Table1[],3,0)</f>
        <v>رئیس آزمایشگاه و کنترل فرایند چادرملو</v>
      </c>
      <c r="I1126" s="41">
        <f>COUNTIF(Table2[کد سیستم],Table6[[#This Row],[کد سیستم]])</f>
        <v>1</v>
      </c>
    </row>
    <row r="1127" spans="1:9" x14ac:dyDescent="0.25">
      <c r="A1127" s="2">
        <v>1126</v>
      </c>
      <c r="B1127" s="48" t="s">
        <v>3038</v>
      </c>
      <c r="C1127" s="48" t="s">
        <v>3039</v>
      </c>
      <c r="D1127" s="41" t="s">
        <v>4052</v>
      </c>
      <c r="E1127" s="41" t="s">
        <v>351</v>
      </c>
      <c r="F1127" s="41" t="str">
        <f>VLOOKUP(Table6[[#This Row],[نام کارشناس دفتر فنی]],Table1[],3,0)</f>
        <v>کارشناس کنترل کیفی و آزمایشگاه</v>
      </c>
      <c r="G1127" s="41" t="s">
        <v>3844</v>
      </c>
      <c r="H1127" s="41" t="str">
        <f>VLOOKUP(Table6[[#This Row],[نام شخص کارشناس نظارت]],Table1[],3,0)</f>
        <v>رئیس آزمایشگاه و کنترل فرایند چادرملو</v>
      </c>
      <c r="I1127" s="41">
        <f>COUNTIF(Table2[کد سیستم],Table6[[#This Row],[کد سیستم]])</f>
        <v>1</v>
      </c>
    </row>
    <row r="1128" spans="1:9" x14ac:dyDescent="0.25">
      <c r="A1128" s="2">
        <v>1127</v>
      </c>
      <c r="B1128" s="48" t="s">
        <v>2901</v>
      </c>
      <c r="C1128" s="48">
        <v>160</v>
      </c>
      <c r="D1128" s="41" t="s">
        <v>4052</v>
      </c>
      <c r="E1128" s="41" t="s">
        <v>351</v>
      </c>
      <c r="F1128" s="41" t="str">
        <f>VLOOKUP(Table6[[#This Row],[نام کارشناس دفتر فنی]],Table1[],3,0)</f>
        <v>کارشناس کنترل کیفی و آزمایشگاه</v>
      </c>
      <c r="G1128" s="41" t="s">
        <v>3844</v>
      </c>
      <c r="H1128" s="41" t="str">
        <f>VLOOKUP(Table6[[#This Row],[نام شخص کارشناس نظارت]],Table1[],3,0)</f>
        <v>رئیس آزمایشگاه و کنترل فرایند چادرملو</v>
      </c>
      <c r="I1128" s="41">
        <f>COUNTIF(Table2[کد سیستم],Table6[[#This Row],[کد سیستم]])</f>
        <v>1</v>
      </c>
    </row>
    <row r="1129" spans="1:9" x14ac:dyDescent="0.25">
      <c r="A1129" s="2">
        <v>1128</v>
      </c>
      <c r="B1129" s="48" t="s">
        <v>2945</v>
      </c>
      <c r="C1129" s="48">
        <v>910</v>
      </c>
      <c r="D1129" s="41" t="s">
        <v>4052</v>
      </c>
      <c r="E1129" s="41" t="s">
        <v>351</v>
      </c>
      <c r="F1129" s="41" t="str">
        <f>VLOOKUP(Table6[[#This Row],[نام کارشناس دفتر فنی]],Table1[],3,0)</f>
        <v>کارشناس کنترل کیفی و آزمایشگاه</v>
      </c>
      <c r="G1129" s="41" t="s">
        <v>833</v>
      </c>
      <c r="H1129" s="41" t="str">
        <f>VLOOKUP(Table6[[#This Row],[نام شخص کارشناس نظارت]],Table1[],3,0)</f>
        <v>کارشناس ناظر تولید چادرملو (4)</v>
      </c>
      <c r="I1129" s="41">
        <f>COUNTIF(Table2[کد سیستم],Table6[[#This Row],[کد سیستم]])</f>
        <v>1</v>
      </c>
    </row>
    <row r="1130" spans="1:9" x14ac:dyDescent="0.25">
      <c r="A1130" s="2">
        <v>1129</v>
      </c>
      <c r="B1130" s="48" t="s">
        <v>3623</v>
      </c>
      <c r="C1130" s="48" t="s">
        <v>3624</v>
      </c>
      <c r="D1130" s="41" t="s">
        <v>4052</v>
      </c>
      <c r="E1130" s="41" t="s">
        <v>351</v>
      </c>
      <c r="F1130" s="41" t="str">
        <f>VLOOKUP(Table6[[#This Row],[نام کارشناس دفتر فنی]],Table1[],3,0)</f>
        <v>کارشناس کنترل کیفی و آزمایشگاه</v>
      </c>
      <c r="G1130" s="41" t="s">
        <v>3844</v>
      </c>
      <c r="H1130" s="41" t="str">
        <f>VLOOKUP(Table6[[#This Row],[نام شخص کارشناس نظارت]],Table1[],3,0)</f>
        <v>رئیس آزمایشگاه و کنترل فرایند چادرملو</v>
      </c>
      <c r="I1130" s="41">
        <f>COUNTIF(Table2[کد سیستم],Table6[[#This Row],[کد سیستم]])</f>
        <v>1</v>
      </c>
    </row>
    <row r="1131" spans="1:9" x14ac:dyDescent="0.25">
      <c r="A1131" s="2">
        <v>1130</v>
      </c>
      <c r="B1131" s="48" t="s">
        <v>2955</v>
      </c>
      <c r="C1131" s="48" t="s">
        <v>2956</v>
      </c>
      <c r="D1131" s="41" t="s">
        <v>4052</v>
      </c>
      <c r="E1131" s="41" t="s">
        <v>351</v>
      </c>
      <c r="F1131" s="41" t="str">
        <f>VLOOKUP(Table6[[#This Row],[نام کارشناس دفتر فنی]],Table1[],3,0)</f>
        <v>کارشناس کنترل کیفی و آزمایشگاه</v>
      </c>
      <c r="G1131" s="41" t="s">
        <v>3844</v>
      </c>
      <c r="H1131" s="41" t="str">
        <f>VLOOKUP(Table6[[#This Row],[نام شخص کارشناس نظارت]],Table1[],3,0)</f>
        <v>رئیس آزمایشگاه و کنترل فرایند چادرملو</v>
      </c>
      <c r="I1131" s="41">
        <f>COUNTIF(Table2[کد سیستم],Table6[[#This Row],[کد سیستم]])</f>
        <v>1</v>
      </c>
    </row>
    <row r="1132" spans="1:9" x14ac:dyDescent="0.25">
      <c r="A1132" s="2">
        <v>1131</v>
      </c>
      <c r="B1132" s="48" t="s">
        <v>2943</v>
      </c>
      <c r="C1132" s="48">
        <v>900</v>
      </c>
      <c r="D1132" s="41" t="s">
        <v>4052</v>
      </c>
      <c r="E1132" s="41" t="s">
        <v>351</v>
      </c>
      <c r="F1132" s="41" t="str">
        <f>VLOOKUP(Table6[[#This Row],[نام کارشناس دفتر فنی]],Table1[],3,0)</f>
        <v>کارشناس کنترل کیفی و آزمایشگاه</v>
      </c>
      <c r="G1132" s="41" t="s">
        <v>833</v>
      </c>
      <c r="H1132" s="41" t="str">
        <f>VLOOKUP(Table6[[#This Row],[نام شخص کارشناس نظارت]],Table1[],3,0)</f>
        <v>کارشناس ناظر تولید چادرملو (4)</v>
      </c>
      <c r="I1132" s="41">
        <f>COUNTIF(Table2[کد سیستم],Table6[[#This Row],[کد سیستم]])</f>
        <v>1</v>
      </c>
    </row>
    <row r="1133" spans="1:9" x14ac:dyDescent="0.25">
      <c r="A1133" s="2">
        <v>1132</v>
      </c>
      <c r="B1133" s="48" t="s">
        <v>2562</v>
      </c>
      <c r="C1133" s="48">
        <v>1310</v>
      </c>
      <c r="D1133" s="41" t="s">
        <v>4052</v>
      </c>
      <c r="E1133" s="41" t="s">
        <v>351</v>
      </c>
      <c r="F1133" s="41" t="str">
        <f>VLOOKUP(Table6[[#This Row],[نام کارشناس دفتر فنی]],Table1[],3,0)</f>
        <v>کارشناس کنترل کیفی و آزمایشگاه</v>
      </c>
      <c r="G1133" s="41" t="s">
        <v>3844</v>
      </c>
      <c r="H1133" s="41" t="str">
        <f>VLOOKUP(Table6[[#This Row],[نام شخص کارشناس نظارت]],Table1[],3,0)</f>
        <v>رئیس آزمایشگاه و کنترل فرایند چادرملو</v>
      </c>
      <c r="I1133" s="41">
        <f>COUNTIF(Table2[کد سیستم],Table6[[#This Row],[کد سیستم]])</f>
        <v>1</v>
      </c>
    </row>
    <row r="1134" spans="1:9" x14ac:dyDescent="0.25">
      <c r="A1134" s="2">
        <v>1133</v>
      </c>
      <c r="B1134" s="48" t="s">
        <v>2863</v>
      </c>
      <c r="C1134" s="48">
        <v>1580</v>
      </c>
      <c r="D1134" s="41" t="s">
        <v>4052</v>
      </c>
      <c r="E1134" s="41" t="s">
        <v>351</v>
      </c>
      <c r="F1134" s="41" t="str">
        <f>VLOOKUP(Table6[[#This Row],[نام کارشناس دفتر فنی]],Table1[],3,0)</f>
        <v>کارشناس کنترل کیفی و آزمایشگاه</v>
      </c>
      <c r="G1134" s="41" t="s">
        <v>3844</v>
      </c>
      <c r="H1134" s="41" t="str">
        <f>VLOOKUP(Table6[[#This Row],[نام شخص کارشناس نظارت]],Table1[],3,0)</f>
        <v>رئیس آزمایشگاه و کنترل فرایند چادرملو</v>
      </c>
      <c r="I1134" s="41">
        <f>COUNTIF(Table2[کد سیستم],Table6[[#This Row],[کد سیستم]])</f>
        <v>1</v>
      </c>
    </row>
    <row r="1135" spans="1:9" x14ac:dyDescent="0.25">
      <c r="A1135" s="2">
        <v>1134</v>
      </c>
      <c r="B1135" s="48" t="s">
        <v>2807</v>
      </c>
      <c r="C1135" s="48">
        <v>1530</v>
      </c>
      <c r="D1135" s="41" t="s">
        <v>4052</v>
      </c>
      <c r="E1135" s="41" t="s">
        <v>351</v>
      </c>
      <c r="F1135" s="41" t="str">
        <f>VLOOKUP(Table6[[#This Row],[نام کارشناس دفتر فنی]],Table1[],3,0)</f>
        <v>کارشناس کنترل کیفی و آزمایشگاه</v>
      </c>
      <c r="G1135" s="41" t="s">
        <v>3844</v>
      </c>
      <c r="H1135" s="41" t="str">
        <f>VLOOKUP(Table6[[#This Row],[نام شخص کارشناس نظارت]],Table1[],3,0)</f>
        <v>رئیس آزمایشگاه و کنترل فرایند چادرملو</v>
      </c>
      <c r="I1135" s="41">
        <f>COUNTIF(Table2[کد سیستم],Table6[[#This Row],[کد سیستم]])</f>
        <v>1</v>
      </c>
    </row>
    <row r="1136" spans="1:9" x14ac:dyDescent="0.25">
      <c r="A1136" s="2">
        <v>1135</v>
      </c>
      <c r="B1136" s="48" t="s">
        <v>2711</v>
      </c>
      <c r="C1136" s="48">
        <v>1510</v>
      </c>
      <c r="D1136" s="41" t="s">
        <v>4052</v>
      </c>
      <c r="E1136" s="41" t="s">
        <v>351</v>
      </c>
      <c r="F1136" s="41" t="str">
        <f>VLOOKUP(Table6[[#This Row],[نام کارشناس دفتر فنی]],Table1[],3,0)</f>
        <v>کارشناس کنترل کیفی و آزمایشگاه</v>
      </c>
      <c r="G1136" s="41" t="s">
        <v>3844</v>
      </c>
      <c r="H1136" s="41" t="str">
        <f>VLOOKUP(Table6[[#This Row],[نام شخص کارشناس نظارت]],Table1[],3,0)</f>
        <v>رئیس آزمایشگاه و کنترل فرایند چادرملو</v>
      </c>
      <c r="I1136" s="41">
        <f>COUNTIF(Table2[کد سیستم],Table6[[#This Row],[کد سیستم]])</f>
        <v>1</v>
      </c>
    </row>
    <row r="1137" spans="1:9" x14ac:dyDescent="0.25">
      <c r="A1137" s="2">
        <v>1136</v>
      </c>
      <c r="B1137" s="48" t="s">
        <v>2753</v>
      </c>
      <c r="C1137" s="48">
        <v>1520</v>
      </c>
      <c r="D1137" s="41" t="s">
        <v>4052</v>
      </c>
      <c r="E1137" s="41" t="s">
        <v>351</v>
      </c>
      <c r="F1137" s="41" t="str">
        <f>VLOOKUP(Table6[[#This Row],[نام کارشناس دفتر فنی]],Table1[],3,0)</f>
        <v>کارشناس کنترل کیفی و آزمایشگاه</v>
      </c>
      <c r="G1137" s="41" t="s">
        <v>3844</v>
      </c>
      <c r="H1137" s="41" t="str">
        <f>VLOOKUP(Table6[[#This Row],[نام شخص کارشناس نظارت]],Table1[],3,0)</f>
        <v>رئیس آزمایشگاه و کنترل فرایند چادرملو</v>
      </c>
      <c r="I1137" s="41">
        <f>COUNTIF(Table2[کد سیستم],Table6[[#This Row],[کد سیستم]])</f>
        <v>1</v>
      </c>
    </row>
    <row r="1138" spans="1:9" x14ac:dyDescent="0.25">
      <c r="A1138" s="2">
        <v>1137</v>
      </c>
      <c r="B1138" s="48" t="s">
        <v>2871</v>
      </c>
      <c r="C1138" s="48">
        <v>1590</v>
      </c>
      <c r="D1138" s="41" t="s">
        <v>4052</v>
      </c>
      <c r="E1138" s="41" t="s">
        <v>351</v>
      </c>
      <c r="F1138" s="41" t="str">
        <f>VLOOKUP(Table6[[#This Row],[نام کارشناس دفتر فنی]],Table1[],3,0)</f>
        <v>کارشناس کنترل کیفی و آزمایشگاه</v>
      </c>
      <c r="G1138" s="41" t="s">
        <v>3844</v>
      </c>
      <c r="H1138" s="41" t="str">
        <f>VLOOKUP(Table6[[#This Row],[نام شخص کارشناس نظارت]],Table1[],3,0)</f>
        <v>رئیس آزمایشگاه و کنترل فرایند چادرملو</v>
      </c>
      <c r="I1138" s="41">
        <f>COUNTIF(Table2[کد سیستم],Table6[[#This Row],[کد سیستم]])</f>
        <v>1</v>
      </c>
    </row>
    <row r="1139" spans="1:9" x14ac:dyDescent="0.25">
      <c r="A1139" s="2">
        <v>1138</v>
      </c>
      <c r="B1139" s="48" t="s">
        <v>2811</v>
      </c>
      <c r="C1139" s="48">
        <v>1540</v>
      </c>
      <c r="D1139" s="41" t="s">
        <v>4052</v>
      </c>
      <c r="E1139" s="41" t="s">
        <v>351</v>
      </c>
      <c r="F1139" s="41" t="str">
        <f>VLOOKUP(Table6[[#This Row],[نام کارشناس دفتر فنی]],Table1[],3,0)</f>
        <v>کارشناس کنترل کیفی و آزمایشگاه</v>
      </c>
      <c r="G1139" s="41" t="s">
        <v>3844</v>
      </c>
      <c r="H1139" s="41" t="str">
        <f>VLOOKUP(Table6[[#This Row],[نام شخص کارشناس نظارت]],Table1[],3,0)</f>
        <v>رئیس آزمایشگاه و کنترل فرایند چادرملو</v>
      </c>
      <c r="I1139" s="41">
        <f>COUNTIF(Table2[کد سیستم],Table6[[#This Row],[کد سیستم]])</f>
        <v>1</v>
      </c>
    </row>
    <row r="1140" spans="1:9" x14ac:dyDescent="0.25">
      <c r="A1140" s="2">
        <v>1139</v>
      </c>
      <c r="B1140" s="48" t="s">
        <v>2841</v>
      </c>
      <c r="C1140" s="48">
        <v>1570</v>
      </c>
      <c r="D1140" s="41" t="s">
        <v>4052</v>
      </c>
      <c r="E1140" s="41" t="s">
        <v>351</v>
      </c>
      <c r="F1140" s="41" t="str">
        <f>VLOOKUP(Table6[[#This Row],[نام کارشناس دفتر فنی]],Table1[],3,0)</f>
        <v>کارشناس کنترل کیفی و آزمایشگاه</v>
      </c>
      <c r="G1140" s="41" t="s">
        <v>3844</v>
      </c>
      <c r="H1140" s="41" t="str">
        <f>VLOOKUP(Table6[[#This Row],[نام شخص کارشناس نظارت]],Table1[],3,0)</f>
        <v>رئیس آزمایشگاه و کنترل فرایند چادرملو</v>
      </c>
      <c r="I1140" s="41">
        <f>COUNTIF(Table2[کد سیستم],Table6[[#This Row],[کد سیستم]])</f>
        <v>1</v>
      </c>
    </row>
    <row r="1141" spans="1:9" x14ac:dyDescent="0.25">
      <c r="A1141" s="2">
        <v>1140</v>
      </c>
      <c r="B1141" s="48" t="s">
        <v>2817</v>
      </c>
      <c r="C1141" s="48">
        <v>1550</v>
      </c>
      <c r="D1141" s="41" t="s">
        <v>4052</v>
      </c>
      <c r="E1141" s="41" t="s">
        <v>351</v>
      </c>
      <c r="F1141" s="41" t="str">
        <f>VLOOKUP(Table6[[#This Row],[نام کارشناس دفتر فنی]],Table1[],3,0)</f>
        <v>کارشناس کنترل کیفی و آزمایشگاه</v>
      </c>
      <c r="G1141" s="41" t="s">
        <v>3844</v>
      </c>
      <c r="H1141" s="41" t="str">
        <f>VLOOKUP(Table6[[#This Row],[نام شخص کارشناس نظارت]],Table1[],3,0)</f>
        <v>رئیس آزمایشگاه و کنترل فرایند چادرملو</v>
      </c>
      <c r="I1141" s="41">
        <f>COUNTIF(Table2[کد سیستم],Table6[[#This Row],[کد سیستم]])</f>
        <v>1</v>
      </c>
    </row>
    <row r="1142" spans="1:9" x14ac:dyDescent="0.25">
      <c r="A1142" s="2">
        <v>1141</v>
      </c>
      <c r="B1142" s="49" t="s">
        <v>2831</v>
      </c>
      <c r="C1142" s="49">
        <v>1560</v>
      </c>
      <c r="D1142" s="41" t="s">
        <v>4052</v>
      </c>
      <c r="E1142" s="41" t="s">
        <v>351</v>
      </c>
      <c r="F1142" s="41" t="str">
        <f>VLOOKUP(Table6[[#This Row],[نام کارشناس دفتر فنی]],Table1[],3,0)</f>
        <v>کارشناس کنترل کیفی و آزمایشگاه</v>
      </c>
      <c r="G1142" s="41" t="s">
        <v>3844</v>
      </c>
      <c r="H1142" s="41" t="str">
        <f>VLOOKUP(Table6[[#This Row],[نام شخص کارشناس نظارت]],Table1[],3,0)</f>
        <v>رئیس آزمایشگاه و کنترل فرایند چادرملو</v>
      </c>
      <c r="I1142" s="4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43" t="s">
        <v>1536</v>
      </c>
      <c r="C2" s="43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3" t="s">
        <v>1538</v>
      </c>
      <c r="C3" s="43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3" t="s">
        <v>1540</v>
      </c>
      <c r="C4" s="43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3" t="s">
        <v>1542</v>
      </c>
      <c r="C5" s="43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3" t="s">
        <v>1544</v>
      </c>
      <c r="C6" s="43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3" t="s">
        <v>1546</v>
      </c>
      <c r="C7" s="43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3" t="s">
        <v>1548</v>
      </c>
      <c r="C8" s="43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3" t="s">
        <v>1550</v>
      </c>
      <c r="C9" s="43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3" t="s">
        <v>1552</v>
      </c>
      <c r="C10" s="43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3" t="s">
        <v>1554</v>
      </c>
      <c r="C11" s="43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3" t="s">
        <v>1556</v>
      </c>
      <c r="C12" s="43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3" t="s">
        <v>1558</v>
      </c>
      <c r="C13" s="43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3" t="s">
        <v>1560</v>
      </c>
      <c r="C14" s="43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3" t="s">
        <v>1562</v>
      </c>
      <c r="C15" s="43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3" t="s">
        <v>1564</v>
      </c>
      <c r="C16" s="43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3" t="s">
        <v>1566</v>
      </c>
      <c r="C17" s="43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3" t="s">
        <v>1568</v>
      </c>
      <c r="C18" s="43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3" t="s">
        <v>1570</v>
      </c>
      <c r="C19" s="43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3" t="s">
        <v>1572</v>
      </c>
      <c r="C20" s="43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3" t="s">
        <v>1574</v>
      </c>
      <c r="C21" s="43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3" t="s">
        <v>1576</v>
      </c>
      <c r="C22" s="43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3" t="s">
        <v>1578</v>
      </c>
      <c r="C23" s="43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3" t="s">
        <v>1580</v>
      </c>
      <c r="C24" s="43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3" t="s">
        <v>1582</v>
      </c>
      <c r="C25" s="43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3" t="s">
        <v>1584</v>
      </c>
      <c r="C26" s="43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3" t="s">
        <v>1586</v>
      </c>
      <c r="C27" s="43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3" t="s">
        <v>1588</v>
      </c>
      <c r="C28" s="43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3" t="s">
        <v>1590</v>
      </c>
      <c r="C29" s="43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3" t="s">
        <v>1592</v>
      </c>
      <c r="C30" s="43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3" t="s">
        <v>1594</v>
      </c>
      <c r="C31" s="43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3" t="s">
        <v>1596</v>
      </c>
      <c r="C32" s="43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3" t="s">
        <v>1598</v>
      </c>
      <c r="C33" s="43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3" t="s">
        <v>1600</v>
      </c>
      <c r="C34" s="43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3" t="s">
        <v>1602</v>
      </c>
      <c r="C35" s="43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3" t="s">
        <v>1604</v>
      </c>
      <c r="C36" s="43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3" t="s">
        <v>1606</v>
      </c>
      <c r="C37" s="43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3" t="s">
        <v>1608</v>
      </c>
      <c r="C38" s="43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3" t="s">
        <v>1610</v>
      </c>
      <c r="C39" s="43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3" t="s">
        <v>1612</v>
      </c>
      <c r="C40" s="43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3" t="s">
        <v>1614</v>
      </c>
      <c r="C41" s="43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3" t="s">
        <v>1616</v>
      </c>
      <c r="C42" s="43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3" t="s">
        <v>1618</v>
      </c>
      <c r="C43" s="43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3" t="s">
        <v>1620</v>
      </c>
      <c r="C44" s="43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3" t="s">
        <v>1622</v>
      </c>
      <c r="C45" s="43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3" t="s">
        <v>1624</v>
      </c>
      <c r="C46" s="43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3" t="s">
        <v>1626</v>
      </c>
      <c r="C47" s="43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3" t="s">
        <v>1628</v>
      </c>
      <c r="C48" s="43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3" t="s">
        <v>1630</v>
      </c>
      <c r="C49" s="43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3" t="s">
        <v>1632</v>
      </c>
      <c r="C50" s="43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3" t="s">
        <v>1634</v>
      </c>
      <c r="C51" s="43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3" t="s">
        <v>1636</v>
      </c>
      <c r="C52" s="43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3" t="s">
        <v>1638</v>
      </c>
      <c r="C53" s="43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3" t="s">
        <v>1640</v>
      </c>
      <c r="C54" s="43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3" t="s">
        <v>1642</v>
      </c>
      <c r="C55" s="43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3" t="s">
        <v>1644</v>
      </c>
      <c r="C56" s="43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2" t="s">
        <v>3888</v>
      </c>
      <c r="C57" s="42" t="s">
        <v>3888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3" t="s">
        <v>1646</v>
      </c>
      <c r="C58" s="43" t="s">
        <v>1646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3" t="s">
        <v>1648</v>
      </c>
      <c r="C59" s="43" t="s">
        <v>1648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3" t="s">
        <v>1650</v>
      </c>
      <c r="C60" s="43" t="s">
        <v>1650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3" t="s">
        <v>1652</v>
      </c>
      <c r="C61" s="43" t="s">
        <v>1652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3" t="s">
        <v>1654</v>
      </c>
      <c r="C62" s="43" t="s">
        <v>1654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3" t="s">
        <v>1656</v>
      </c>
      <c r="C63" s="43" t="s">
        <v>1656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3" t="s">
        <v>1658</v>
      </c>
      <c r="C64" s="43" t="s">
        <v>1658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3" t="s">
        <v>1660</v>
      </c>
      <c r="C65" s="43" t="s">
        <v>1660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3" t="s">
        <v>1662</v>
      </c>
      <c r="C66" s="43" t="s">
        <v>1662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2" t="s">
        <v>3890</v>
      </c>
      <c r="C67" s="42" t="s">
        <v>3890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3" t="s">
        <v>1664</v>
      </c>
      <c r="C68" s="43" t="s">
        <v>1664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3" t="s">
        <v>1666</v>
      </c>
      <c r="C69" s="43" t="s">
        <v>1666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3" t="s">
        <v>1668</v>
      </c>
      <c r="C70" s="43" t="s">
        <v>1668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3" t="s">
        <v>1670</v>
      </c>
      <c r="C71" s="43" t="s">
        <v>1670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3" t="s">
        <v>1672</v>
      </c>
      <c r="C72" s="43" t="s">
        <v>1672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3" t="s">
        <v>1674</v>
      </c>
      <c r="C73" s="43" t="s">
        <v>1674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3" t="s">
        <v>1676</v>
      </c>
      <c r="C74" s="43" t="s">
        <v>1676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3" t="s">
        <v>1678</v>
      </c>
      <c r="C75" s="43" t="s">
        <v>1678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3" t="s">
        <v>1680</v>
      </c>
      <c r="C76" s="43" t="s">
        <v>1680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3" t="s">
        <v>1682</v>
      </c>
      <c r="C77" s="43" t="s">
        <v>1682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3" t="s">
        <v>1684</v>
      </c>
      <c r="C78" s="43" t="s">
        <v>1684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3" t="s">
        <v>1686</v>
      </c>
      <c r="C79" s="43" t="s">
        <v>1686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3" t="s">
        <v>1688</v>
      </c>
      <c r="C80" s="43" t="s">
        <v>1688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3" t="s">
        <v>1690</v>
      </c>
      <c r="C81" s="43" t="s">
        <v>1690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3" t="s">
        <v>1692</v>
      </c>
      <c r="C82" s="43" t="s">
        <v>1692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3" t="s">
        <v>1694</v>
      </c>
      <c r="C83" s="43" t="s">
        <v>1694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3" t="s">
        <v>1696</v>
      </c>
      <c r="C84" s="43" t="s">
        <v>1696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3" t="s">
        <v>1698</v>
      </c>
      <c r="C85" s="43" t="s">
        <v>1698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3" t="s">
        <v>1700</v>
      </c>
      <c r="C86" s="43" t="s">
        <v>1700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3" t="s">
        <v>1702</v>
      </c>
      <c r="C87" s="43" t="s">
        <v>1702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3" t="s">
        <v>1704</v>
      </c>
      <c r="C88" s="43" t="s">
        <v>1704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3" t="s">
        <v>1706</v>
      </c>
      <c r="C89" s="43" t="s">
        <v>1706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3" t="s">
        <v>1708</v>
      </c>
      <c r="C90" s="43" t="s">
        <v>1708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2" t="s">
        <v>3892</v>
      </c>
      <c r="C91" s="42" t="s">
        <v>3892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3" t="s">
        <v>1710</v>
      </c>
      <c r="C92" s="43" t="s">
        <v>1710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3" t="s">
        <v>1712</v>
      </c>
      <c r="C93" s="43" t="s">
        <v>1712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3" t="s">
        <v>1714</v>
      </c>
      <c r="C94" s="43" t="s">
        <v>1714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3" t="s">
        <v>1716</v>
      </c>
      <c r="C95" s="43" t="s">
        <v>1716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3" t="s">
        <v>1718</v>
      </c>
      <c r="C96" s="43" t="s">
        <v>1718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3" t="s">
        <v>1720</v>
      </c>
      <c r="C97" s="43" t="s">
        <v>1720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3" t="s">
        <v>1722</v>
      </c>
      <c r="C98" s="43" t="s">
        <v>1722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3" t="s">
        <v>1724</v>
      </c>
      <c r="C99" s="43" t="s">
        <v>1724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3" t="s">
        <v>1726</v>
      </c>
      <c r="C100" s="43" t="s">
        <v>1726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3" t="s">
        <v>1728</v>
      </c>
      <c r="C101" s="43" t="s">
        <v>1728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2" t="s">
        <v>4168</v>
      </c>
      <c r="C102" s="42" t="s">
        <v>4168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2" t="s">
        <v>4170</v>
      </c>
      <c r="C103" s="42" t="s">
        <v>4170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2" t="s">
        <v>4172</v>
      </c>
      <c r="C104" s="42" t="s">
        <v>4172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2" t="s">
        <v>4174</v>
      </c>
      <c r="C105" s="42" t="s">
        <v>4174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2" t="s">
        <v>4176</v>
      </c>
      <c r="C106" s="42" t="s">
        <v>4176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2" t="s">
        <v>4178</v>
      </c>
      <c r="C107" s="42" t="s">
        <v>4178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2" t="s">
        <v>4180</v>
      </c>
      <c r="C108" s="42" t="s">
        <v>4180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2" t="s">
        <v>4182</v>
      </c>
      <c r="C109" s="42" t="s">
        <v>4182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2" t="s">
        <v>4184</v>
      </c>
      <c r="C110" s="42" t="s">
        <v>4184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2" t="s">
        <v>4186</v>
      </c>
      <c r="C111" s="42" t="s">
        <v>4186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2" t="s">
        <v>4188</v>
      </c>
      <c r="C112" s="42" t="s">
        <v>4188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2" t="s">
        <v>4190</v>
      </c>
      <c r="C113" s="42" t="s">
        <v>4190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2" t="s">
        <v>4192</v>
      </c>
      <c r="C114" s="42" t="s">
        <v>4192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2" t="s">
        <v>4194</v>
      </c>
      <c r="C115" s="42" t="s">
        <v>4194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2" t="s">
        <v>4196</v>
      </c>
      <c r="C116" s="42" t="s">
        <v>4196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3" t="s">
        <v>1730</v>
      </c>
      <c r="C117" s="43" t="s">
        <v>1730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3" t="s">
        <v>1732</v>
      </c>
      <c r="C118" s="43" t="s">
        <v>1732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3" t="s">
        <v>1734</v>
      </c>
      <c r="C119" s="43" t="s">
        <v>1734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3" t="s">
        <v>1736</v>
      </c>
      <c r="C120" s="43" t="s">
        <v>1736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3" t="s">
        <v>1738</v>
      </c>
      <c r="C121" s="43" t="s">
        <v>1738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3" t="s">
        <v>1740</v>
      </c>
      <c r="C122" s="43" t="s">
        <v>1740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3" t="s">
        <v>1742</v>
      </c>
      <c r="C123" s="43" t="s">
        <v>1742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3" t="s">
        <v>1744</v>
      </c>
      <c r="C124" s="43" t="s">
        <v>1744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3" t="s">
        <v>1746</v>
      </c>
      <c r="C125" s="43" t="s">
        <v>1746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3" t="s">
        <v>1748</v>
      </c>
      <c r="C126" s="43" t="s">
        <v>1748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3" t="s">
        <v>1750</v>
      </c>
      <c r="C127" s="43" t="s">
        <v>1750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3" t="s">
        <v>1752</v>
      </c>
      <c r="C128" s="43" t="s">
        <v>1752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3" t="s">
        <v>1754</v>
      </c>
      <c r="C129" s="43" t="s">
        <v>1754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3" t="s">
        <v>1756</v>
      </c>
      <c r="C130" s="43" t="s">
        <v>1756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3" t="s">
        <v>1758</v>
      </c>
      <c r="C131" s="43" t="s">
        <v>1758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3" t="s">
        <v>1760</v>
      </c>
      <c r="C132" s="43" t="s">
        <v>1760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3" t="s">
        <v>1762</v>
      </c>
      <c r="C133" s="43" t="s">
        <v>1762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3" t="s">
        <v>1764</v>
      </c>
      <c r="C134" s="43" t="s">
        <v>1764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3" t="s">
        <v>1766</v>
      </c>
      <c r="C135" s="43" t="s">
        <v>1766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3" t="s">
        <v>1768</v>
      </c>
      <c r="C136" s="43" t="s">
        <v>1768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3" t="s">
        <v>1770</v>
      </c>
      <c r="C137" s="43" t="s">
        <v>1770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3" t="s">
        <v>1772</v>
      </c>
      <c r="C138" s="43" t="s">
        <v>1772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3" t="s">
        <v>1774</v>
      </c>
      <c r="C139" s="43" t="s">
        <v>1774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3" t="s">
        <v>1776</v>
      </c>
      <c r="C140" s="43" t="s">
        <v>1776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3" t="s">
        <v>1778</v>
      </c>
      <c r="C141" s="43" t="s">
        <v>1778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3" t="s">
        <v>1780</v>
      </c>
      <c r="C142" s="43" t="s">
        <v>1780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3" t="s">
        <v>1782</v>
      </c>
      <c r="C143" s="43" t="s">
        <v>1782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3" t="s">
        <v>1784</v>
      </c>
      <c r="C144" s="43" t="s">
        <v>1784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3" t="s">
        <v>1786</v>
      </c>
      <c r="C145" s="43" t="s">
        <v>1786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3" t="s">
        <v>1788</v>
      </c>
      <c r="C146" s="43" t="s">
        <v>1788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3" t="s">
        <v>1790</v>
      </c>
      <c r="C147" s="43" t="s">
        <v>1790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3" t="s">
        <v>1792</v>
      </c>
      <c r="C148" s="43" t="s">
        <v>1792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3" t="s">
        <v>1794</v>
      </c>
      <c r="C149" s="43" t="s">
        <v>1794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3" t="s">
        <v>1796</v>
      </c>
      <c r="C150" s="43" t="s">
        <v>1796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3" t="s">
        <v>1798</v>
      </c>
      <c r="C151" s="43" t="s">
        <v>1798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3" t="s">
        <v>1800</v>
      </c>
      <c r="C152" s="43" t="s">
        <v>1800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3" t="s">
        <v>1802</v>
      </c>
      <c r="C153" s="43" t="s">
        <v>1802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3" t="s">
        <v>1804</v>
      </c>
      <c r="C154" s="43" t="s">
        <v>1804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3" t="s">
        <v>1806</v>
      </c>
      <c r="C155" s="43" t="s">
        <v>1806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3" t="s">
        <v>1808</v>
      </c>
      <c r="C156" s="43" t="s">
        <v>1808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3" t="s">
        <v>1810</v>
      </c>
      <c r="C157" s="43" t="s">
        <v>1810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3" t="s">
        <v>1812</v>
      </c>
      <c r="C158" s="43" t="s">
        <v>1812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3" t="s">
        <v>1814</v>
      </c>
      <c r="C159" s="43" t="s">
        <v>1814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3" t="s">
        <v>1816</v>
      </c>
      <c r="C160" s="43" t="s">
        <v>1816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3" t="s">
        <v>1818</v>
      </c>
      <c r="C161" s="43" t="s">
        <v>1818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3" t="s">
        <v>1820</v>
      </c>
      <c r="C162" s="43" t="s">
        <v>1820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3" t="s">
        <v>1822</v>
      </c>
      <c r="C163" s="43" t="s">
        <v>1822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3" t="s">
        <v>1824</v>
      </c>
      <c r="C164" s="43" t="s">
        <v>1824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3" t="s">
        <v>1826</v>
      </c>
      <c r="C165" s="43" t="s">
        <v>1826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3" t="s">
        <v>1828</v>
      </c>
      <c r="C166" s="43" t="s">
        <v>1828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3" t="s">
        <v>1830</v>
      </c>
      <c r="C167" s="43" t="s">
        <v>1830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3" t="s">
        <v>1832</v>
      </c>
      <c r="C168" s="43" t="s">
        <v>1832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3" t="s">
        <v>1834</v>
      </c>
      <c r="C169" s="43" t="s">
        <v>1834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3" t="s">
        <v>1836</v>
      </c>
      <c r="C170" s="43" t="s">
        <v>1836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3" t="s">
        <v>1838</v>
      </c>
      <c r="C171" s="43" t="s">
        <v>1838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3" t="s">
        <v>1840</v>
      </c>
      <c r="C172" s="43" t="s">
        <v>1840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3" t="s">
        <v>1842</v>
      </c>
      <c r="C173" s="43" t="s">
        <v>1842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3" t="s">
        <v>1844</v>
      </c>
      <c r="C174" s="43" t="s">
        <v>1844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3" t="s">
        <v>1846</v>
      </c>
      <c r="C175" s="43" t="s">
        <v>1846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3" t="s">
        <v>1848</v>
      </c>
      <c r="C176" s="43" t="s">
        <v>1848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3" t="s">
        <v>1850</v>
      </c>
      <c r="C177" s="43" t="s">
        <v>1850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3" t="s">
        <v>1852</v>
      </c>
      <c r="C178" s="43" t="s">
        <v>1852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3" t="s">
        <v>1854</v>
      </c>
      <c r="C179" s="43" t="s">
        <v>1854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3" t="s">
        <v>1856</v>
      </c>
      <c r="C180" s="43" t="s">
        <v>1856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2" t="s">
        <v>3894</v>
      </c>
      <c r="C181" s="42" t="s">
        <v>3894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2" t="s">
        <v>3896</v>
      </c>
      <c r="C182" s="42" t="s">
        <v>3896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2" t="s">
        <v>3898</v>
      </c>
      <c r="C183" s="42" t="s">
        <v>3898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2" t="s">
        <v>3900</v>
      </c>
      <c r="C184" s="42" t="s">
        <v>3900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2" t="s">
        <v>3902</v>
      </c>
      <c r="C185" s="42" t="s">
        <v>3902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2" t="s">
        <v>3904</v>
      </c>
      <c r="C186" s="42" t="s">
        <v>3904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2" t="s">
        <v>3906</v>
      </c>
      <c r="C187" s="42" t="s">
        <v>3906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2" t="s">
        <v>3908</v>
      </c>
      <c r="C188" s="42" t="s">
        <v>3908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3" t="s">
        <v>1858</v>
      </c>
      <c r="C189" s="43" t="s">
        <v>1858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3" t="s">
        <v>1860</v>
      </c>
      <c r="C190" s="43" t="s">
        <v>1860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3" t="s">
        <v>1862</v>
      </c>
      <c r="C191" s="43" t="s">
        <v>1862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3" t="s">
        <v>1864</v>
      </c>
      <c r="C192" s="43" t="s">
        <v>1864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3" t="s">
        <v>1866</v>
      </c>
      <c r="C193" s="43" t="s">
        <v>1866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3" t="s">
        <v>1868</v>
      </c>
      <c r="C194" s="43" t="s">
        <v>1868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3" t="s">
        <v>1870</v>
      </c>
      <c r="C195" s="43" t="s">
        <v>1870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3" t="s">
        <v>1872</v>
      </c>
      <c r="C196" s="43" t="s">
        <v>1872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3" t="s">
        <v>1874</v>
      </c>
      <c r="C197" s="43" t="s">
        <v>1874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3" t="s">
        <v>1876</v>
      </c>
      <c r="C198" s="43" t="s">
        <v>1876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3" t="s">
        <v>1878</v>
      </c>
      <c r="C199" s="43" t="s">
        <v>1878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3" t="s">
        <v>1880</v>
      </c>
      <c r="C200" s="43" t="s">
        <v>1880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3" t="s">
        <v>1882</v>
      </c>
      <c r="C201" s="43" t="s">
        <v>1882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3" t="s">
        <v>1884</v>
      </c>
      <c r="C202" s="43" t="s">
        <v>1884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3" t="s">
        <v>1886</v>
      </c>
      <c r="C203" s="43" t="s">
        <v>1886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3" t="s">
        <v>1888</v>
      </c>
      <c r="C204" s="43" t="s">
        <v>1888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3" t="s">
        <v>1890</v>
      </c>
      <c r="C205" s="43" t="s">
        <v>1890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3" t="s">
        <v>1892</v>
      </c>
      <c r="C206" s="43" t="s">
        <v>1892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3" t="s">
        <v>1894</v>
      </c>
      <c r="C207" s="43" t="s">
        <v>1894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3" t="s">
        <v>1896</v>
      </c>
      <c r="C208" s="43" t="s">
        <v>1896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3" t="s">
        <v>1898</v>
      </c>
      <c r="C209" s="43" t="s">
        <v>1898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3" t="s">
        <v>1900</v>
      </c>
      <c r="C210" s="43" t="s">
        <v>1900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3" t="s">
        <v>1902</v>
      </c>
      <c r="C211" s="43" t="s">
        <v>1902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3" t="s">
        <v>1904</v>
      </c>
      <c r="C212" s="43" t="s">
        <v>1904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3" t="s">
        <v>1906</v>
      </c>
      <c r="C213" s="43" t="s">
        <v>1906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3" t="s">
        <v>1908</v>
      </c>
      <c r="C214" s="43" t="s">
        <v>1908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3" t="s">
        <v>1910</v>
      </c>
      <c r="C215" s="43" t="s">
        <v>1910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3" t="s">
        <v>1912</v>
      </c>
      <c r="C216" s="43" t="s">
        <v>1912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3" t="s">
        <v>1914</v>
      </c>
      <c r="C217" s="43" t="s">
        <v>1914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3" t="s">
        <v>3813</v>
      </c>
      <c r="C218" s="43" t="s">
        <v>3813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3" t="s">
        <v>1916</v>
      </c>
      <c r="C219" s="43" t="s">
        <v>1916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3" t="s">
        <v>1918</v>
      </c>
      <c r="C220" s="43" t="s">
        <v>1918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3" t="s">
        <v>1920</v>
      </c>
      <c r="C221" s="43" t="s">
        <v>1920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3" t="s">
        <v>1922</v>
      </c>
      <c r="C222" s="43" t="s">
        <v>1922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3" t="s">
        <v>1924</v>
      </c>
      <c r="C223" s="43" t="s">
        <v>1924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3" t="s">
        <v>1926</v>
      </c>
      <c r="C224" s="43" t="s">
        <v>1926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3" t="s">
        <v>1928</v>
      </c>
      <c r="C225" s="43" t="s">
        <v>1928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3" t="s">
        <v>1930</v>
      </c>
      <c r="C226" s="43" t="s">
        <v>1930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3" t="s">
        <v>1932</v>
      </c>
      <c r="C227" s="43" t="s">
        <v>1932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3" t="s">
        <v>1934</v>
      </c>
      <c r="C228" s="43" t="s">
        <v>1934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3" t="s">
        <v>1936</v>
      </c>
      <c r="C229" s="43" t="s">
        <v>1936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3" t="s">
        <v>1938</v>
      </c>
      <c r="C230" s="43" t="s">
        <v>1938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3" t="s">
        <v>1940</v>
      </c>
      <c r="C231" s="43" t="s">
        <v>1940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3" t="s">
        <v>1942</v>
      </c>
      <c r="C232" s="43" t="s">
        <v>1942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3" t="s">
        <v>1944</v>
      </c>
      <c r="C233" s="43" t="s">
        <v>1944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3" t="s">
        <v>1946</v>
      </c>
      <c r="C234" s="43" t="s">
        <v>1946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3" t="s">
        <v>1948</v>
      </c>
      <c r="C235" s="43" t="s">
        <v>1948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3" t="s">
        <v>1950</v>
      </c>
      <c r="C236" s="43" t="s">
        <v>1950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3" t="s">
        <v>1952</v>
      </c>
      <c r="C237" s="43" t="s">
        <v>1952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3" t="s">
        <v>1954</v>
      </c>
      <c r="C238" s="43" t="s">
        <v>1954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3" t="s">
        <v>1956</v>
      </c>
      <c r="C239" s="43" t="s">
        <v>1956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3" t="s">
        <v>1958</v>
      </c>
      <c r="C240" s="43" t="s">
        <v>1958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3" t="s">
        <v>1960</v>
      </c>
      <c r="C241" s="43" t="s">
        <v>1960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3" t="s">
        <v>1962</v>
      </c>
      <c r="C242" s="43" t="s">
        <v>1962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3" t="s">
        <v>1964</v>
      </c>
      <c r="C243" s="43" t="s">
        <v>1964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3" t="s">
        <v>1966</v>
      </c>
      <c r="C244" s="43" t="s">
        <v>1966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3" t="s">
        <v>1968</v>
      </c>
      <c r="C245" s="43" t="s">
        <v>1968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3" t="s">
        <v>1970</v>
      </c>
      <c r="C246" s="43" t="s">
        <v>1970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3" t="s">
        <v>1972</v>
      </c>
      <c r="C247" s="43" t="s">
        <v>1972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3" t="s">
        <v>1974</v>
      </c>
      <c r="C248" s="43" t="s">
        <v>1974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3" t="s">
        <v>1976</v>
      </c>
      <c r="C249" s="43" t="s">
        <v>1976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3" t="s">
        <v>1978</v>
      </c>
      <c r="C250" s="43" t="s">
        <v>1978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3" t="s">
        <v>1980</v>
      </c>
      <c r="C251" s="43" t="s">
        <v>1980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2" t="s">
        <v>3910</v>
      </c>
      <c r="C252" s="42" t="s">
        <v>3910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3" t="s">
        <v>1982</v>
      </c>
      <c r="C253" s="43" t="s">
        <v>1982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3" t="s">
        <v>1984</v>
      </c>
      <c r="C254" s="43" t="s">
        <v>1984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3" t="s">
        <v>1986</v>
      </c>
      <c r="C255" s="43" t="s">
        <v>1986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3" t="s">
        <v>1988</v>
      </c>
      <c r="C256" s="43" t="s">
        <v>1988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3" t="s">
        <v>1990</v>
      </c>
      <c r="C257" s="43" t="s">
        <v>1990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3" t="s">
        <v>1992</v>
      </c>
      <c r="C258" s="43" t="s">
        <v>1992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3" t="s">
        <v>1994</v>
      </c>
      <c r="C259" s="43" t="s">
        <v>1994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3" t="s">
        <v>1996</v>
      </c>
      <c r="C260" s="43" t="s">
        <v>1996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3" t="s">
        <v>1998</v>
      </c>
      <c r="C261" s="43" t="s">
        <v>1998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3" t="s">
        <v>2000</v>
      </c>
      <c r="C262" s="43" t="s">
        <v>2000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3" t="s">
        <v>2002</v>
      </c>
      <c r="C263" s="43" t="s">
        <v>2002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3" t="s">
        <v>2004</v>
      </c>
      <c r="C264" s="43" t="s">
        <v>2004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3" t="s">
        <v>2006</v>
      </c>
      <c r="C265" s="43" t="s">
        <v>2006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3" t="s">
        <v>2008</v>
      </c>
      <c r="C266" s="43" t="s">
        <v>2008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3" t="s">
        <v>2010</v>
      </c>
      <c r="C267" s="43" t="s">
        <v>2010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3" t="s">
        <v>2012</v>
      </c>
      <c r="C268" s="43" t="s">
        <v>2012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3" t="s">
        <v>2014</v>
      </c>
      <c r="C269" s="43" t="s">
        <v>2014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3" t="s">
        <v>2016</v>
      </c>
      <c r="C270" s="43" t="s">
        <v>2016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3" t="s">
        <v>2018</v>
      </c>
      <c r="C271" s="43" t="s">
        <v>2018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3" t="s">
        <v>2020</v>
      </c>
      <c r="C272" s="43" t="s">
        <v>2020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3" t="s">
        <v>2022</v>
      </c>
      <c r="C273" s="43" t="s">
        <v>2022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3" t="s">
        <v>2024</v>
      </c>
      <c r="C274" s="43" t="s">
        <v>2024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3" t="s">
        <v>2026</v>
      </c>
      <c r="C275" s="43" t="s">
        <v>2026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3" t="s">
        <v>2028</v>
      </c>
      <c r="C276" s="43" t="s">
        <v>2028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3" t="s">
        <v>2030</v>
      </c>
      <c r="C277" s="43" t="s">
        <v>2030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3" t="s">
        <v>2032</v>
      </c>
      <c r="C278" s="43" t="s">
        <v>2032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3" t="s">
        <v>2034</v>
      </c>
      <c r="C279" s="43" t="s">
        <v>2034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3" t="s">
        <v>2036</v>
      </c>
      <c r="C280" s="43" t="s">
        <v>2036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3" t="s">
        <v>2038</v>
      </c>
      <c r="C281" s="43" t="s">
        <v>2038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3" t="s">
        <v>2040</v>
      </c>
      <c r="C282" s="43" t="s">
        <v>2040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2" t="s">
        <v>3912</v>
      </c>
      <c r="C283" s="42" t="s">
        <v>3912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3" t="s">
        <v>2042</v>
      </c>
      <c r="C284" s="43" t="s">
        <v>2042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3" t="s">
        <v>2044</v>
      </c>
      <c r="C285" s="43" t="s">
        <v>2044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3" t="s">
        <v>2046</v>
      </c>
      <c r="C286" s="43" t="s">
        <v>2046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3" t="s">
        <v>2048</v>
      </c>
      <c r="C287" s="43" t="s">
        <v>2048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3" t="s">
        <v>2050</v>
      </c>
      <c r="C288" s="43" t="s">
        <v>2050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3" t="s">
        <v>2052</v>
      </c>
      <c r="C289" s="43" t="s">
        <v>2052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3" t="s">
        <v>2054</v>
      </c>
      <c r="C290" s="43" t="s">
        <v>2054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3" t="s">
        <v>2056</v>
      </c>
      <c r="C291" s="43" t="s">
        <v>2056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3" t="s">
        <v>2058</v>
      </c>
      <c r="C292" s="43" t="s">
        <v>2058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3" t="s">
        <v>2060</v>
      </c>
      <c r="C293" s="43" t="s">
        <v>2060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3" t="s">
        <v>2062</v>
      </c>
      <c r="C294" s="43" t="s">
        <v>2062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3" t="s">
        <v>2064</v>
      </c>
      <c r="C295" s="43" t="s">
        <v>2064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3" t="s">
        <v>2066</v>
      </c>
      <c r="C296" s="43" t="s">
        <v>2066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3" t="s">
        <v>2068</v>
      </c>
      <c r="C297" s="43" t="s">
        <v>2068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3" t="s">
        <v>2070</v>
      </c>
      <c r="C298" s="43" t="s">
        <v>2070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3" t="s">
        <v>2072</v>
      </c>
      <c r="C299" s="43" t="s">
        <v>2072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3" t="s">
        <v>2074</v>
      </c>
      <c r="C300" s="43" t="s">
        <v>2074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3" t="s">
        <v>2076</v>
      </c>
      <c r="C301" s="43" t="s">
        <v>2076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3" t="s">
        <v>2078</v>
      </c>
      <c r="C302" s="43" t="s">
        <v>2078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3" t="s">
        <v>2080</v>
      </c>
      <c r="C303" s="43" t="s">
        <v>2080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3" t="s">
        <v>2082</v>
      </c>
      <c r="C304" s="43" t="s">
        <v>2082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3" t="s">
        <v>2084</v>
      </c>
      <c r="C305" s="43" t="s">
        <v>2084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3" t="s">
        <v>2086</v>
      </c>
      <c r="C306" s="43" t="s">
        <v>2086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3" t="s">
        <v>2088</v>
      </c>
      <c r="C307" s="43" t="s">
        <v>2088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3" t="s">
        <v>2090</v>
      </c>
      <c r="C308" s="43" t="s">
        <v>2090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3" t="s">
        <v>2092</v>
      </c>
      <c r="C309" s="43" t="s">
        <v>2092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3" t="s">
        <v>2094</v>
      </c>
      <c r="C310" s="43" t="s">
        <v>2094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3" t="s">
        <v>2096</v>
      </c>
      <c r="C311" s="43" t="s">
        <v>2096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3" t="s">
        <v>2098</v>
      </c>
      <c r="C312" s="43" t="s">
        <v>2098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3" t="s">
        <v>2100</v>
      </c>
      <c r="C313" s="43" t="s">
        <v>2100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3" t="s">
        <v>2102</v>
      </c>
      <c r="C314" s="43" t="s">
        <v>2102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3" t="s">
        <v>2104</v>
      </c>
      <c r="C315" s="43" t="s">
        <v>2104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3" t="s">
        <v>2106</v>
      </c>
      <c r="C316" s="43" t="s">
        <v>2106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3" t="s">
        <v>2108</v>
      </c>
      <c r="C317" s="43" t="s">
        <v>2108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3" t="s">
        <v>2110</v>
      </c>
      <c r="C318" s="43" t="s">
        <v>2110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3" t="s">
        <v>2112</v>
      </c>
      <c r="C319" s="43" t="s">
        <v>2112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3" t="s">
        <v>2114</v>
      </c>
      <c r="C320" s="43" t="s">
        <v>2114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3" t="s">
        <v>2116</v>
      </c>
      <c r="C321" s="43" t="s">
        <v>2116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3" t="s">
        <v>2118</v>
      </c>
      <c r="C322" s="43" t="s">
        <v>2118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3" t="s">
        <v>2120</v>
      </c>
      <c r="C323" s="43" t="s">
        <v>2120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3" t="s">
        <v>2122</v>
      </c>
      <c r="C324" s="43" t="s">
        <v>2122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3" t="s">
        <v>2124</v>
      </c>
      <c r="C325" s="43" t="s">
        <v>2124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3" t="s">
        <v>2126</v>
      </c>
      <c r="C326" s="43" t="s">
        <v>2126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3" t="s">
        <v>2128</v>
      </c>
      <c r="C327" s="43" t="s">
        <v>2128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3" t="s">
        <v>2130</v>
      </c>
      <c r="C328" s="43" t="s">
        <v>2130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3" t="s">
        <v>2132</v>
      </c>
      <c r="C329" s="43" t="s">
        <v>2132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3" t="s">
        <v>2134</v>
      </c>
      <c r="C330" s="43" t="s">
        <v>2134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3" t="s">
        <v>2136</v>
      </c>
      <c r="C331" s="43" t="s">
        <v>2136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3" t="s">
        <v>2138</v>
      </c>
      <c r="C332" s="43" t="s">
        <v>2138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3" t="s">
        <v>2140</v>
      </c>
      <c r="C333" s="43" t="s">
        <v>2140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3" t="s">
        <v>2142</v>
      </c>
      <c r="C334" s="43" t="s">
        <v>2142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3" t="s">
        <v>2144</v>
      </c>
      <c r="C335" s="43" t="s">
        <v>2144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3" t="s">
        <v>2146</v>
      </c>
      <c r="C336" s="43" t="s">
        <v>2146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3" t="s">
        <v>2148</v>
      </c>
      <c r="C337" s="43" t="s">
        <v>2148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3" t="s">
        <v>2150</v>
      </c>
      <c r="C338" s="43" t="s">
        <v>2150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3" t="s">
        <v>2152</v>
      </c>
      <c r="C339" s="43" t="s">
        <v>2152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3" t="s">
        <v>2154</v>
      </c>
      <c r="C340" s="43" t="s">
        <v>2154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3" t="s">
        <v>2156</v>
      </c>
      <c r="C341" s="43" t="s">
        <v>2156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3" t="s">
        <v>2158</v>
      </c>
      <c r="C342" s="43" t="s">
        <v>2158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3" t="s">
        <v>2160</v>
      </c>
      <c r="C343" s="43" t="s">
        <v>2160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3" t="s">
        <v>2162</v>
      </c>
      <c r="C344" s="43" t="s">
        <v>2162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3" t="s">
        <v>2164</v>
      </c>
      <c r="C345" s="43" t="s">
        <v>2164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3" t="s">
        <v>2166</v>
      </c>
      <c r="C346" s="43" t="s">
        <v>2166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3" t="s">
        <v>2168</v>
      </c>
      <c r="C347" s="43" t="s">
        <v>2168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3" t="s">
        <v>2170</v>
      </c>
      <c r="C348" s="43" t="s">
        <v>2170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3" t="s">
        <v>2172</v>
      </c>
      <c r="C349" s="43" t="s">
        <v>2172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3" t="s">
        <v>2174</v>
      </c>
      <c r="C350" s="43" t="s">
        <v>2174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3" t="s">
        <v>2176</v>
      </c>
      <c r="C351" s="43" t="s">
        <v>2176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3" t="s">
        <v>2178</v>
      </c>
      <c r="C352" s="43" t="s">
        <v>2178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3" t="s">
        <v>2180</v>
      </c>
      <c r="C353" s="43" t="s">
        <v>2180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3" t="s">
        <v>2182</v>
      </c>
      <c r="C354" s="43" t="s">
        <v>2182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3" t="s">
        <v>2184</v>
      </c>
      <c r="C355" s="43" t="s">
        <v>2184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3" t="s">
        <v>2186</v>
      </c>
      <c r="C356" s="43" t="s">
        <v>2186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3" t="s">
        <v>2188</v>
      </c>
      <c r="C357" s="43" t="s">
        <v>2188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3" t="s">
        <v>2190</v>
      </c>
      <c r="C358" s="43" t="s">
        <v>2190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3" t="s">
        <v>2192</v>
      </c>
      <c r="C359" s="43" t="s">
        <v>2192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3" t="s">
        <v>2194</v>
      </c>
      <c r="C360" s="43" t="s">
        <v>2194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3" t="s">
        <v>2196</v>
      </c>
      <c r="C361" s="43" t="s">
        <v>2196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3" t="s">
        <v>2198</v>
      </c>
      <c r="C362" s="43" t="s">
        <v>2198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3" t="s">
        <v>2200</v>
      </c>
      <c r="C363" s="43" t="s">
        <v>2200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3" t="s">
        <v>2202</v>
      </c>
      <c r="C364" s="43" t="s">
        <v>2202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3" t="s">
        <v>2204</v>
      </c>
      <c r="C365" s="43" t="s">
        <v>2204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3" t="s">
        <v>2206</v>
      </c>
      <c r="C366" s="43" t="s">
        <v>2206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3" t="s">
        <v>2208</v>
      </c>
      <c r="C367" s="43" t="s">
        <v>2208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3" t="s">
        <v>2210</v>
      </c>
      <c r="C368" s="43" t="s">
        <v>2210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3" t="s">
        <v>2212</v>
      </c>
      <c r="C369" s="43" t="s">
        <v>2212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3" t="s">
        <v>2214</v>
      </c>
      <c r="C370" s="43" t="s">
        <v>2214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3" t="s">
        <v>2216</v>
      </c>
      <c r="C371" s="43" t="s">
        <v>2216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3" t="s">
        <v>2218</v>
      </c>
      <c r="C372" s="43" t="s">
        <v>2218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3" t="s">
        <v>2220</v>
      </c>
      <c r="C373" s="43" t="s">
        <v>2220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3" t="s">
        <v>2222</v>
      </c>
      <c r="C374" s="43" t="s">
        <v>2222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3" t="s">
        <v>2224</v>
      </c>
      <c r="C375" s="43" t="s">
        <v>2224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3" t="s">
        <v>2226</v>
      </c>
      <c r="C376" s="43" t="s">
        <v>2226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3" t="s">
        <v>2228</v>
      </c>
      <c r="C377" s="43" t="s">
        <v>2228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3" t="s">
        <v>2230</v>
      </c>
      <c r="C378" s="43" t="s">
        <v>2230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3" t="s">
        <v>2232</v>
      </c>
      <c r="C379" s="43" t="s">
        <v>2232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3" t="s">
        <v>2234</v>
      </c>
      <c r="C380" s="43" t="s">
        <v>2234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3" t="s">
        <v>2236</v>
      </c>
      <c r="C381" s="43" t="s">
        <v>2236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3" t="s">
        <v>2238</v>
      </c>
      <c r="C382" s="43" t="s">
        <v>2238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3" t="s">
        <v>2240</v>
      </c>
      <c r="C383" s="43" t="s">
        <v>2240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3" t="s">
        <v>2242</v>
      </c>
      <c r="C384" s="43" t="s">
        <v>2242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3" t="s">
        <v>2244</v>
      </c>
      <c r="C385" s="43" t="s">
        <v>2244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3" t="s">
        <v>2246</v>
      </c>
      <c r="C386" s="43" t="s">
        <v>2246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3" t="s">
        <v>2248</v>
      </c>
      <c r="C387" s="43" t="s">
        <v>2248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3" t="s">
        <v>2250</v>
      </c>
      <c r="C388" s="43" t="s">
        <v>2250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3" t="s">
        <v>2252</v>
      </c>
      <c r="C389" s="43" t="s">
        <v>2252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3" t="s">
        <v>2254</v>
      </c>
      <c r="C390" s="43" t="s">
        <v>2254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3" t="s">
        <v>2256</v>
      </c>
      <c r="C391" s="43" t="s">
        <v>2256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3" t="s">
        <v>2258</v>
      </c>
      <c r="C392" s="43" t="s">
        <v>2258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3" t="s">
        <v>2260</v>
      </c>
      <c r="C393" s="43" t="s">
        <v>2260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3" t="s">
        <v>2262</v>
      </c>
      <c r="C394" s="43" t="s">
        <v>2262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3" t="s">
        <v>2264</v>
      </c>
      <c r="C395" s="43" t="s">
        <v>2264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3" t="s">
        <v>2266</v>
      </c>
      <c r="C396" s="43" t="s">
        <v>2266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3" t="s">
        <v>2268</v>
      </c>
      <c r="C397" s="43" t="s">
        <v>2268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3" t="s">
        <v>2270</v>
      </c>
      <c r="C398" s="43" t="s">
        <v>2270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3" t="s">
        <v>2272</v>
      </c>
      <c r="C399" s="43" t="s">
        <v>2272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3" t="s">
        <v>2274</v>
      </c>
      <c r="C400" s="43" t="s">
        <v>2274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3" t="s">
        <v>2276</v>
      </c>
      <c r="C401" s="43" t="s">
        <v>2276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3" t="s">
        <v>2278</v>
      </c>
      <c r="C402" s="43" t="s">
        <v>2278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2" t="s">
        <v>3914</v>
      </c>
      <c r="C403" s="42" t="s">
        <v>3914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3" t="s">
        <v>2280</v>
      </c>
      <c r="C404" s="43" t="s">
        <v>2280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3" t="s">
        <v>2282</v>
      </c>
      <c r="C405" s="43" t="s">
        <v>2282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3" t="s">
        <v>2284</v>
      </c>
      <c r="C406" s="43" t="s">
        <v>2284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3" t="s">
        <v>2286</v>
      </c>
      <c r="C407" s="43" t="s">
        <v>2286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3" t="s">
        <v>2288</v>
      </c>
      <c r="C408" s="43" t="s">
        <v>2288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3" t="s">
        <v>2290</v>
      </c>
      <c r="C409" s="43" t="s">
        <v>2290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3" t="s">
        <v>2292</v>
      </c>
      <c r="C410" s="43" t="s">
        <v>2292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3" t="s">
        <v>2294</v>
      </c>
      <c r="C411" s="43" t="s">
        <v>2294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3" t="s">
        <v>2296</v>
      </c>
      <c r="C412" s="43" t="s">
        <v>2296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3" t="s">
        <v>2298</v>
      </c>
      <c r="C413" s="43" t="s">
        <v>2298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3" t="s">
        <v>2300</v>
      </c>
      <c r="C414" s="43" t="s">
        <v>2300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3" t="s">
        <v>2302</v>
      </c>
      <c r="C415" s="43" t="s">
        <v>2302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3" t="s">
        <v>2304</v>
      </c>
      <c r="C416" s="43" t="s">
        <v>2304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3" t="s">
        <v>2306</v>
      </c>
      <c r="C417" s="43" t="s">
        <v>2306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3" t="s">
        <v>2308</v>
      </c>
      <c r="C418" s="43" t="s">
        <v>2308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3" t="s">
        <v>2310</v>
      </c>
      <c r="C419" s="43" t="s">
        <v>2310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3" t="s">
        <v>2312</v>
      </c>
      <c r="C420" s="43" t="s">
        <v>2312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3" t="s">
        <v>2314</v>
      </c>
      <c r="C421" s="43" t="s">
        <v>2314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3" t="s">
        <v>2316</v>
      </c>
      <c r="C422" s="43" t="s">
        <v>2316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3" t="s">
        <v>3815</v>
      </c>
      <c r="C423" s="43" t="s">
        <v>3815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3" t="s">
        <v>2318</v>
      </c>
      <c r="C424" s="43" t="s">
        <v>2318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3" t="s">
        <v>2320</v>
      </c>
      <c r="C425" s="43" t="s">
        <v>2320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3" t="s">
        <v>2322</v>
      </c>
      <c r="C426" s="43" t="s">
        <v>2322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3" t="s">
        <v>2324</v>
      </c>
      <c r="C427" s="43" t="s">
        <v>2324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3" t="s">
        <v>2326</v>
      </c>
      <c r="C428" s="43" t="s">
        <v>2326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3" t="s">
        <v>3817</v>
      </c>
      <c r="C429" s="43" t="s">
        <v>3817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3" t="s">
        <v>2328</v>
      </c>
      <c r="C430" s="43" t="s">
        <v>2328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3" t="s">
        <v>2330</v>
      </c>
      <c r="C431" s="43" t="s">
        <v>2330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3" t="s">
        <v>2332</v>
      </c>
      <c r="C432" s="43" t="s">
        <v>2332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3" t="s">
        <v>2334</v>
      </c>
      <c r="C433" s="43" t="s">
        <v>2334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3" t="s">
        <v>2336</v>
      </c>
      <c r="C434" s="43" t="s">
        <v>2336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3" t="s">
        <v>2338</v>
      </c>
      <c r="C435" s="43" t="s">
        <v>2338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3" t="s">
        <v>2340</v>
      </c>
      <c r="C436" s="43" t="s">
        <v>2340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3" t="s">
        <v>2342</v>
      </c>
      <c r="C437" s="43" t="s">
        <v>2342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3" t="s">
        <v>2344</v>
      </c>
      <c r="C438" s="43" t="s">
        <v>2344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3" t="s">
        <v>2346</v>
      </c>
      <c r="C439" s="43" t="s">
        <v>2346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3" t="s">
        <v>2348</v>
      </c>
      <c r="C440" s="43" t="s">
        <v>2348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3" t="s">
        <v>2350</v>
      </c>
      <c r="C441" s="43" t="s">
        <v>2350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3" t="s">
        <v>2352</v>
      </c>
      <c r="C442" s="43" t="s">
        <v>2352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3" t="s">
        <v>2354</v>
      </c>
      <c r="C443" s="43" t="s">
        <v>2354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3" t="s">
        <v>2356</v>
      </c>
      <c r="C444" s="43" t="s">
        <v>2356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3" t="s">
        <v>2358</v>
      </c>
      <c r="C445" s="43" t="s">
        <v>2358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3" t="s">
        <v>2360</v>
      </c>
      <c r="C446" s="43" t="s">
        <v>2360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3" t="s">
        <v>2362</v>
      </c>
      <c r="C447" s="43" t="s">
        <v>2362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3" t="s">
        <v>2364</v>
      </c>
      <c r="C448" s="43" t="s">
        <v>2364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3" t="s">
        <v>2366</v>
      </c>
      <c r="C449" s="43" t="s">
        <v>2366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3" t="s">
        <v>2368</v>
      </c>
      <c r="C450" s="43" t="s">
        <v>2368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3" t="s">
        <v>2370</v>
      </c>
      <c r="C451" s="43" t="s">
        <v>2370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3" t="s">
        <v>2372</v>
      </c>
      <c r="C452" s="43" t="s">
        <v>2372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3" t="s">
        <v>2374</v>
      </c>
      <c r="C453" s="43" t="s">
        <v>2374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3" t="s">
        <v>2376</v>
      </c>
      <c r="C454" s="43" t="s">
        <v>2376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3" t="s">
        <v>2378</v>
      </c>
      <c r="C455" s="43" t="s">
        <v>2378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3" t="s">
        <v>2380</v>
      </c>
      <c r="C456" s="43" t="s">
        <v>2380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3" t="s">
        <v>2382</v>
      </c>
      <c r="C457" s="43" t="s">
        <v>2382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3" t="s">
        <v>2384</v>
      </c>
      <c r="C458" s="43" t="s">
        <v>2384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3" t="s">
        <v>2386</v>
      </c>
      <c r="C459" s="43" t="s">
        <v>2386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3" t="s">
        <v>2388</v>
      </c>
      <c r="C460" s="43" t="s">
        <v>2388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3" t="s">
        <v>2390</v>
      </c>
      <c r="C461" s="43" t="s">
        <v>2390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3" t="s">
        <v>2392</v>
      </c>
      <c r="C462" s="43" t="s">
        <v>2392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3" t="s">
        <v>2394</v>
      </c>
      <c r="C463" s="43" t="s">
        <v>2394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3" t="s">
        <v>2396</v>
      </c>
      <c r="C464" s="43" t="s">
        <v>2396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3" t="s">
        <v>2398</v>
      </c>
      <c r="C465" s="43" t="s">
        <v>2398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3" t="s">
        <v>2400</v>
      </c>
      <c r="C466" s="43" t="s">
        <v>2400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3" t="s">
        <v>2402</v>
      </c>
      <c r="C467" s="43" t="s">
        <v>2402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3" t="s">
        <v>2404</v>
      </c>
      <c r="C468" s="43" t="s">
        <v>2404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3" t="s">
        <v>2406</v>
      </c>
      <c r="C469" s="43" t="s">
        <v>2406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3" t="s">
        <v>2408</v>
      </c>
      <c r="C470" s="43" t="s">
        <v>2408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3" t="s">
        <v>2410</v>
      </c>
      <c r="C471" s="43" t="s">
        <v>2410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3" t="s">
        <v>2412</v>
      </c>
      <c r="C472" s="43" t="s">
        <v>2412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3" t="s">
        <v>2414</v>
      </c>
      <c r="C473" s="43" t="s">
        <v>2414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3" t="s">
        <v>2416</v>
      </c>
      <c r="C474" s="43" t="s">
        <v>2416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3" t="s">
        <v>2418</v>
      </c>
      <c r="C475" s="43" t="s">
        <v>2418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3" t="s">
        <v>2420</v>
      </c>
      <c r="C476" s="43" t="s">
        <v>2420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3" t="s">
        <v>2422</v>
      </c>
      <c r="C477" s="43" t="s">
        <v>2422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3" t="s">
        <v>2424</v>
      </c>
      <c r="C478" s="43" t="s">
        <v>2424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3" t="s">
        <v>2426</v>
      </c>
      <c r="C479" s="43" t="s">
        <v>2426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3" t="s">
        <v>2428</v>
      </c>
      <c r="C480" s="43" t="s">
        <v>2428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3" t="s">
        <v>2430</v>
      </c>
      <c r="C481" s="43" t="s">
        <v>2430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3" t="s">
        <v>2432</v>
      </c>
      <c r="C482" s="43" t="s">
        <v>2432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3" t="s">
        <v>2434</v>
      </c>
      <c r="C483" s="43" t="s">
        <v>2434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3" t="s">
        <v>2436</v>
      </c>
      <c r="C484" s="43" t="s">
        <v>2436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3" t="s">
        <v>2438</v>
      </c>
      <c r="C485" s="43" t="s">
        <v>2438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3" t="s">
        <v>2440</v>
      </c>
      <c r="C486" s="43" t="s">
        <v>2440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3" t="s">
        <v>2442</v>
      </c>
      <c r="C487" s="43" t="s">
        <v>2442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3" t="s">
        <v>2444</v>
      </c>
      <c r="C488" s="43" t="s">
        <v>2444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3" t="s">
        <v>2446</v>
      </c>
      <c r="C489" s="43" t="s">
        <v>2446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3" t="s">
        <v>2448</v>
      </c>
      <c r="C490" s="43" t="s">
        <v>2448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3" t="s">
        <v>2450</v>
      </c>
      <c r="C491" s="43" t="s">
        <v>2450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3" t="s">
        <v>2452</v>
      </c>
      <c r="C492" s="43" t="s">
        <v>2452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3" t="s">
        <v>2454</v>
      </c>
      <c r="C493" s="43" t="s">
        <v>2454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3" t="s">
        <v>2456</v>
      </c>
      <c r="C494" s="43" t="s">
        <v>2456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3" t="s">
        <v>2458</v>
      </c>
      <c r="C495" s="43" t="s">
        <v>2458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3" t="s">
        <v>2460</v>
      </c>
      <c r="C496" s="43" t="s">
        <v>2460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3" t="s">
        <v>2462</v>
      </c>
      <c r="C497" s="43" t="s">
        <v>2462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3" t="s">
        <v>2464</v>
      </c>
      <c r="C498" s="43" t="s">
        <v>2464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3" t="s">
        <v>2466</v>
      </c>
      <c r="C499" s="43" t="s">
        <v>2466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3" t="s">
        <v>2468</v>
      </c>
      <c r="C500" s="43" t="s">
        <v>2468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3" t="s">
        <v>2470</v>
      </c>
      <c r="C501" s="43" t="s">
        <v>2470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3" t="s">
        <v>2472</v>
      </c>
      <c r="C502" s="43" t="s">
        <v>2472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3" t="s">
        <v>2474</v>
      </c>
      <c r="C503" s="43" t="s">
        <v>2474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3" t="s">
        <v>2476</v>
      </c>
      <c r="C504" s="43" t="s">
        <v>2476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3" t="s">
        <v>2484</v>
      </c>
      <c r="C505" s="43" t="s">
        <v>2484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3" t="s">
        <v>2486</v>
      </c>
      <c r="C506" s="43" t="s">
        <v>2486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3" t="s">
        <v>2488</v>
      </c>
      <c r="C507" s="43" t="s">
        <v>2488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3" t="s">
        <v>2490</v>
      </c>
      <c r="C508" s="43" t="s">
        <v>2490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3" t="s">
        <v>2492</v>
      </c>
      <c r="C509" s="43" t="s">
        <v>2492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3" t="s">
        <v>2494</v>
      </c>
      <c r="C510" s="43" t="s">
        <v>2494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3" t="s">
        <v>2496</v>
      </c>
      <c r="C511" s="43" t="s">
        <v>2496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3" t="s">
        <v>2498</v>
      </c>
      <c r="C512" s="43" t="s">
        <v>2498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3" t="s">
        <v>2500</v>
      </c>
      <c r="C513" s="43" t="s">
        <v>2500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3" t="s">
        <v>2502</v>
      </c>
      <c r="C514" s="43" t="s">
        <v>2502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3" t="s">
        <v>2504</v>
      </c>
      <c r="C515" s="43" t="s">
        <v>2504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3" t="s">
        <v>2506</v>
      </c>
      <c r="C516" s="43" t="s">
        <v>2506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3" t="s">
        <v>2508</v>
      </c>
      <c r="C517" s="43" t="s">
        <v>2508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3" t="s">
        <v>2510</v>
      </c>
      <c r="C518" s="43" t="s">
        <v>2510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3" t="s">
        <v>2512</v>
      </c>
      <c r="C519" s="43" t="s">
        <v>2512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3" t="s">
        <v>2514</v>
      </c>
      <c r="C520" s="43" t="s">
        <v>2514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3" t="s">
        <v>2516</v>
      </c>
      <c r="C521" s="43" t="s">
        <v>2516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3" t="s">
        <v>2518</v>
      </c>
      <c r="C522" s="43" t="s">
        <v>2518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3" t="s">
        <v>2520</v>
      </c>
      <c r="C523" s="43" t="s">
        <v>2520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3" t="s">
        <v>2522</v>
      </c>
      <c r="C524" s="43" t="s">
        <v>2522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3" t="s">
        <v>2524</v>
      </c>
      <c r="C525" s="43" t="s">
        <v>2524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3" t="s">
        <v>2526</v>
      </c>
      <c r="C526" s="43" t="s">
        <v>2526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3" t="s">
        <v>2528</v>
      </c>
      <c r="C527" s="43" t="s">
        <v>2528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2" t="s">
        <v>3922</v>
      </c>
      <c r="C528" s="42" t="s">
        <v>3922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3" t="s">
        <v>2536</v>
      </c>
      <c r="C529" s="43" t="s">
        <v>2536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3" t="s">
        <v>2544</v>
      </c>
      <c r="C530" s="43" t="s">
        <v>2544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3" t="s">
        <v>2546</v>
      </c>
      <c r="C531" s="43" t="s">
        <v>2546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3" t="s">
        <v>2548</v>
      </c>
      <c r="C532" s="43" t="s">
        <v>2548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3" t="s">
        <v>2550</v>
      </c>
      <c r="C533" s="43" t="s">
        <v>2550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3" t="s">
        <v>2552</v>
      </c>
      <c r="C534" s="43" t="s">
        <v>2552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3" t="s">
        <v>2554</v>
      </c>
      <c r="C535" s="43" t="s">
        <v>2554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3" t="s">
        <v>2556</v>
      </c>
      <c r="C536" s="43" t="s">
        <v>2556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3" t="s">
        <v>2564</v>
      </c>
      <c r="C537" s="43" t="s">
        <v>2564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3" t="s">
        <v>2566</v>
      </c>
      <c r="C538" s="43" t="s">
        <v>2566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3" t="s">
        <v>2568</v>
      </c>
      <c r="C539" s="43" t="s">
        <v>2568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3" t="s">
        <v>2570</v>
      </c>
      <c r="C540" s="43" t="s">
        <v>2570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3" t="s">
        <v>2572</v>
      </c>
      <c r="C541" s="43" t="s">
        <v>2572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3" t="s">
        <v>2574</v>
      </c>
      <c r="C542" s="43" t="s">
        <v>2574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3" t="s">
        <v>2578</v>
      </c>
      <c r="C543" s="43" t="s">
        <v>2578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3" t="s">
        <v>2580</v>
      </c>
      <c r="C544" s="43" t="s">
        <v>2580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3" t="s">
        <v>2582</v>
      </c>
      <c r="C545" s="43" t="s">
        <v>2582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3" t="s">
        <v>2584</v>
      </c>
      <c r="C546" s="43" t="s">
        <v>2584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3" t="s">
        <v>2586</v>
      </c>
      <c r="C547" s="43" t="s">
        <v>2586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3" t="s">
        <v>2588</v>
      </c>
      <c r="C548" s="43" t="s">
        <v>2588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3" t="s">
        <v>2590</v>
      </c>
      <c r="C549" s="43" t="s">
        <v>2590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2" t="s">
        <v>3931</v>
      </c>
      <c r="C550" s="42" t="s">
        <v>3931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2" t="s">
        <v>3933</v>
      </c>
      <c r="C551" s="42" t="s">
        <v>3933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2" t="s">
        <v>3935</v>
      </c>
      <c r="C552" s="42" t="s">
        <v>3935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2" t="s">
        <v>3937</v>
      </c>
      <c r="C553" s="42" t="s">
        <v>3937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2" t="s">
        <v>3939</v>
      </c>
      <c r="C554" s="42" t="s">
        <v>3939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2" t="s">
        <v>3941</v>
      </c>
      <c r="C555" s="42" t="s">
        <v>3941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2" t="s">
        <v>3943</v>
      </c>
      <c r="C556" s="42" t="s">
        <v>3943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3" t="s">
        <v>2592</v>
      </c>
      <c r="C557" s="43" t="s">
        <v>2592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3" t="s">
        <v>2594</v>
      </c>
      <c r="C558" s="43" t="s">
        <v>2594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3" t="s">
        <v>2596</v>
      </c>
      <c r="C559" s="43" t="s">
        <v>2596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3" t="s">
        <v>2598</v>
      </c>
      <c r="C560" s="43" t="s">
        <v>2598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3" t="s">
        <v>2600</v>
      </c>
      <c r="C561" s="43" t="s">
        <v>2600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3" t="s">
        <v>2602</v>
      </c>
      <c r="C562" s="43" t="s">
        <v>2602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3" t="s">
        <v>2604</v>
      </c>
      <c r="C563" s="43" t="s">
        <v>2604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3" t="s">
        <v>2606</v>
      </c>
      <c r="C564" s="43" t="s">
        <v>2606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3" t="s">
        <v>2608</v>
      </c>
      <c r="C565" s="43" t="s">
        <v>2608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3" t="s">
        <v>2610</v>
      </c>
      <c r="C566" s="43" t="s">
        <v>2610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3" t="s">
        <v>2612</v>
      </c>
      <c r="C567" s="43" t="s">
        <v>2612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3" t="s">
        <v>2614</v>
      </c>
      <c r="C568" s="43" t="s">
        <v>2614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3" t="s">
        <v>2616</v>
      </c>
      <c r="C569" s="43" t="s">
        <v>2616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3" t="s">
        <v>2618</v>
      </c>
      <c r="C570" s="43" t="s">
        <v>2618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3" t="s">
        <v>2620</v>
      </c>
      <c r="C571" s="43" t="s">
        <v>2620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2" t="s">
        <v>3945</v>
      </c>
      <c r="C572" s="42" t="s">
        <v>3945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2" t="s">
        <v>3947</v>
      </c>
      <c r="C573" s="42" t="s">
        <v>3947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2" t="s">
        <v>3949</v>
      </c>
      <c r="C574" s="42" t="s">
        <v>3949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2" t="s">
        <v>3951</v>
      </c>
      <c r="C575" s="42" t="s">
        <v>3951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2" t="s">
        <v>3953</v>
      </c>
      <c r="C576" s="42" t="s">
        <v>3953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3" t="s">
        <v>2622</v>
      </c>
      <c r="C577" s="43" t="s">
        <v>2622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3" t="s">
        <v>2624</v>
      </c>
      <c r="C578" s="43" t="s">
        <v>2624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3" t="s">
        <v>2628</v>
      </c>
      <c r="C579" s="43" t="s">
        <v>2628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3" t="s">
        <v>2630</v>
      </c>
      <c r="C580" s="43" t="s">
        <v>2630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3" t="s">
        <v>2632</v>
      </c>
      <c r="C581" s="43" t="s">
        <v>2632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3" t="s">
        <v>2634</v>
      </c>
      <c r="C582" s="43" t="s">
        <v>2634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3" t="s">
        <v>2636</v>
      </c>
      <c r="C583" s="43" t="s">
        <v>2636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3" t="s">
        <v>2638</v>
      </c>
      <c r="C584" s="43" t="s">
        <v>2638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3" t="s">
        <v>2640</v>
      </c>
      <c r="C585" s="43" t="s">
        <v>2640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3" t="s">
        <v>2644</v>
      </c>
      <c r="C586" s="43" t="s">
        <v>2644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3" t="s">
        <v>2648</v>
      </c>
      <c r="C587" s="43" t="s">
        <v>2648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3" t="s">
        <v>2650</v>
      </c>
      <c r="C588" s="43" t="s">
        <v>2650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3" t="s">
        <v>2652</v>
      </c>
      <c r="C589" s="43" t="s">
        <v>2652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3" t="s">
        <v>2654</v>
      </c>
      <c r="C590" s="43" t="s">
        <v>2654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3" t="s">
        <v>2656</v>
      </c>
      <c r="C591" s="43" t="s">
        <v>2656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3" t="s">
        <v>2658</v>
      </c>
      <c r="C592" s="43" t="s">
        <v>2658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3" t="s">
        <v>2660</v>
      </c>
      <c r="C593" s="43" t="s">
        <v>2660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3" t="s">
        <v>2662</v>
      </c>
      <c r="C594" s="43" t="s">
        <v>2662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3" t="s">
        <v>2664</v>
      </c>
      <c r="C595" s="43" t="s">
        <v>2664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3" t="s">
        <v>2668</v>
      </c>
      <c r="C596" s="43" t="s">
        <v>2668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3" t="s">
        <v>2670</v>
      </c>
      <c r="C597" s="43" t="s">
        <v>2670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3" t="s">
        <v>2672</v>
      </c>
      <c r="C598" s="43" t="s">
        <v>2672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3" t="s">
        <v>2674</v>
      </c>
      <c r="C599" s="43" t="s">
        <v>2674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3" t="s">
        <v>2676</v>
      </c>
      <c r="C600" s="43" t="s">
        <v>2676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3" t="s">
        <v>2678</v>
      </c>
      <c r="C601" s="43" t="s">
        <v>2678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3" t="s">
        <v>2681</v>
      </c>
      <c r="C602" s="43" t="s">
        <v>2681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2" t="s">
        <v>3962</v>
      </c>
      <c r="C603" s="42" t="s">
        <v>3962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2" t="s">
        <v>3964</v>
      </c>
      <c r="C604" s="42" t="s">
        <v>3964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2" t="s">
        <v>3966</v>
      </c>
      <c r="C605" s="42" t="s">
        <v>3966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3" t="s">
        <v>2687</v>
      </c>
      <c r="C606" s="43" t="s">
        <v>2687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3" t="s">
        <v>2689</v>
      </c>
      <c r="C607" s="43" t="s">
        <v>2689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3" t="s">
        <v>2691</v>
      </c>
      <c r="C608" s="43" t="s">
        <v>2691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3" t="s">
        <v>2695</v>
      </c>
      <c r="C609" s="43" t="s">
        <v>2695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3" t="s">
        <v>2697</v>
      </c>
      <c r="C610" s="43" t="s">
        <v>2697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3" t="s">
        <v>2699</v>
      </c>
      <c r="C611" s="43" t="s">
        <v>2699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3" t="s">
        <v>2701</v>
      </c>
      <c r="C612" s="43" t="s">
        <v>2701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3" t="s">
        <v>2703</v>
      </c>
      <c r="C613" s="43" t="s">
        <v>2703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3" t="s">
        <v>2709</v>
      </c>
      <c r="C614" s="43" t="s">
        <v>2709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3" t="s">
        <v>2713</v>
      </c>
      <c r="C615" s="43" t="s">
        <v>2713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3" t="s">
        <v>2715</v>
      </c>
      <c r="C616" s="43" t="s">
        <v>2715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3" t="s">
        <v>2717</v>
      </c>
      <c r="C617" s="43" t="s">
        <v>2717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3" t="s">
        <v>2719</v>
      </c>
      <c r="C618" s="43" t="s">
        <v>2719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3" t="s">
        <v>2721</v>
      </c>
      <c r="C619" s="43" t="s">
        <v>2721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3" t="s">
        <v>2723</v>
      </c>
      <c r="C620" s="43" t="s">
        <v>2723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3" t="s">
        <v>2725</v>
      </c>
      <c r="C621" s="43" t="s">
        <v>2725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3" t="s">
        <v>2727</v>
      </c>
      <c r="C622" s="43" t="s">
        <v>2727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3" t="s">
        <v>2729</v>
      </c>
      <c r="C623" s="43" t="s">
        <v>2729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3" t="s">
        <v>2731</v>
      </c>
      <c r="C624" s="43" t="s">
        <v>2731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3" t="s">
        <v>2733</v>
      </c>
      <c r="C625" s="43" t="s">
        <v>2733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3" t="s">
        <v>2735</v>
      </c>
      <c r="C626" s="43" t="s">
        <v>2735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2" t="s">
        <v>3972</v>
      </c>
      <c r="C627" s="42" t="s">
        <v>3972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3" t="s">
        <v>2737</v>
      </c>
      <c r="C628" s="43" t="s">
        <v>2737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3" t="s">
        <v>2739</v>
      </c>
      <c r="C629" s="43" t="s">
        <v>2739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3" t="s">
        <v>2741</v>
      </c>
      <c r="C630" s="43" t="s">
        <v>2741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3" t="s">
        <v>2743</v>
      </c>
      <c r="C631" s="43" t="s">
        <v>2743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3" t="s">
        <v>2745</v>
      </c>
      <c r="C632" s="43" t="s">
        <v>2745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3" t="s">
        <v>2747</v>
      </c>
      <c r="C633" s="43" t="s">
        <v>2747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3" t="s">
        <v>2749</v>
      </c>
      <c r="C634" s="43" t="s">
        <v>2749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3" t="s">
        <v>2751</v>
      </c>
      <c r="C635" s="43" t="s">
        <v>2751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2" t="s">
        <v>3974</v>
      </c>
      <c r="C636" s="42" t="s">
        <v>3974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3" t="s">
        <v>2755</v>
      </c>
      <c r="C637" s="43" t="s">
        <v>2755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3" t="s">
        <v>2757</v>
      </c>
      <c r="C638" s="43" t="s">
        <v>2757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3" t="s">
        <v>2759</v>
      </c>
      <c r="C639" s="43" t="s">
        <v>2759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3" t="s">
        <v>2761</v>
      </c>
      <c r="C640" s="43" t="s">
        <v>2761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3" t="s">
        <v>2763</v>
      </c>
      <c r="C641" s="43" t="s">
        <v>2763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3" t="s">
        <v>2765</v>
      </c>
      <c r="C642" s="43" t="s">
        <v>2765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3" t="s">
        <v>2767</v>
      </c>
      <c r="C643" s="43" t="s">
        <v>2767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3" t="s">
        <v>2769</v>
      </c>
      <c r="C644" s="43" t="s">
        <v>2769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3" t="s">
        <v>2771</v>
      </c>
      <c r="C645" s="43" t="s">
        <v>2771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3" t="s">
        <v>2773</v>
      </c>
      <c r="C646" s="43" t="s">
        <v>2773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3" t="s">
        <v>2775</v>
      </c>
      <c r="C647" s="43" t="s">
        <v>2775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3" t="s">
        <v>2777</v>
      </c>
      <c r="C648" s="43" t="s">
        <v>2777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3" t="s">
        <v>2779</v>
      </c>
      <c r="C649" s="43" t="s">
        <v>2779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3" t="s">
        <v>2781</v>
      </c>
      <c r="C650" s="43" t="s">
        <v>2781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2" t="s">
        <v>3977</v>
      </c>
      <c r="C651" s="42" t="s">
        <v>3977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3" t="s">
        <v>2783</v>
      </c>
      <c r="C652" s="43" t="s">
        <v>2783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3" t="s">
        <v>2785</v>
      </c>
      <c r="C653" s="43" t="s">
        <v>2785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3" t="s">
        <v>2787</v>
      </c>
      <c r="C654" s="43" t="s">
        <v>2787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3" t="s">
        <v>2789</v>
      </c>
      <c r="C655" s="43" t="s">
        <v>2789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3" t="s">
        <v>2791</v>
      </c>
      <c r="C656" s="43" t="s">
        <v>2791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3" t="s">
        <v>2793</v>
      </c>
      <c r="C657" s="43" t="s">
        <v>2793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3" t="s">
        <v>2795</v>
      </c>
      <c r="C658" s="43" t="s">
        <v>2795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3" t="s">
        <v>2797</v>
      </c>
      <c r="C659" s="43" t="s">
        <v>2797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3" t="s">
        <v>2799</v>
      </c>
      <c r="C660" s="43" t="s">
        <v>2799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3" t="s">
        <v>2801</v>
      </c>
      <c r="C661" s="43" t="s">
        <v>2801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3" t="s">
        <v>2803</v>
      </c>
      <c r="C662" s="43" t="s">
        <v>2803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3" t="s">
        <v>2805</v>
      </c>
      <c r="C663" s="43" t="s">
        <v>2805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3" t="s">
        <v>2809</v>
      </c>
      <c r="C664" s="43" t="s">
        <v>2809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3" t="s">
        <v>2813</v>
      </c>
      <c r="C665" s="43" t="s">
        <v>2813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3" t="s">
        <v>2815</v>
      </c>
      <c r="C666" s="43" t="s">
        <v>2815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3" t="s">
        <v>2819</v>
      </c>
      <c r="C667" s="43" t="s">
        <v>2819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3" t="s">
        <v>2821</v>
      </c>
      <c r="C668" s="43" t="s">
        <v>2821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3" t="s">
        <v>2823</v>
      </c>
      <c r="C669" s="43" t="s">
        <v>2823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3" t="s">
        <v>2825</v>
      </c>
      <c r="C670" s="43" t="s">
        <v>2825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3" t="s">
        <v>2827</v>
      </c>
      <c r="C671" s="43" t="s">
        <v>2827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3" t="s">
        <v>2829</v>
      </c>
      <c r="C672" s="43" t="s">
        <v>2829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3" t="s">
        <v>2833</v>
      </c>
      <c r="C673" s="43" t="s">
        <v>2833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3" t="s">
        <v>2835</v>
      </c>
      <c r="C674" s="43" t="s">
        <v>2835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3" t="s">
        <v>2837</v>
      </c>
      <c r="C675" s="43" t="s">
        <v>2837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3" t="s">
        <v>2839</v>
      </c>
      <c r="C676" s="43" t="s">
        <v>2839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3" t="s">
        <v>2843</v>
      </c>
      <c r="C677" s="43" t="s">
        <v>2843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3" t="s">
        <v>2845</v>
      </c>
      <c r="C678" s="43" t="s">
        <v>2845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3" t="s">
        <v>2847</v>
      </c>
      <c r="C679" s="43" t="s">
        <v>2847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3" t="s">
        <v>2849</v>
      </c>
      <c r="C680" s="43" t="s">
        <v>2849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3" t="s">
        <v>2851</v>
      </c>
      <c r="C681" s="43" t="s">
        <v>2851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3" t="s">
        <v>2853</v>
      </c>
      <c r="C682" s="43" t="s">
        <v>2853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3" t="s">
        <v>2855</v>
      </c>
      <c r="C683" s="43" t="s">
        <v>2855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3" t="s">
        <v>2857</v>
      </c>
      <c r="C684" s="43" t="s">
        <v>2857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3" t="s">
        <v>2859</v>
      </c>
      <c r="C685" s="43" t="s">
        <v>2859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3" t="s">
        <v>2861</v>
      </c>
      <c r="C686" s="43" t="s">
        <v>2861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3" t="s">
        <v>2865</v>
      </c>
      <c r="C687" s="43" t="s">
        <v>2865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3" t="s">
        <v>2867</v>
      </c>
      <c r="C688" s="43" t="s">
        <v>2867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3" t="s">
        <v>2869</v>
      </c>
      <c r="C689" s="43" t="s">
        <v>2869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2" t="s">
        <v>3986</v>
      </c>
      <c r="C690" s="42" t="s">
        <v>3986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3" t="s">
        <v>2873</v>
      </c>
      <c r="C691" s="43" t="s">
        <v>2873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3" t="s">
        <v>2875</v>
      </c>
      <c r="C692" s="43" t="s">
        <v>2875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3" t="s">
        <v>2877</v>
      </c>
      <c r="C693" s="43" t="s">
        <v>2877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3" t="s">
        <v>2879</v>
      </c>
      <c r="C694" s="43" t="s">
        <v>2879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3" t="s">
        <v>2881</v>
      </c>
      <c r="C695" s="43" t="s">
        <v>2881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3" t="s">
        <v>2883</v>
      </c>
      <c r="C696" s="43" t="s">
        <v>2883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3" t="s">
        <v>2885</v>
      </c>
      <c r="C697" s="43" t="s">
        <v>2885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3" t="s">
        <v>2887</v>
      </c>
      <c r="C698" s="43" t="s">
        <v>2887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3" t="s">
        <v>2889</v>
      </c>
      <c r="C699" s="43" t="s">
        <v>2889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3" t="s">
        <v>2891</v>
      </c>
      <c r="C700" s="43" t="s">
        <v>2891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3" t="s">
        <v>2893</v>
      </c>
      <c r="C701" s="43" t="s">
        <v>2893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3" t="s">
        <v>2895</v>
      </c>
      <c r="C702" s="43" t="s">
        <v>2895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3" t="s">
        <v>2897</v>
      </c>
      <c r="C703" s="43" t="s">
        <v>2897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3" t="s">
        <v>2899</v>
      </c>
      <c r="C704" s="43" t="s">
        <v>2899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3" t="s">
        <v>2999</v>
      </c>
      <c r="C705" s="43" t="s">
        <v>3000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3" t="s">
        <v>2921</v>
      </c>
      <c r="C706" s="43">
        <v>610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3" t="s">
        <v>2919</v>
      </c>
      <c r="C707" s="43">
        <v>600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3" t="s">
        <v>2909</v>
      </c>
      <c r="C708" s="43">
        <v>310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3" t="s">
        <v>2907</v>
      </c>
      <c r="C709" s="43">
        <v>300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3" t="s">
        <v>2915</v>
      </c>
      <c r="C710" s="43">
        <v>510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3" t="s">
        <v>3774</v>
      </c>
      <c r="C711" s="43" t="s">
        <v>3774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3" t="s">
        <v>3775</v>
      </c>
      <c r="C712" s="43" t="s">
        <v>3775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3" t="s">
        <v>2972</v>
      </c>
      <c r="C713" s="43" t="s">
        <v>2972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3" t="s">
        <v>2984</v>
      </c>
      <c r="C714" s="43" t="s">
        <v>2984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3" t="s">
        <v>2986</v>
      </c>
      <c r="C715" s="43" t="s">
        <v>2986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3" t="s">
        <v>2988</v>
      </c>
      <c r="C716" s="43" t="s">
        <v>2988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3" t="s">
        <v>3779</v>
      </c>
      <c r="C717" s="43" t="s">
        <v>3779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2" t="s">
        <v>4016</v>
      </c>
      <c r="C718" s="42" t="s">
        <v>4016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3" t="s">
        <v>3005</v>
      </c>
      <c r="C719" s="43" t="s">
        <v>3005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3" t="s">
        <v>3007</v>
      </c>
      <c r="C720" s="43" t="s">
        <v>3007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3" t="s">
        <v>3009</v>
      </c>
      <c r="C721" s="43" t="s">
        <v>3009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3" t="s">
        <v>3011</v>
      </c>
      <c r="C722" s="43" t="s">
        <v>3011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3" t="s">
        <v>3013</v>
      </c>
      <c r="C723" s="43" t="s">
        <v>3013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3" t="s">
        <v>3015</v>
      </c>
      <c r="C724" s="43" t="s">
        <v>3015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3" t="s">
        <v>3017</v>
      </c>
      <c r="C725" s="43" t="s">
        <v>3017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2" t="s">
        <v>4018</v>
      </c>
      <c r="C726" s="42" t="s">
        <v>4018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2" t="s">
        <v>4020</v>
      </c>
      <c r="C727" s="42" t="s">
        <v>4020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2" t="s">
        <v>4022</v>
      </c>
      <c r="C728" s="42" t="s">
        <v>4022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2" t="s">
        <v>4024</v>
      </c>
      <c r="C729" s="42" t="s">
        <v>4024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2" t="s">
        <v>4026</v>
      </c>
      <c r="C730" s="42" t="s">
        <v>4026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2" t="s">
        <v>4028</v>
      </c>
      <c r="C731" s="42" t="s">
        <v>4028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3" t="s">
        <v>3025</v>
      </c>
      <c r="C732" s="43" t="s">
        <v>3025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3" t="s">
        <v>3027</v>
      </c>
      <c r="C733" s="43" t="s">
        <v>3027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3" t="s">
        <v>3029</v>
      </c>
      <c r="C734" s="43" t="s">
        <v>3029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3" t="s">
        <v>3034</v>
      </c>
      <c r="C735" s="43" t="s">
        <v>3034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3" t="s">
        <v>3036</v>
      </c>
      <c r="C736" s="43" t="s">
        <v>3036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3" t="s">
        <v>3041</v>
      </c>
      <c r="C737" s="43" t="s">
        <v>3041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3" t="s">
        <v>3043</v>
      </c>
      <c r="C738" s="43" t="s">
        <v>3043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3" t="s">
        <v>3045</v>
      </c>
      <c r="C739" s="43" t="s">
        <v>3045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3" t="s">
        <v>3047</v>
      </c>
      <c r="C740" s="43" t="s">
        <v>3047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3" t="s">
        <v>3049</v>
      </c>
      <c r="C741" s="43" t="s">
        <v>3049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3" t="s">
        <v>3051</v>
      </c>
      <c r="C742" s="43" t="s">
        <v>3051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3" t="s">
        <v>3053</v>
      </c>
      <c r="C743" s="43" t="s">
        <v>3053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3" t="s">
        <v>3055</v>
      </c>
      <c r="C744" s="43" t="s">
        <v>3055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3" t="s">
        <v>3057</v>
      </c>
      <c r="C745" s="43" t="s">
        <v>3057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3" t="s">
        <v>3059</v>
      </c>
      <c r="C746" s="43" t="s">
        <v>3059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3" t="s">
        <v>3061</v>
      </c>
      <c r="C747" s="43" t="s">
        <v>3061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3" t="s">
        <v>3063</v>
      </c>
      <c r="C748" s="43" t="s">
        <v>3063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3" t="s">
        <v>3065</v>
      </c>
      <c r="C749" s="43" t="s">
        <v>3065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3" t="s">
        <v>3067</v>
      </c>
      <c r="C750" s="43" t="s">
        <v>3067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3" t="s">
        <v>3069</v>
      </c>
      <c r="C751" s="43" t="s">
        <v>3069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3" t="s">
        <v>3071</v>
      </c>
      <c r="C752" s="43" t="s">
        <v>3071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3" t="s">
        <v>3073</v>
      </c>
      <c r="C753" s="43" t="s">
        <v>3073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3" t="s">
        <v>3075</v>
      </c>
      <c r="C754" s="43" t="s">
        <v>3075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3" t="s">
        <v>3077</v>
      </c>
      <c r="C755" s="43" t="s">
        <v>3077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3" t="s">
        <v>3079</v>
      </c>
      <c r="C756" s="43" t="s">
        <v>3079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3" t="s">
        <v>3081</v>
      </c>
      <c r="C757" s="43" t="s">
        <v>3081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3" t="s">
        <v>3083</v>
      </c>
      <c r="C758" s="43" t="s">
        <v>3083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3" t="s">
        <v>3085</v>
      </c>
      <c r="C759" s="43" t="s">
        <v>3085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3" t="s">
        <v>3087</v>
      </c>
      <c r="C760" s="43" t="s">
        <v>3087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3" t="s">
        <v>3089</v>
      </c>
      <c r="C761" s="43" t="s">
        <v>3089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3" t="s">
        <v>3091</v>
      </c>
      <c r="C762" s="43" t="s">
        <v>3091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3" t="s">
        <v>3093</v>
      </c>
      <c r="C763" s="43" t="s">
        <v>3093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3" t="s">
        <v>3095</v>
      </c>
      <c r="C764" s="43" t="s">
        <v>3095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3" t="s">
        <v>3097</v>
      </c>
      <c r="C765" s="43" t="s">
        <v>3097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3" t="s">
        <v>3099</v>
      </c>
      <c r="C766" s="43" t="s">
        <v>3099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3" t="s">
        <v>3101</v>
      </c>
      <c r="C767" s="43" t="s">
        <v>3101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3" t="s">
        <v>3103</v>
      </c>
      <c r="C768" s="43" t="s">
        <v>3103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3" t="s">
        <v>3105</v>
      </c>
      <c r="C769" s="43" t="s">
        <v>3105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3" t="s">
        <v>3107</v>
      </c>
      <c r="C770" s="43" t="s">
        <v>3107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3" t="s">
        <v>3109</v>
      </c>
      <c r="C771" s="43" t="s">
        <v>3109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3" t="s">
        <v>3111</v>
      </c>
      <c r="C772" s="43" t="s">
        <v>3111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3" t="s">
        <v>3113</v>
      </c>
      <c r="C773" s="43" t="s">
        <v>3113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3" t="s">
        <v>3115</v>
      </c>
      <c r="C774" s="43" t="s">
        <v>3115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3" t="s">
        <v>3117</v>
      </c>
      <c r="C775" s="43" t="s">
        <v>3117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3" t="s">
        <v>3119</v>
      </c>
      <c r="C776" s="43" t="s">
        <v>3119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3" t="s">
        <v>3121</v>
      </c>
      <c r="C777" s="43" t="s">
        <v>3121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3" t="s">
        <v>3123</v>
      </c>
      <c r="C778" s="43" t="s">
        <v>3123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3" t="s">
        <v>3125</v>
      </c>
      <c r="C779" s="43" t="s">
        <v>3125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3" t="s">
        <v>3127</v>
      </c>
      <c r="C780" s="43" t="s">
        <v>3127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3" t="s">
        <v>3129</v>
      </c>
      <c r="C781" s="43" t="s">
        <v>3129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3" t="s">
        <v>3131</v>
      </c>
      <c r="C782" s="43" t="s">
        <v>3131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3" t="s">
        <v>3133</v>
      </c>
      <c r="C783" s="43" t="s">
        <v>3133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3" t="s">
        <v>3135</v>
      </c>
      <c r="C784" s="43" t="s">
        <v>3135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3" t="s">
        <v>3137</v>
      </c>
      <c r="C785" s="43" t="s">
        <v>3137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3" t="s">
        <v>3139</v>
      </c>
      <c r="C786" s="43" t="s">
        <v>3139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3" t="s">
        <v>3141</v>
      </c>
      <c r="C787" s="43" t="s">
        <v>3141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3" t="s">
        <v>3143</v>
      </c>
      <c r="C788" s="43" t="s">
        <v>3143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3" t="s">
        <v>3145</v>
      </c>
      <c r="C789" s="43" t="s">
        <v>3145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3" t="s">
        <v>3147</v>
      </c>
      <c r="C790" s="43" t="s">
        <v>3147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3" t="s">
        <v>3149</v>
      </c>
      <c r="C791" s="43" t="s">
        <v>3149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3" t="s">
        <v>3151</v>
      </c>
      <c r="C792" s="43" t="s">
        <v>3151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3" t="s">
        <v>3153</v>
      </c>
      <c r="C793" s="43" t="s">
        <v>3153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3" t="s">
        <v>3155</v>
      </c>
      <c r="C794" s="43" t="s">
        <v>3155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3" t="s">
        <v>3157</v>
      </c>
      <c r="C795" s="43" t="s">
        <v>3157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3" t="s">
        <v>3159</v>
      </c>
      <c r="C796" s="43" t="s">
        <v>3159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3" t="s">
        <v>3161</v>
      </c>
      <c r="C797" s="43" t="s">
        <v>3161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3" t="s">
        <v>3163</v>
      </c>
      <c r="C798" s="43" t="s">
        <v>3163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3" t="s">
        <v>3165</v>
      </c>
      <c r="C799" s="43" t="s">
        <v>3165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3" t="s">
        <v>3167</v>
      </c>
      <c r="C800" s="43" t="s">
        <v>3167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3" t="s">
        <v>3169</v>
      </c>
      <c r="C801" s="43" t="s">
        <v>3169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3" t="s">
        <v>3171</v>
      </c>
      <c r="C802" s="43" t="s">
        <v>3171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3" t="s">
        <v>3173</v>
      </c>
      <c r="C803" s="43" t="s">
        <v>3173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3" t="s">
        <v>3175</v>
      </c>
      <c r="C804" s="43" t="s">
        <v>3175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3" t="s">
        <v>3177</v>
      </c>
      <c r="C805" s="43" t="s">
        <v>3177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3" t="s">
        <v>3179</v>
      </c>
      <c r="C806" s="43" t="s">
        <v>3179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3" t="s">
        <v>3181</v>
      </c>
      <c r="C807" s="43" t="s">
        <v>3181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3" t="s">
        <v>3183</v>
      </c>
      <c r="C808" s="43" t="s">
        <v>3183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3" t="s">
        <v>3185</v>
      </c>
      <c r="C809" s="43" t="s">
        <v>3185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3" t="s">
        <v>3187</v>
      </c>
      <c r="C810" s="43" t="s">
        <v>3187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3" t="s">
        <v>3189</v>
      </c>
      <c r="C811" s="43" t="s">
        <v>3189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3" t="s">
        <v>3191</v>
      </c>
      <c r="C812" s="43" t="s">
        <v>3191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3" t="s">
        <v>3193</v>
      </c>
      <c r="C813" s="43" t="s">
        <v>3193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3" t="s">
        <v>3195</v>
      </c>
      <c r="C814" s="43" t="s">
        <v>3195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3" t="s">
        <v>3197</v>
      </c>
      <c r="C815" s="43" t="s">
        <v>3197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3" t="s">
        <v>3199</v>
      </c>
      <c r="C816" s="43" t="s">
        <v>3199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3" t="s">
        <v>3201</v>
      </c>
      <c r="C817" s="43" t="s">
        <v>3201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3" t="s">
        <v>3203</v>
      </c>
      <c r="C818" s="43" t="s">
        <v>3203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3" t="s">
        <v>3205</v>
      </c>
      <c r="C819" s="43" t="s">
        <v>3205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3" t="s">
        <v>3207</v>
      </c>
      <c r="C820" s="43" t="s">
        <v>3207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3" t="s">
        <v>3209</v>
      </c>
      <c r="C821" s="43" t="s">
        <v>3209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3" t="s">
        <v>3211</v>
      </c>
      <c r="C822" s="43" t="s">
        <v>3211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3" t="s">
        <v>2966</v>
      </c>
      <c r="C823" s="43" t="s">
        <v>2967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3" t="s">
        <v>3219</v>
      </c>
      <c r="C824" s="43" t="s">
        <v>3220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3" t="s">
        <v>3216</v>
      </c>
      <c r="C825" s="43" t="s">
        <v>3217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3" t="s">
        <v>3031</v>
      </c>
      <c r="C826" s="43" t="s">
        <v>3032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3" t="s">
        <v>2941</v>
      </c>
      <c r="C827" s="43">
        <v>830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3" t="s">
        <v>2646</v>
      </c>
      <c r="C828" s="43">
        <v>1350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3" t="s">
        <v>2530</v>
      </c>
      <c r="C829" s="43">
        <v>110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3" t="s">
        <v>2478</v>
      </c>
      <c r="C830" s="43">
        <v>100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3" t="s">
        <v>2538</v>
      </c>
      <c r="C831" s="43">
        <v>120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3" t="s">
        <v>2576</v>
      </c>
      <c r="C832" s="43">
        <v>1320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3" t="s">
        <v>2482</v>
      </c>
      <c r="C833" s="43">
        <v>1010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3" t="s">
        <v>2480</v>
      </c>
      <c r="C834" s="43">
        <v>1000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3" t="s">
        <v>2683</v>
      </c>
      <c r="C835" s="43">
        <v>1380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3" t="s">
        <v>2927</v>
      </c>
      <c r="C836" s="43">
        <v>710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3" t="s">
        <v>3222</v>
      </c>
      <c r="C837" s="43" t="s">
        <v>3222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3" t="s">
        <v>3224</v>
      </c>
      <c r="C838" s="43" t="s">
        <v>3224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3" t="s">
        <v>3226</v>
      </c>
      <c r="C839" s="43" t="s">
        <v>3226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3" t="s">
        <v>3228</v>
      </c>
      <c r="C840" s="43" t="s">
        <v>3228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3" t="s">
        <v>3230</v>
      </c>
      <c r="C841" s="43" t="s">
        <v>3230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3" t="s">
        <v>3232</v>
      </c>
      <c r="C842" s="43" t="s">
        <v>3232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3" t="s">
        <v>3780</v>
      </c>
      <c r="C843" s="43" t="s">
        <v>3237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3" t="s">
        <v>3267</v>
      </c>
      <c r="C844" s="43" t="s">
        <v>3268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3" t="s">
        <v>3304</v>
      </c>
      <c r="C845" s="43" t="s">
        <v>3305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3" t="s">
        <v>3541</v>
      </c>
      <c r="C846" s="43" t="s">
        <v>3542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3" t="s">
        <v>3578</v>
      </c>
      <c r="C847" s="43" t="s">
        <v>3579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3" t="s">
        <v>3234</v>
      </c>
      <c r="C848" s="43" t="s">
        <v>3235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4" t="s">
        <v>3781</v>
      </c>
      <c r="C849" s="43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3" t="s">
        <v>3783</v>
      </c>
      <c r="C850" s="43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3" t="s">
        <v>3784</v>
      </c>
      <c r="C851" s="43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3" t="s">
        <v>3785</v>
      </c>
      <c r="C852" s="43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3" t="s">
        <v>3786</v>
      </c>
      <c r="C853" s="43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3" t="s">
        <v>3787</v>
      </c>
      <c r="C854" s="43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3" t="s">
        <v>3788</v>
      </c>
      <c r="C855" s="43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3" t="s">
        <v>3789</v>
      </c>
      <c r="C856" s="43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3" t="s">
        <v>3790</v>
      </c>
      <c r="C857" s="43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3" t="s">
        <v>3791</v>
      </c>
      <c r="C858" s="43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3" t="s">
        <v>3792</v>
      </c>
      <c r="C859" s="43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3" t="s">
        <v>3793</v>
      </c>
      <c r="C860" s="43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3" t="s">
        <v>3794</v>
      </c>
      <c r="C861" s="43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3" t="s">
        <v>3795</v>
      </c>
      <c r="C862" s="43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3" t="s">
        <v>3796</v>
      </c>
      <c r="C863" s="43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3" t="s">
        <v>3797</v>
      </c>
      <c r="C864" s="43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3" t="s">
        <v>3798</v>
      </c>
      <c r="C865" s="43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3" t="s">
        <v>3799</v>
      </c>
      <c r="C866" s="43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3" t="s">
        <v>3800</v>
      </c>
      <c r="C867" s="43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3" t="s">
        <v>3801</v>
      </c>
      <c r="C868" s="43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3" t="s">
        <v>3802</v>
      </c>
      <c r="C869" s="43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3" t="s">
        <v>3803</v>
      </c>
      <c r="C870" s="43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3" t="s">
        <v>3804</v>
      </c>
      <c r="C871" s="43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3" t="s">
        <v>3805</v>
      </c>
      <c r="C872" s="43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3" t="s">
        <v>3806</v>
      </c>
      <c r="C873" s="43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3" t="s">
        <v>3807</v>
      </c>
      <c r="C874" s="43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3" t="s">
        <v>3808</v>
      </c>
      <c r="C875" s="43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3" t="s">
        <v>3809</v>
      </c>
      <c r="C876" s="43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3" t="s">
        <v>3811</v>
      </c>
      <c r="C877" s="43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3" t="s">
        <v>3265</v>
      </c>
      <c r="C878" s="43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3" t="s">
        <v>3270</v>
      </c>
      <c r="C879" s="43" t="s">
        <v>3270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3" t="s">
        <v>3272</v>
      </c>
      <c r="C880" s="43" t="s">
        <v>3272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3" t="s">
        <v>3274</v>
      </c>
      <c r="C881" s="43" t="s">
        <v>3274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3" t="s">
        <v>3276</v>
      </c>
      <c r="C882" s="43" t="s">
        <v>3276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3" t="s">
        <v>3278</v>
      </c>
      <c r="C883" s="43" t="s">
        <v>3278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3" t="s">
        <v>3280</v>
      </c>
      <c r="C884" s="43" t="s">
        <v>3280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3" t="s">
        <v>3282</v>
      </c>
      <c r="C885" s="43" t="s">
        <v>3282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3" t="s">
        <v>3284</v>
      </c>
      <c r="C886" s="43" t="s">
        <v>3284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3" t="s">
        <v>3286</v>
      </c>
      <c r="C887" s="43" t="s">
        <v>3286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3" t="s">
        <v>3288</v>
      </c>
      <c r="C888" s="43" t="s">
        <v>3288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3" t="s">
        <v>3290</v>
      </c>
      <c r="C889" s="43" t="s">
        <v>3290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3" t="s">
        <v>3292</v>
      </c>
      <c r="C890" s="43" t="s">
        <v>3292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3" t="s">
        <v>3294</v>
      </c>
      <c r="C891" s="43" t="s">
        <v>3294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3" t="s">
        <v>3296</v>
      </c>
      <c r="C892" s="43" t="s">
        <v>3296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3" t="s">
        <v>3298</v>
      </c>
      <c r="C893" s="43" t="s">
        <v>3298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3" t="s">
        <v>3300</v>
      </c>
      <c r="C894" s="43" t="s">
        <v>3300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3" t="s">
        <v>3302</v>
      </c>
      <c r="C895" s="43" t="s">
        <v>3302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3" t="s">
        <v>3307</v>
      </c>
      <c r="C896" s="43" t="s">
        <v>3307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3" t="s">
        <v>3309</v>
      </c>
      <c r="C897" s="43" t="s">
        <v>3309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3" t="s">
        <v>3311</v>
      </c>
      <c r="C898" s="43" t="s">
        <v>3311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3" t="s">
        <v>3313</v>
      </c>
      <c r="C899" s="43" t="s">
        <v>3313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3" t="s">
        <v>3315</v>
      </c>
      <c r="C900" s="43" t="s">
        <v>3315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3" t="s">
        <v>3317</v>
      </c>
      <c r="C901" s="43" t="s">
        <v>3317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3" t="s">
        <v>3319</v>
      </c>
      <c r="C902" s="43" t="s">
        <v>3319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3" t="s">
        <v>3321</v>
      </c>
      <c r="C903" s="43" t="s">
        <v>3321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3" t="s">
        <v>3323</v>
      </c>
      <c r="C904" s="43" t="s">
        <v>3323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3" t="s">
        <v>3325</v>
      </c>
      <c r="C905" s="43" t="s">
        <v>3325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3" t="s">
        <v>3327</v>
      </c>
      <c r="C906" s="43" t="s">
        <v>3327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3" t="s">
        <v>3329</v>
      </c>
      <c r="C907" s="43" t="s">
        <v>3329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3" t="s">
        <v>3331</v>
      </c>
      <c r="C908" s="43" t="s">
        <v>3331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3" t="s">
        <v>3333</v>
      </c>
      <c r="C909" s="43" t="s">
        <v>3333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3" t="s">
        <v>3335</v>
      </c>
      <c r="C910" s="43" t="s">
        <v>3335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3" t="s">
        <v>3337</v>
      </c>
      <c r="C911" s="43" t="s">
        <v>3337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3" t="s">
        <v>3339</v>
      </c>
      <c r="C912" s="43" t="s">
        <v>3339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3" t="s">
        <v>3341</v>
      </c>
      <c r="C913" s="43" t="s">
        <v>3341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3" t="s">
        <v>3343</v>
      </c>
      <c r="C914" s="43" t="s">
        <v>3343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3" t="s">
        <v>3345</v>
      </c>
      <c r="C915" s="43" t="s">
        <v>3345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3" t="s">
        <v>3347</v>
      </c>
      <c r="C916" s="43" t="s">
        <v>3347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3" t="s">
        <v>3349</v>
      </c>
      <c r="C917" s="43" t="s">
        <v>3349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3" t="s">
        <v>3351</v>
      </c>
      <c r="C918" s="43" t="s">
        <v>3351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3" t="s">
        <v>3353</v>
      </c>
      <c r="C919" s="43" t="s">
        <v>3353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3" t="s">
        <v>3355</v>
      </c>
      <c r="C920" s="43" t="s">
        <v>3355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3" t="s">
        <v>3357</v>
      </c>
      <c r="C921" s="43" t="s">
        <v>3357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3" t="s">
        <v>3359</v>
      </c>
      <c r="C922" s="43" t="s">
        <v>3359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3" t="s">
        <v>3361</v>
      </c>
      <c r="C923" s="43" t="s">
        <v>3361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3" t="s">
        <v>3363</v>
      </c>
      <c r="C924" s="43" t="s">
        <v>3363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3" t="s">
        <v>3365</v>
      </c>
      <c r="C925" s="43" t="s">
        <v>3365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3" t="s">
        <v>3367</v>
      </c>
      <c r="C926" s="43" t="s">
        <v>3367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3" t="s">
        <v>3369</v>
      </c>
      <c r="C927" s="43" t="s">
        <v>3369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3" t="s">
        <v>3371</v>
      </c>
      <c r="C928" s="43" t="s">
        <v>3371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3" t="s">
        <v>3373</v>
      </c>
      <c r="C929" s="43" t="s">
        <v>3373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3" t="s">
        <v>3375</v>
      </c>
      <c r="C930" s="43" t="s">
        <v>3375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3" t="s">
        <v>3377</v>
      </c>
      <c r="C931" s="43" t="s">
        <v>3377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3" t="s">
        <v>3379</v>
      </c>
      <c r="C932" s="43" t="s">
        <v>3379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3" t="s">
        <v>3381</v>
      </c>
      <c r="C933" s="43" t="s">
        <v>3381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3" t="s">
        <v>3383</v>
      </c>
      <c r="C934" s="43" t="s">
        <v>3383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3" t="s">
        <v>3385</v>
      </c>
      <c r="C935" s="43" t="s">
        <v>3385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3" t="s">
        <v>3387</v>
      </c>
      <c r="C936" s="43" t="s">
        <v>3387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3" t="s">
        <v>3389</v>
      </c>
      <c r="C937" s="43" t="s">
        <v>3389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3" t="s">
        <v>3391</v>
      </c>
      <c r="C938" s="43" t="s">
        <v>3391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3" t="s">
        <v>3393</v>
      </c>
      <c r="C939" s="43" t="s">
        <v>3393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3" t="s">
        <v>3395</v>
      </c>
      <c r="C940" s="43" t="s">
        <v>3395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3" t="s">
        <v>3397</v>
      </c>
      <c r="C941" s="43" t="s">
        <v>3397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3" t="s">
        <v>3399</v>
      </c>
      <c r="C942" s="43" t="s">
        <v>3399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3" t="s">
        <v>3401</v>
      </c>
      <c r="C943" s="43" t="s">
        <v>3401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3" t="s">
        <v>3403</v>
      </c>
      <c r="C944" s="43" t="s">
        <v>3403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3" t="s">
        <v>3405</v>
      </c>
      <c r="C945" s="43" t="s">
        <v>3405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3" t="s">
        <v>3407</v>
      </c>
      <c r="C946" s="43" t="s">
        <v>3407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3" t="s">
        <v>3409</v>
      </c>
      <c r="C947" s="43" t="s">
        <v>3409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3" t="s">
        <v>3411</v>
      </c>
      <c r="C948" s="43" t="s">
        <v>3411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3" t="s">
        <v>3413</v>
      </c>
      <c r="C949" s="43" t="s">
        <v>3413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3" t="s">
        <v>3415</v>
      </c>
      <c r="C950" s="43" t="s">
        <v>3415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3" t="s">
        <v>3417</v>
      </c>
      <c r="C951" s="43" t="s">
        <v>3417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3" t="s">
        <v>3419</v>
      </c>
      <c r="C952" s="43" t="s">
        <v>3419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3" t="s">
        <v>3421</v>
      </c>
      <c r="C953" s="43" t="s">
        <v>3421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3" t="s">
        <v>3423</v>
      </c>
      <c r="C954" s="43" t="s">
        <v>3423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3" t="s">
        <v>3425</v>
      </c>
      <c r="C955" s="43" t="s">
        <v>3425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3" t="s">
        <v>3427</v>
      </c>
      <c r="C956" s="43" t="s">
        <v>3427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3" t="s">
        <v>3429</v>
      </c>
      <c r="C957" s="43" t="s">
        <v>3429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3" t="s">
        <v>3431</v>
      </c>
      <c r="C958" s="43" t="s">
        <v>3431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3" t="s">
        <v>3433</v>
      </c>
      <c r="C959" s="43" t="s">
        <v>3433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3" t="s">
        <v>3435</v>
      </c>
      <c r="C960" s="43" t="s">
        <v>3435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3" t="s">
        <v>3437</v>
      </c>
      <c r="C961" s="43" t="s">
        <v>3437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3" t="s">
        <v>3439</v>
      </c>
      <c r="C962" s="43" t="s">
        <v>3439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3" t="s">
        <v>3441</v>
      </c>
      <c r="C963" s="43" t="s">
        <v>3441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3" t="s">
        <v>3443</v>
      </c>
      <c r="C964" s="43" t="s">
        <v>3443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3" t="s">
        <v>3445</v>
      </c>
      <c r="C965" s="43" t="s">
        <v>3445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3" t="s">
        <v>3447</v>
      </c>
      <c r="C966" s="43" t="s">
        <v>3447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3" t="s">
        <v>3449</v>
      </c>
      <c r="C967" s="43" t="s">
        <v>3449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3" t="s">
        <v>3451</v>
      </c>
      <c r="C968" s="43" t="s">
        <v>3451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3" t="s">
        <v>3453</v>
      </c>
      <c r="C969" s="43" t="s">
        <v>3453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3" t="s">
        <v>3455</v>
      </c>
      <c r="C970" s="43" t="s">
        <v>3455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3" t="s">
        <v>3457</v>
      </c>
      <c r="C971" s="43" t="s">
        <v>3457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3" t="s">
        <v>3459</v>
      </c>
      <c r="C972" s="43" t="s">
        <v>3459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3" t="s">
        <v>3461</v>
      </c>
      <c r="C973" s="43" t="s">
        <v>3461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3" t="s">
        <v>3463</v>
      </c>
      <c r="C974" s="43" t="s">
        <v>3463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3" t="s">
        <v>3465</v>
      </c>
      <c r="C975" s="43" t="s">
        <v>3465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3" t="s">
        <v>3467</v>
      </c>
      <c r="C976" s="43" t="s">
        <v>3467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3" t="s">
        <v>3469</v>
      </c>
      <c r="C977" s="43" t="s">
        <v>3469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3" t="s">
        <v>3471</v>
      </c>
      <c r="C978" s="43" t="s">
        <v>3471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3" t="s">
        <v>3473</v>
      </c>
      <c r="C979" s="43" t="s">
        <v>3473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3" t="s">
        <v>3475</v>
      </c>
      <c r="C980" s="43" t="s">
        <v>3475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3" t="s">
        <v>3477</v>
      </c>
      <c r="C981" s="43" t="s">
        <v>3477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3" t="s">
        <v>3479</v>
      </c>
      <c r="C982" s="43" t="s">
        <v>3479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3" t="s">
        <v>3481</v>
      </c>
      <c r="C983" s="43" t="s">
        <v>3481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3" t="s">
        <v>3483</v>
      </c>
      <c r="C984" s="43" t="s">
        <v>3483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3" t="s">
        <v>3485</v>
      </c>
      <c r="C985" s="43" t="s">
        <v>3485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3" t="s">
        <v>3487</v>
      </c>
      <c r="C986" s="43" t="s">
        <v>3487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3" t="s">
        <v>3489</v>
      </c>
      <c r="C987" s="43" t="s">
        <v>3489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3" t="s">
        <v>3491</v>
      </c>
      <c r="C988" s="43" t="s">
        <v>3491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3" t="s">
        <v>3493</v>
      </c>
      <c r="C989" s="43" t="s">
        <v>3493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3" t="s">
        <v>3495</v>
      </c>
      <c r="C990" s="43" t="s">
        <v>3495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3" t="s">
        <v>3497</v>
      </c>
      <c r="C991" s="43" t="s">
        <v>3497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3" t="s">
        <v>3499</v>
      </c>
      <c r="C992" s="43" t="s">
        <v>3499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3" t="s">
        <v>3501</v>
      </c>
      <c r="C993" s="43" t="s">
        <v>3501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3" t="s">
        <v>3503</v>
      </c>
      <c r="C994" s="43" t="s">
        <v>3503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3" t="s">
        <v>3505</v>
      </c>
      <c r="C995" s="43" t="s">
        <v>3505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3" t="s">
        <v>3507</v>
      </c>
      <c r="C996" s="43" t="s">
        <v>3507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3" t="s">
        <v>3509</v>
      </c>
      <c r="C997" s="43" t="s">
        <v>3509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3" t="s">
        <v>3511</v>
      </c>
      <c r="C998" s="43" t="s">
        <v>3511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3" t="s">
        <v>3513</v>
      </c>
      <c r="C999" s="43" t="s">
        <v>3513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3" t="s">
        <v>3515</v>
      </c>
      <c r="C1000" s="43" t="s">
        <v>3515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3" t="s">
        <v>3517</v>
      </c>
      <c r="C1001" s="43" t="s">
        <v>3517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3" t="s">
        <v>3519</v>
      </c>
      <c r="C1002" s="43" t="s">
        <v>3519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3" t="s">
        <v>3521</v>
      </c>
      <c r="C1003" s="43" t="s">
        <v>3521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3" t="s">
        <v>3523</v>
      </c>
      <c r="C1004" s="43" t="s">
        <v>3523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3" t="s">
        <v>3525</v>
      </c>
      <c r="C1005" s="43" t="s">
        <v>3525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3" t="s">
        <v>3527</v>
      </c>
      <c r="C1006" s="43" t="s">
        <v>3527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3" t="s">
        <v>3529</v>
      </c>
      <c r="C1007" s="43" t="s">
        <v>3529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3" t="s">
        <v>3531</v>
      </c>
      <c r="C1008" s="43" t="s">
        <v>3531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3" t="s">
        <v>3533</v>
      </c>
      <c r="C1009" s="43" t="s">
        <v>3533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3" t="s">
        <v>3535</v>
      </c>
      <c r="C1010" s="43" t="s">
        <v>3535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3" t="s">
        <v>3537</v>
      </c>
      <c r="C1011" s="43" t="s">
        <v>3537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3" t="s">
        <v>3539</v>
      </c>
      <c r="C1012" s="43" t="s">
        <v>3539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3" t="s">
        <v>3544</v>
      </c>
      <c r="C1013" s="43" t="s">
        <v>3544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3" t="s">
        <v>3546</v>
      </c>
      <c r="C1014" s="43" t="s">
        <v>3546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3" t="s">
        <v>3548</v>
      </c>
      <c r="C1015" s="43" t="s">
        <v>3548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3" t="s">
        <v>3550</v>
      </c>
      <c r="C1016" s="43" t="s">
        <v>3550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3" t="s">
        <v>3552</v>
      </c>
      <c r="C1017" s="43" t="s">
        <v>3552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3" t="s">
        <v>3554</v>
      </c>
      <c r="C1018" s="43" t="s">
        <v>3554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3" t="s">
        <v>3556</v>
      </c>
      <c r="C1019" s="43" t="s">
        <v>3556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3" t="s">
        <v>3558</v>
      </c>
      <c r="C1020" s="43" t="s">
        <v>3558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3" t="s">
        <v>3560</v>
      </c>
      <c r="C1021" s="43" t="s">
        <v>3560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3" t="s">
        <v>3562</v>
      </c>
      <c r="C1022" s="43" t="s">
        <v>3562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3" t="s">
        <v>3564</v>
      </c>
      <c r="C1023" s="43" t="s">
        <v>3564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3" t="s">
        <v>3566</v>
      </c>
      <c r="C1024" s="43" t="s">
        <v>3566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3" t="s">
        <v>3568</v>
      </c>
      <c r="C1025" s="43" t="s">
        <v>3568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3" t="s">
        <v>3570</v>
      </c>
      <c r="C1026" s="43" t="s">
        <v>3570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3" t="s">
        <v>3572</v>
      </c>
      <c r="C1027" s="43" t="s">
        <v>3572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3" t="s">
        <v>3574</v>
      </c>
      <c r="C1028" s="43" t="s">
        <v>3574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3" t="s">
        <v>3576</v>
      </c>
      <c r="C1029" s="43" t="s">
        <v>3576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3" t="s">
        <v>3581</v>
      </c>
      <c r="C1030" s="43" t="s">
        <v>3581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3" t="s">
        <v>3583</v>
      </c>
      <c r="C1031" s="43" t="s">
        <v>3583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3" t="s">
        <v>3585</v>
      </c>
      <c r="C1032" s="43" t="s">
        <v>3585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3" t="s">
        <v>3587</v>
      </c>
      <c r="C1033" s="43" t="s">
        <v>3587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3" t="s">
        <v>3589</v>
      </c>
      <c r="C1034" s="43" t="s">
        <v>3589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3" t="s">
        <v>3591</v>
      </c>
      <c r="C1035" s="43" t="s">
        <v>3591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3" t="s">
        <v>3593</v>
      </c>
      <c r="C1036" s="43" t="s">
        <v>3593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3" t="s">
        <v>3595</v>
      </c>
      <c r="C1037" s="43" t="s">
        <v>3595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3" t="s">
        <v>3597</v>
      </c>
      <c r="C1038" s="43" t="s">
        <v>3597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3" t="s">
        <v>3599</v>
      </c>
      <c r="C1039" s="43" t="s">
        <v>3599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3" t="s">
        <v>3601</v>
      </c>
      <c r="C1040" s="43" t="s">
        <v>3601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3" t="s">
        <v>3603</v>
      </c>
      <c r="C1041" s="43" t="s">
        <v>3603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3" t="s">
        <v>3605</v>
      </c>
      <c r="C1042" s="43" t="s">
        <v>3605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3" t="s">
        <v>3607</v>
      </c>
      <c r="C1043" s="43" t="s">
        <v>3607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3" t="s">
        <v>3609</v>
      </c>
      <c r="C1044" s="43" t="s">
        <v>3609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3" t="s">
        <v>3611</v>
      </c>
      <c r="C1045" s="43" t="s">
        <v>3611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3" t="s">
        <v>3613</v>
      </c>
      <c r="C1046" s="43" t="s">
        <v>3613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3" t="s">
        <v>3615</v>
      </c>
      <c r="C1047" s="43" t="s">
        <v>3615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3" t="s">
        <v>3617</v>
      </c>
      <c r="C1048" s="43" t="s">
        <v>3617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3" t="s">
        <v>3619</v>
      </c>
      <c r="C1049" s="43" t="s">
        <v>3619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3" t="s">
        <v>3621</v>
      </c>
      <c r="C1050" s="43" t="s">
        <v>3621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3" t="s">
        <v>3626</v>
      </c>
      <c r="C1051" s="43" t="s">
        <v>3626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3" t="s">
        <v>3628</v>
      </c>
      <c r="C1052" s="43" t="s">
        <v>3628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3" t="s">
        <v>3630</v>
      </c>
      <c r="C1053" s="43" t="s">
        <v>3630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3" t="s">
        <v>3632</v>
      </c>
      <c r="C1054" s="43" t="s">
        <v>3632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3" t="s">
        <v>3634</v>
      </c>
      <c r="C1055" s="43" t="s">
        <v>3634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3" t="s">
        <v>3636</v>
      </c>
      <c r="C1056" s="43" t="s">
        <v>3636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3" t="s">
        <v>3638</v>
      </c>
      <c r="C1057" s="43" t="s">
        <v>3638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3" t="s">
        <v>3640</v>
      </c>
      <c r="C1058" s="43" t="s">
        <v>3640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3" t="s">
        <v>3642</v>
      </c>
      <c r="C1059" s="43" t="s">
        <v>3642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3" t="s">
        <v>3644</v>
      </c>
      <c r="C1060" s="43" t="s">
        <v>3644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3" t="s">
        <v>3646</v>
      </c>
      <c r="C1061" s="43" t="s">
        <v>3646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3" t="s">
        <v>3648</v>
      </c>
      <c r="C1062" s="43" t="s">
        <v>3648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3" t="s">
        <v>3650</v>
      </c>
      <c r="C1063" s="43" t="s">
        <v>3650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3" t="s">
        <v>3652</v>
      </c>
      <c r="C1064" s="43" t="s">
        <v>3652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3" t="s">
        <v>3654</v>
      </c>
      <c r="C1065" s="43" t="s">
        <v>3654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3" t="s">
        <v>3656</v>
      </c>
      <c r="C1066" s="43" t="s">
        <v>3656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3" t="s">
        <v>3658</v>
      </c>
      <c r="C1067" s="43" t="s">
        <v>3658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3" t="s">
        <v>3660</v>
      </c>
      <c r="C1068" s="43" t="s">
        <v>3660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3" t="s">
        <v>3662</v>
      </c>
      <c r="C1069" s="43" t="s">
        <v>3662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3" t="s">
        <v>3664</v>
      </c>
      <c r="C1070" s="43" t="s">
        <v>3664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3" t="s">
        <v>3666</v>
      </c>
      <c r="C1071" s="43" t="s">
        <v>3666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3" t="s">
        <v>3668</v>
      </c>
      <c r="C1072" s="43" t="s">
        <v>3668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3" t="s">
        <v>3670</v>
      </c>
      <c r="C1073" s="43" t="s">
        <v>3670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3" t="s">
        <v>3672</v>
      </c>
      <c r="C1074" s="43" t="s">
        <v>3672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3" t="s">
        <v>3674</v>
      </c>
      <c r="C1075" s="43" t="s">
        <v>3674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3" t="s">
        <v>3676</v>
      </c>
      <c r="C1076" s="43" t="s">
        <v>3676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3" t="s">
        <v>3678</v>
      </c>
      <c r="C1077" s="43" t="s">
        <v>3678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3" t="s">
        <v>3680</v>
      </c>
      <c r="C1078" s="43" t="s">
        <v>3680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3" t="s">
        <v>2981</v>
      </c>
      <c r="C1079" s="43" t="s">
        <v>2982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3" t="s">
        <v>2953</v>
      </c>
      <c r="C1080" s="43">
        <v>950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5" t="s">
        <v>2693</v>
      </c>
      <c r="C1081" s="45">
        <v>1400</v>
      </c>
      <c r="D1081" s="20" t="s">
        <v>3705</v>
      </c>
      <c r="E1081" s="2" t="s">
        <v>1518</v>
      </c>
      <c r="F1081" s="20" t="str">
        <f>VLOOKUP(Table715[[#This Row],[نام کارشناس دفتر فنی]],Table1[],3,0)</f>
        <v>سرپرست  عمران و ابنیه</v>
      </c>
      <c r="G1081" s="20" t="s">
        <v>60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3" t="s">
        <v>2929</v>
      </c>
      <c r="C1082" s="43">
        <v>720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3" t="s">
        <v>3022</v>
      </c>
      <c r="C1083" s="43" t="s">
        <v>3023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3" t="s">
        <v>2560</v>
      </c>
      <c r="C1084" s="43">
        <v>1300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3" t="s">
        <v>3776</v>
      </c>
      <c r="C1085" s="43">
        <v>1370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3" t="s">
        <v>3019</v>
      </c>
      <c r="C1086" s="43" t="s">
        <v>3020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3" t="s">
        <v>2947</v>
      </c>
      <c r="C1087" s="43">
        <v>920</v>
      </c>
      <c r="D1087" s="2" t="s">
        <v>3705</v>
      </c>
      <c r="E1087" s="2" t="s">
        <v>1518</v>
      </c>
      <c r="F1087" s="2" t="str">
        <f>VLOOKUP(Table715[[#This Row],[نام کارشناس دفتر فنی]],Table1[],3,0)</f>
        <v>سرپرست  عمران و ابنیه</v>
      </c>
      <c r="G1087" s="2" t="s">
        <v>60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3" t="s">
        <v>2705</v>
      </c>
      <c r="C1088" s="43">
        <v>150</v>
      </c>
      <c r="D1088" s="2" t="s">
        <v>3705</v>
      </c>
      <c r="E1088" s="2" t="s">
        <v>1518</v>
      </c>
      <c r="F1088" s="2" t="str">
        <f>VLOOKUP(Table715[[#This Row],[نام کارشناس دفتر فنی]],Table1[],3,0)</f>
        <v>سرپرست  عمران و ابنیه</v>
      </c>
      <c r="G1088" s="2" t="s">
        <v>60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3" t="s">
        <v>2931</v>
      </c>
      <c r="C1089" s="43">
        <v>730</v>
      </c>
      <c r="D1089" s="2" t="s">
        <v>3705</v>
      </c>
      <c r="E1089" s="2" t="s">
        <v>1518</v>
      </c>
      <c r="F1089" s="2" t="str">
        <f>VLOOKUP(Table715[[#This Row],[نام کارشناس دفتر فنی]],Table1[],3,0)</f>
        <v>سرپرست  عمران و ابنیه</v>
      </c>
      <c r="G1089" s="2" t="s">
        <v>60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3" t="s">
        <v>2925</v>
      </c>
      <c r="C1090" s="43">
        <v>700</v>
      </c>
      <c r="D1090" s="2" t="s">
        <v>3705</v>
      </c>
      <c r="E1090" s="2" t="s">
        <v>1518</v>
      </c>
      <c r="F1090" s="2" t="str">
        <f>VLOOKUP(Table715[[#This Row],[نام کارشناس دفتر فنی]],Table1[],3,0)</f>
        <v>سرپرست  عمران و ابنیه</v>
      </c>
      <c r="G1090" s="2" t="s">
        <v>60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3" t="s">
        <v>2960</v>
      </c>
      <c r="C1091" s="43" t="s">
        <v>2961</v>
      </c>
      <c r="D1091" s="2" t="s">
        <v>3705</v>
      </c>
      <c r="E1091" s="2" t="s">
        <v>1518</v>
      </c>
      <c r="F1091" s="2" t="str">
        <f>VLOOKUP(Table715[[#This Row],[نام کارشناس دفتر فنی]],Table1[],3,0)</f>
        <v>سرپرست  عمران و ابنیه</v>
      </c>
      <c r="G1091" s="2" t="s">
        <v>60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3" t="s">
        <v>2666</v>
      </c>
      <c r="C1092" s="43">
        <v>1360</v>
      </c>
      <c r="D1092" s="2" t="s">
        <v>3705</v>
      </c>
      <c r="E1092" s="2" t="s">
        <v>1518</v>
      </c>
      <c r="F1092" s="2" t="str">
        <f>VLOOKUP(Table715[[#This Row],[نام کارشناس دفتر فنی]],Table1[],3,0)</f>
        <v>سرپرست  عمران و ابنیه</v>
      </c>
      <c r="G1092" s="2" t="s">
        <v>60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3" t="s">
        <v>3213</v>
      </c>
      <c r="C1093" s="43" t="s">
        <v>3214</v>
      </c>
      <c r="D1093" s="2" t="s">
        <v>3705</v>
      </c>
      <c r="E1093" s="2" t="s">
        <v>1518</v>
      </c>
      <c r="F1093" s="2" t="str">
        <f>VLOOKUP(Table715[[#This Row],[نام کارشناس دفتر فنی]],Table1[],3,0)</f>
        <v>سرپرست  عمران و ابنیه</v>
      </c>
      <c r="G1093" s="2" t="s">
        <v>60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3" t="s">
        <v>2534</v>
      </c>
      <c r="C1094" s="43">
        <v>1110</v>
      </c>
      <c r="D1094" s="2" t="s">
        <v>3705</v>
      </c>
      <c r="E1094" s="2" t="s">
        <v>1518</v>
      </c>
      <c r="F1094" s="2" t="str">
        <f>VLOOKUP(Table715[[#This Row],[نام کارشناس دفتر فنی]],Table1[],3,0)</f>
        <v>سرپرست  عمران و ابنیه</v>
      </c>
      <c r="G1094" s="2" t="s">
        <v>60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3" t="s">
        <v>2532</v>
      </c>
      <c r="C1095" s="43">
        <v>1100</v>
      </c>
      <c r="D1095" s="2" t="s">
        <v>3705</v>
      </c>
      <c r="E1095" s="2" t="s">
        <v>1518</v>
      </c>
      <c r="F1095" s="2" t="str">
        <f>VLOOKUP(Table715[[#This Row],[نام کارشناس دفتر فنی]],Table1[],3,0)</f>
        <v>سرپرست  عمران و ابنیه</v>
      </c>
      <c r="G1095" s="2" t="s">
        <v>60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3" t="s">
        <v>2903</v>
      </c>
      <c r="C1096" s="43">
        <v>200</v>
      </c>
      <c r="D1096" s="2" t="s">
        <v>3705</v>
      </c>
      <c r="E1096" s="2" t="s">
        <v>1518</v>
      </c>
      <c r="F1096" s="2" t="str">
        <f>VLOOKUP(Table715[[#This Row],[نام کارشناس دفتر فنی]],Table1[],3,0)</f>
        <v>سرپرست  عمران و ابنیه</v>
      </c>
      <c r="G1096" s="2" t="s">
        <v>60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3" t="s">
        <v>2905</v>
      </c>
      <c r="C1097" s="43">
        <v>210</v>
      </c>
      <c r="D1097" s="2" t="s">
        <v>3705</v>
      </c>
      <c r="E1097" s="2" t="s">
        <v>1518</v>
      </c>
      <c r="F1097" s="2" t="str">
        <f>VLOOKUP(Table715[[#This Row],[نام کارشناس دفتر فنی]],Table1[],3,0)</f>
        <v>سرپرست  عمران و ابنیه</v>
      </c>
      <c r="G1097" s="2" t="s">
        <v>60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3" t="s">
        <v>2558</v>
      </c>
      <c r="C1098" s="43">
        <v>130</v>
      </c>
      <c r="D1098" s="2" t="s">
        <v>3705</v>
      </c>
      <c r="E1098" s="2" t="s">
        <v>1518</v>
      </c>
      <c r="F1098" s="2" t="str">
        <f>VLOOKUP(Table715[[#This Row],[نام کارشناس دفتر فنی]],Table1[],3,0)</f>
        <v>سرپرست  عمران و ابنیه</v>
      </c>
      <c r="G1098" s="2" t="s">
        <v>60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3" t="s">
        <v>2540</v>
      </c>
      <c r="C1099" s="43">
        <v>1200</v>
      </c>
      <c r="D1099" s="2" t="s">
        <v>3705</v>
      </c>
      <c r="E1099" s="2" t="s">
        <v>1518</v>
      </c>
      <c r="F1099" s="2" t="str">
        <f>VLOOKUP(Table715[[#This Row],[نام کارشناس دفتر فنی]],Table1[],3,0)</f>
        <v>سرپرست  عمران و ابنیه</v>
      </c>
      <c r="G1099" s="2" t="s">
        <v>60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3" t="s">
        <v>2542</v>
      </c>
      <c r="C1100" s="43">
        <v>1210</v>
      </c>
      <c r="D1100" s="2" t="s">
        <v>3705</v>
      </c>
      <c r="E1100" s="2" t="s">
        <v>1518</v>
      </c>
      <c r="F1100" s="2" t="str">
        <f>VLOOKUP(Table715[[#This Row],[نام کارشناس دفتر فنی]],Table1[],3,0)</f>
        <v>سرپرست  عمران و ابنیه</v>
      </c>
      <c r="G1100" s="2" t="s">
        <v>60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3" t="s">
        <v>2707</v>
      </c>
      <c r="C1101" s="43">
        <v>1500</v>
      </c>
      <c r="D1101" s="2" t="s">
        <v>3705</v>
      </c>
      <c r="E1101" s="2" t="s">
        <v>1518</v>
      </c>
      <c r="F1101" s="2" t="str">
        <f>VLOOKUP(Table715[[#This Row],[نام کارشناس دفتر فنی]],Table1[],3,0)</f>
        <v>سرپرست  عمران و ابنیه</v>
      </c>
      <c r="G1101" s="2" t="s">
        <v>60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3" t="s">
        <v>2917</v>
      </c>
      <c r="C1102" s="43">
        <v>520</v>
      </c>
      <c r="D1102" s="2" t="s">
        <v>3705</v>
      </c>
      <c r="E1102" s="2" t="s">
        <v>1518</v>
      </c>
      <c r="F1102" s="2" t="str">
        <f>VLOOKUP(Table715[[#This Row],[نام کارشناس دفتر فنی]],Table1[],3,0)</f>
        <v>سرپرست  عمران و ابنیه</v>
      </c>
      <c r="G1102" s="2" t="s">
        <v>60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3" t="s">
        <v>2913</v>
      </c>
      <c r="C1103" s="43">
        <v>500</v>
      </c>
      <c r="D1103" s="2" t="s">
        <v>3705</v>
      </c>
      <c r="E1103" s="2" t="s">
        <v>1518</v>
      </c>
      <c r="F1103" s="2" t="str">
        <f>VLOOKUP(Table715[[#This Row],[نام کارشناس دفتر فنی]],Table1[],3,0)</f>
        <v>سرپرست  عمران و ابنیه</v>
      </c>
      <c r="G1103" s="2" t="s">
        <v>60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3" t="s">
        <v>3682</v>
      </c>
      <c r="C1104" s="43" t="s">
        <v>3683</v>
      </c>
      <c r="D1104" s="2" t="s">
        <v>3705</v>
      </c>
      <c r="E1104" s="2" t="s">
        <v>1518</v>
      </c>
      <c r="F1104" s="2" t="str">
        <f>VLOOKUP(Table715[[#This Row],[نام کارشناس دفتر فنی]],Table1[],3,0)</f>
        <v>سرپرست  عمران و ابنیه</v>
      </c>
      <c r="G1104" s="2" t="s">
        <v>60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3" t="s">
        <v>2911</v>
      </c>
      <c r="C1105" s="43">
        <v>410</v>
      </c>
      <c r="D1105" s="2" t="s">
        <v>3705</v>
      </c>
      <c r="E1105" s="2" t="s">
        <v>1518</v>
      </c>
      <c r="F1105" s="2" t="str">
        <f>VLOOKUP(Table715[[#This Row],[نام کارشناس دفتر فنی]],Table1[],3,0)</f>
        <v>سرپرست  عمران و ابنیه</v>
      </c>
      <c r="G1105" s="2" t="s">
        <v>60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3" t="s">
        <v>3777</v>
      </c>
      <c r="C1106" s="43">
        <v>400</v>
      </c>
      <c r="D1106" s="2" t="s">
        <v>3705</v>
      </c>
      <c r="E1106" s="2" t="s">
        <v>1518</v>
      </c>
      <c r="F1106" s="2" t="str">
        <f>VLOOKUP(Table715[[#This Row],[نام کارشناس دفتر فنی]],Table1[],3,0)</f>
        <v>سرپرست  عمران و ابنیه</v>
      </c>
      <c r="G1106" s="2" t="s">
        <v>60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3" t="s">
        <v>3002</v>
      </c>
      <c r="C1107" s="43" t="s">
        <v>3003</v>
      </c>
      <c r="D1107" s="2" t="s">
        <v>3705</v>
      </c>
      <c r="E1107" s="2" t="s">
        <v>1518</v>
      </c>
      <c r="F1107" s="2" t="str">
        <f>VLOOKUP(Table715[[#This Row],[نام کارشناس دفتر فنی]],Table1[],3,0)</f>
        <v>سرپرست  عمران و ابنیه</v>
      </c>
      <c r="G1107" s="2" t="s">
        <v>60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3" t="s">
        <v>2923</v>
      </c>
      <c r="C1108" s="43">
        <v>620</v>
      </c>
      <c r="D1108" s="2" t="s">
        <v>3705</v>
      </c>
      <c r="E1108" s="2" t="s">
        <v>1518</v>
      </c>
      <c r="F1108" s="2" t="str">
        <f>VLOOKUP(Table715[[#This Row],[نام کارشناس دفتر فنی]],Table1[],3,0)</f>
        <v>سرپرست  عمران و ابنیه</v>
      </c>
      <c r="G1108" s="2" t="s">
        <v>60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3" t="s">
        <v>2969</v>
      </c>
      <c r="C1109" s="43" t="s">
        <v>2970</v>
      </c>
      <c r="D1109" s="2" t="s">
        <v>3705</v>
      </c>
      <c r="E1109" s="2" t="s">
        <v>1518</v>
      </c>
      <c r="F1109" s="2" t="str">
        <f>VLOOKUP(Table715[[#This Row],[نام کارشناس دفتر فنی]],Table1[],3,0)</f>
        <v>سرپرست  عمران و ابنیه</v>
      </c>
      <c r="G1109" s="2" t="s">
        <v>60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3" t="s">
        <v>3685</v>
      </c>
      <c r="C1110" s="43" t="s">
        <v>3686</v>
      </c>
      <c r="D1110" s="2" t="s">
        <v>3705</v>
      </c>
      <c r="E1110" s="2" t="s">
        <v>1518</v>
      </c>
      <c r="F1110" s="2" t="str">
        <f>VLOOKUP(Table715[[#This Row],[نام کارشناس دفتر فنی]],Table1[],3,0)</f>
        <v>سرپرست  عمران و ابنیه</v>
      </c>
      <c r="G1110" s="2" t="s">
        <v>60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3" t="s">
        <v>2963</v>
      </c>
      <c r="C1111" s="43" t="s">
        <v>2964</v>
      </c>
      <c r="D1111" s="2" t="s">
        <v>3705</v>
      </c>
      <c r="E1111" s="2" t="s">
        <v>1518</v>
      </c>
      <c r="F1111" s="2" t="str">
        <f>VLOOKUP(Table715[[#This Row],[نام کارشناس دفتر فنی]],Table1[],3,0)</f>
        <v>سرپرست  عمران و ابنیه</v>
      </c>
      <c r="G1111" s="2" t="s">
        <v>60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3" t="s">
        <v>2626</v>
      </c>
      <c r="C1112" s="43">
        <v>1330</v>
      </c>
      <c r="D1112" s="2" t="s">
        <v>3705</v>
      </c>
      <c r="E1112" s="2" t="s">
        <v>1518</v>
      </c>
      <c r="F1112" s="2" t="str">
        <f>VLOOKUP(Table715[[#This Row],[نام کارشناس دفتر فنی]],Table1[],3,0)</f>
        <v>سرپرست  عمران و ابنیه</v>
      </c>
      <c r="G1112" s="2" t="s">
        <v>60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3" t="s">
        <v>2939</v>
      </c>
      <c r="C1113" s="43">
        <v>820</v>
      </c>
      <c r="D1113" s="2" t="s">
        <v>3705</v>
      </c>
      <c r="E1113" s="2" t="s">
        <v>1518</v>
      </c>
      <c r="F1113" s="2" t="str">
        <f>VLOOKUP(Table715[[#This Row],[نام کارشناس دفتر فنی]],Table1[],3,0)</f>
        <v>سرپرست  عمران و ابنیه</v>
      </c>
      <c r="G1113" s="2" t="s">
        <v>60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3" t="s">
        <v>2933</v>
      </c>
      <c r="C1114" s="43">
        <v>740</v>
      </c>
      <c r="D1114" s="2" t="s">
        <v>3705</v>
      </c>
      <c r="E1114" s="2" t="s">
        <v>1518</v>
      </c>
      <c r="F1114" s="2" t="str">
        <f>VLOOKUP(Table715[[#This Row],[نام کارشناس دفتر فنی]],Table1[],3,0)</f>
        <v>سرپرست  عمران و ابنیه</v>
      </c>
      <c r="G1114" s="2" t="s">
        <v>60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3" t="s">
        <v>2937</v>
      </c>
      <c r="C1115" s="43">
        <v>810</v>
      </c>
      <c r="D1115" s="2" t="s">
        <v>3705</v>
      </c>
      <c r="E1115" s="2" t="s">
        <v>1518</v>
      </c>
      <c r="F1115" s="2" t="str">
        <f>VLOOKUP(Table715[[#This Row],[نام کارشناس دفتر فنی]],Table1[],3,0)</f>
        <v>سرپرست  عمران و ابنیه</v>
      </c>
      <c r="G1115" s="2" t="s">
        <v>60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3" t="s">
        <v>2935</v>
      </c>
      <c r="C1116" s="43">
        <v>800</v>
      </c>
      <c r="D1116" s="2" t="s">
        <v>3705</v>
      </c>
      <c r="E1116" s="2" t="s">
        <v>1518</v>
      </c>
      <c r="F1116" s="2" t="str">
        <f>VLOOKUP(Table715[[#This Row],[نام کارشناس دفتر فنی]],Table1[],3,0)</f>
        <v>سرپرست  عمران و ابنیه</v>
      </c>
      <c r="G1116" s="2" t="s">
        <v>60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3" t="s">
        <v>2996</v>
      </c>
      <c r="C1117" s="43" t="s">
        <v>2997</v>
      </c>
      <c r="D1117" s="2" t="s">
        <v>3705</v>
      </c>
      <c r="E1117" s="2" t="s">
        <v>1518</v>
      </c>
      <c r="F1117" s="2" t="str">
        <f>VLOOKUP(Table715[[#This Row],[نام کارشناس دفتر فنی]],Table1[],3,0)</f>
        <v>سرپرست  عمران و ابنیه</v>
      </c>
      <c r="G1117" s="2" t="s">
        <v>60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3" t="s">
        <v>2685</v>
      </c>
      <c r="C1118" s="43">
        <v>1390</v>
      </c>
      <c r="D1118" s="2" t="s">
        <v>3705</v>
      </c>
      <c r="E1118" s="2" t="s">
        <v>1518</v>
      </c>
      <c r="F1118" s="2" t="str">
        <f>VLOOKUP(Table715[[#This Row],[نام کارشناس دفتر فنی]],Table1[],3,0)</f>
        <v>سرپرست  عمران و ابنیه</v>
      </c>
      <c r="G1118" s="2" t="s">
        <v>60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3" t="s">
        <v>2949</v>
      </c>
      <c r="C1119" s="43">
        <v>930</v>
      </c>
      <c r="D1119" s="2" t="s">
        <v>3705</v>
      </c>
      <c r="E1119" s="2" t="s">
        <v>1518</v>
      </c>
      <c r="F1119" s="2" t="str">
        <f>VLOOKUP(Table715[[#This Row],[نام کارشناس دفتر فنی]],Table1[],3,0)</f>
        <v>سرپرست  عمران و ابنیه</v>
      </c>
      <c r="G1119" s="2" t="s">
        <v>60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3" t="s">
        <v>2977</v>
      </c>
      <c r="C1120" s="43" t="s">
        <v>2978</v>
      </c>
      <c r="D1120" s="2" t="s">
        <v>3705</v>
      </c>
      <c r="E1120" s="2" t="s">
        <v>1518</v>
      </c>
      <c r="F1120" s="2" t="str">
        <f>VLOOKUP(Table715[[#This Row],[نام کارشناس دفتر فنی]],Table1[],3,0)</f>
        <v>سرپرست  عمران و ابنیه</v>
      </c>
      <c r="G1120" s="2" t="s">
        <v>60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3" t="s">
        <v>3688</v>
      </c>
      <c r="C1121" s="43" t="s">
        <v>3688</v>
      </c>
      <c r="D1121" s="2" t="s">
        <v>3705</v>
      </c>
      <c r="E1121" s="2" t="s">
        <v>1518</v>
      </c>
      <c r="F1121" s="2" t="str">
        <f>VLOOKUP(Table715[[#This Row],[نام کارشناس دفتر فنی]],Table1[],3,0)</f>
        <v>سرپرست  عمران و ابنیه</v>
      </c>
      <c r="G1121" s="2" t="s">
        <v>60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3" t="s">
        <v>3690</v>
      </c>
      <c r="C1122" s="43" t="s">
        <v>3690</v>
      </c>
      <c r="D1122" s="2" t="s">
        <v>3705</v>
      </c>
      <c r="E1122" s="2" t="s">
        <v>1518</v>
      </c>
      <c r="F1122" s="2" t="str">
        <f>VLOOKUP(Table715[[#This Row],[نام کارشناس دفتر فنی]],Table1[],3,0)</f>
        <v>سرپرست  عمران و ابنیه</v>
      </c>
      <c r="G1122" s="2" t="s">
        <v>60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3" t="s">
        <v>2642</v>
      </c>
      <c r="C1123" s="43">
        <v>1340</v>
      </c>
      <c r="D1123" s="2" t="s">
        <v>3705</v>
      </c>
      <c r="E1123" s="2" t="s">
        <v>1518</v>
      </c>
      <c r="F1123" s="2" t="str">
        <f>VLOOKUP(Table715[[#This Row],[نام کارشناس دفتر فنی]],Table1[],3,0)</f>
        <v>سرپرست  عمران و ابنیه</v>
      </c>
      <c r="G1123" s="2" t="s">
        <v>60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3" t="s">
        <v>2993</v>
      </c>
      <c r="C1124" s="43" t="s">
        <v>2994</v>
      </c>
      <c r="D1124" s="2" t="s">
        <v>3705</v>
      </c>
      <c r="E1124" s="2" t="s">
        <v>1518</v>
      </c>
      <c r="F1124" s="2" t="str">
        <f>VLOOKUP(Table715[[#This Row],[نام کارشناس دفتر فنی]],Table1[],3,0)</f>
        <v>سرپرست  عمران و ابنیه</v>
      </c>
      <c r="G1124" s="2" t="s">
        <v>60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3" t="s">
        <v>2974</v>
      </c>
      <c r="C1125" s="43" t="s">
        <v>2975</v>
      </c>
      <c r="D1125" s="2" t="s">
        <v>3705</v>
      </c>
      <c r="E1125" s="2" t="s">
        <v>1518</v>
      </c>
      <c r="F1125" s="2" t="str">
        <f>VLOOKUP(Table715[[#This Row],[نام کارشناس دفتر فنی]],Table1[],3,0)</f>
        <v>سرپرست  عمران و ابنیه</v>
      </c>
      <c r="G1125" s="2" t="s">
        <v>60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3" t="s">
        <v>2951</v>
      </c>
      <c r="C1126" s="43">
        <v>940</v>
      </c>
      <c r="D1126" s="2" t="s">
        <v>3705</v>
      </c>
      <c r="E1126" s="2" t="s">
        <v>1518</v>
      </c>
      <c r="F1126" s="2" t="str">
        <f>VLOOKUP(Table715[[#This Row],[نام کارشناس دفتر فنی]],Table1[],3,0)</f>
        <v>سرپرست  عمران و ابنیه</v>
      </c>
      <c r="G1126" s="2" t="s">
        <v>60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3" t="s">
        <v>2990</v>
      </c>
      <c r="C1127" s="43" t="s">
        <v>2991</v>
      </c>
      <c r="D1127" s="2" t="s">
        <v>3705</v>
      </c>
      <c r="E1127" s="2" t="s">
        <v>1518</v>
      </c>
      <c r="F1127" s="2" t="str">
        <f>VLOOKUP(Table715[[#This Row],[نام کارشناس دفتر فنی]],Table1[],3,0)</f>
        <v>سرپرست  عمران و ابنیه</v>
      </c>
      <c r="G1127" s="2" t="s">
        <v>60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3" t="s">
        <v>3038</v>
      </c>
      <c r="C1128" s="43" t="s">
        <v>3039</v>
      </c>
      <c r="D1128" s="2" t="s">
        <v>3705</v>
      </c>
      <c r="E1128" s="2" t="s">
        <v>1518</v>
      </c>
      <c r="F1128" s="2" t="str">
        <f>VLOOKUP(Table715[[#This Row],[نام کارشناس دفتر فنی]],Table1[],3,0)</f>
        <v>سرپرست  عمران و ابنیه</v>
      </c>
      <c r="G1128" s="2" t="s">
        <v>60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3" t="s">
        <v>2901</v>
      </c>
      <c r="C1129" s="43">
        <v>160</v>
      </c>
      <c r="D1129" s="2" t="s">
        <v>3705</v>
      </c>
      <c r="E1129" s="2" t="s">
        <v>1518</v>
      </c>
      <c r="F1129" s="2" t="str">
        <f>VLOOKUP(Table715[[#This Row],[نام کارشناس دفتر فنی]],Table1[],3,0)</f>
        <v>سرپرست  عمران و ابنیه</v>
      </c>
      <c r="G1129" s="2" t="s">
        <v>60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3" t="s">
        <v>2945</v>
      </c>
      <c r="C1130" s="43">
        <v>910</v>
      </c>
      <c r="D1130" s="2" t="s">
        <v>3705</v>
      </c>
      <c r="E1130" s="2" t="s">
        <v>1518</v>
      </c>
      <c r="F1130" s="2" t="str">
        <f>VLOOKUP(Table715[[#This Row],[نام کارشناس دفتر فنی]],Table1[],3,0)</f>
        <v>سرپرست  عمران و ابنیه</v>
      </c>
      <c r="G1130" s="2" t="s">
        <v>60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3" t="s">
        <v>3623</v>
      </c>
      <c r="C1131" s="43" t="s">
        <v>3624</v>
      </c>
      <c r="D1131" s="2" t="s">
        <v>3705</v>
      </c>
      <c r="E1131" s="2" t="s">
        <v>1518</v>
      </c>
      <c r="F1131" s="2" t="str">
        <f>VLOOKUP(Table715[[#This Row],[نام کارشناس دفتر فنی]],Table1[],3,0)</f>
        <v>سرپرست  عمران و ابنیه</v>
      </c>
      <c r="G1131" s="2" t="s">
        <v>60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3" t="s">
        <v>2955</v>
      </c>
      <c r="C1132" s="43" t="s">
        <v>2956</v>
      </c>
      <c r="D1132" s="2" t="s">
        <v>3705</v>
      </c>
      <c r="E1132" s="2" t="s">
        <v>1518</v>
      </c>
      <c r="F1132" s="2" t="str">
        <f>VLOOKUP(Table715[[#This Row],[نام کارشناس دفتر فنی]],Table1[],3,0)</f>
        <v>سرپرست  عمران و ابنیه</v>
      </c>
      <c r="G1132" s="2" t="s">
        <v>60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3" t="s">
        <v>2943</v>
      </c>
      <c r="C1133" s="43">
        <v>900</v>
      </c>
      <c r="D1133" s="2" t="s">
        <v>3705</v>
      </c>
      <c r="E1133" s="2" t="s">
        <v>1518</v>
      </c>
      <c r="F1133" s="2" t="str">
        <f>VLOOKUP(Table715[[#This Row],[نام کارشناس دفتر فنی]],Table1[],3,0)</f>
        <v>سرپرست  عمران و ابنیه</v>
      </c>
      <c r="G1133" s="2" t="s">
        <v>60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3" t="s">
        <v>2562</v>
      </c>
      <c r="C1134" s="43">
        <v>1310</v>
      </c>
      <c r="D1134" s="2" t="s">
        <v>3705</v>
      </c>
      <c r="E1134" s="2" t="s">
        <v>1518</v>
      </c>
      <c r="F1134" s="2" t="str">
        <f>VLOOKUP(Table715[[#This Row],[نام کارشناس دفتر فنی]],Table1[],3,0)</f>
        <v>سرپرست  عمران و ابنیه</v>
      </c>
      <c r="G1134" s="2" t="s">
        <v>60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3" t="s">
        <v>2863</v>
      </c>
      <c r="C1135" s="43">
        <v>1580</v>
      </c>
      <c r="D1135" s="2" t="s">
        <v>3705</v>
      </c>
      <c r="E1135" s="2" t="s">
        <v>1518</v>
      </c>
      <c r="F1135" s="2" t="str">
        <f>VLOOKUP(Table715[[#This Row],[نام کارشناس دفتر فنی]],Table1[],3,0)</f>
        <v>سرپرست  عمران و ابنیه</v>
      </c>
      <c r="G1135" s="2" t="s">
        <v>60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3" t="s">
        <v>2807</v>
      </c>
      <c r="C1136" s="43">
        <v>1530</v>
      </c>
      <c r="D1136" s="2" t="s">
        <v>3705</v>
      </c>
      <c r="E1136" s="2" t="s">
        <v>1518</v>
      </c>
      <c r="F1136" s="2" t="str">
        <f>VLOOKUP(Table715[[#This Row],[نام کارشناس دفتر فنی]],Table1[],3,0)</f>
        <v>سرپرست  عمران و ابنیه</v>
      </c>
      <c r="G1136" s="2" t="s">
        <v>60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3" t="s">
        <v>2711</v>
      </c>
      <c r="C1137" s="43">
        <v>1510</v>
      </c>
      <c r="D1137" s="2" t="s">
        <v>3705</v>
      </c>
      <c r="E1137" s="2" t="s">
        <v>1518</v>
      </c>
      <c r="F1137" s="2" t="str">
        <f>VLOOKUP(Table715[[#This Row],[نام کارشناس دفتر فنی]],Table1[],3,0)</f>
        <v>سرپرست  عمران و ابنیه</v>
      </c>
      <c r="G1137" s="2" t="s">
        <v>60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3" t="s">
        <v>2753</v>
      </c>
      <c r="C1138" s="43">
        <v>1520</v>
      </c>
      <c r="D1138" s="2" t="s">
        <v>3705</v>
      </c>
      <c r="E1138" s="2" t="s">
        <v>1518</v>
      </c>
      <c r="F1138" s="2" t="str">
        <f>VLOOKUP(Table715[[#This Row],[نام کارشناس دفتر فنی]],Table1[],3,0)</f>
        <v>سرپرست  عمران و ابنیه</v>
      </c>
      <c r="G1138" s="2" t="s">
        <v>60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3" t="s">
        <v>2871</v>
      </c>
      <c r="C1139" s="43">
        <v>1590</v>
      </c>
      <c r="D1139" s="2" t="s">
        <v>3705</v>
      </c>
      <c r="E1139" s="2" t="s">
        <v>1518</v>
      </c>
      <c r="F1139" s="2" t="str">
        <f>VLOOKUP(Table715[[#This Row],[نام کارشناس دفتر فنی]],Table1[],3,0)</f>
        <v>سرپرست  عمران و ابنیه</v>
      </c>
      <c r="G1139" s="2" t="s">
        <v>60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3" t="s">
        <v>2811</v>
      </c>
      <c r="C1140" s="43">
        <v>1540</v>
      </c>
      <c r="D1140" s="2" t="s">
        <v>3705</v>
      </c>
      <c r="E1140" s="2" t="s">
        <v>1518</v>
      </c>
      <c r="F1140" s="2" t="str">
        <f>VLOOKUP(Table715[[#This Row],[نام کارشناس دفتر فنی]],Table1[],3,0)</f>
        <v>سرپرست  عمران و ابنیه</v>
      </c>
      <c r="G1140" s="2" t="s">
        <v>60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3" t="s">
        <v>2841</v>
      </c>
      <c r="C1141" s="43">
        <v>1570</v>
      </c>
      <c r="D1141" s="2" t="s">
        <v>3705</v>
      </c>
      <c r="E1141" s="2" t="s">
        <v>1518</v>
      </c>
      <c r="F1141" s="2" t="str">
        <f>VLOOKUP(Table715[[#This Row],[نام کارشناس دفتر فنی]],Table1[],3,0)</f>
        <v>سرپرست  عمران و ابنیه</v>
      </c>
      <c r="G1141" s="2" t="s">
        <v>60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3" t="s">
        <v>2817</v>
      </c>
      <c r="C1142" s="43">
        <v>1550</v>
      </c>
      <c r="D1142" s="2" t="s">
        <v>3705</v>
      </c>
      <c r="E1142" s="2" t="s">
        <v>1518</v>
      </c>
      <c r="F1142" s="2" t="str">
        <f>VLOOKUP(Table715[[#This Row],[نام کارشناس دفتر فنی]],Table1[],3,0)</f>
        <v>سرپرست  عمران و ابنیه</v>
      </c>
      <c r="G1142" s="2" t="s">
        <v>60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5" t="s">
        <v>2831</v>
      </c>
      <c r="C1143" s="45">
        <v>1560</v>
      </c>
      <c r="D1143" s="20" t="s">
        <v>3705</v>
      </c>
      <c r="E1143" s="20" t="s">
        <v>1518</v>
      </c>
      <c r="F1143" s="20" t="str">
        <f>VLOOKUP(Table715[[#This Row],[نام کارشناس دفتر فنی]],Table1[],3,0)</f>
        <v>سرپرست  عمران و ابنیه</v>
      </c>
      <c r="G1143" s="20" t="s">
        <v>60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62"/>
  <sheetViews>
    <sheetView topLeftCell="A1073" zoomScaleNormal="100" workbookViewId="0">
      <selection activeCell="D1094" sqref="D1094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19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0" t="s">
        <v>3701</v>
      </c>
      <c r="E1087" s="20" t="s">
        <v>584</v>
      </c>
      <c r="F1087" s="20" t="str">
        <f>VLOOKUP(Table7[[#This Row],[نام کارشناس دفتر فنی]],Table1[],3,0)</f>
        <v>کارشناس عمران/خدمات/ ترانسپورت</v>
      </c>
      <c r="G1087" s="20" t="s">
        <v>60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/>
      <c r="B1088" s="42" t="s">
        <v>3888</v>
      </c>
      <c r="C1088" s="42" t="s">
        <v>3888</v>
      </c>
      <c r="D1088" s="2"/>
      <c r="E1088" s="2"/>
      <c r="F1088" s="2"/>
      <c r="G1088" s="2"/>
      <c r="H1088" s="2"/>
      <c r="I1088" s="25"/>
    </row>
    <row r="1089" spans="1:9" x14ac:dyDescent="0.25">
      <c r="A1089" s="7"/>
      <c r="B1089" s="42" t="s">
        <v>3890</v>
      </c>
      <c r="C1089" s="42" t="s">
        <v>3890</v>
      </c>
      <c r="D1089" s="2"/>
      <c r="E1089" s="2"/>
      <c r="F1089" s="2"/>
      <c r="G1089" s="2"/>
      <c r="H1089" s="2"/>
      <c r="I1089" s="25"/>
    </row>
    <row r="1090" spans="1:9" x14ac:dyDescent="0.25">
      <c r="A1090" s="7"/>
      <c r="B1090" s="42" t="s">
        <v>3892</v>
      </c>
      <c r="C1090" s="42" t="s">
        <v>3892</v>
      </c>
      <c r="D1090" s="2"/>
      <c r="E1090" s="2"/>
      <c r="F1090" s="2"/>
      <c r="G1090" s="2"/>
      <c r="H1090" s="2"/>
      <c r="I1090" s="25"/>
    </row>
    <row r="1091" spans="1:9" x14ac:dyDescent="0.25">
      <c r="A1091" s="7"/>
      <c r="B1091" s="42" t="s">
        <v>4168</v>
      </c>
      <c r="C1091" s="42" t="s">
        <v>4168</v>
      </c>
      <c r="D1091" s="2"/>
      <c r="E1091" s="2"/>
      <c r="F1091" s="2"/>
      <c r="G1091" s="2"/>
      <c r="H1091" s="2"/>
      <c r="I1091" s="25"/>
    </row>
    <row r="1092" spans="1:9" x14ac:dyDescent="0.25">
      <c r="A1092" s="7"/>
      <c r="B1092" s="42" t="s">
        <v>4170</v>
      </c>
      <c r="C1092" s="42" t="s">
        <v>4170</v>
      </c>
      <c r="D1092" s="2"/>
      <c r="E1092" s="2"/>
      <c r="F1092" s="2"/>
      <c r="G1092" s="2"/>
      <c r="H1092" s="2"/>
      <c r="I1092" s="25"/>
    </row>
    <row r="1093" spans="1:9" x14ac:dyDescent="0.25">
      <c r="A1093" s="7"/>
      <c r="B1093" s="42" t="s">
        <v>4172</v>
      </c>
      <c r="C1093" s="42" t="s">
        <v>4172</v>
      </c>
      <c r="D1093" s="2"/>
      <c r="E1093" s="2"/>
      <c r="F1093" s="2"/>
      <c r="G1093" s="2"/>
      <c r="H1093" s="2"/>
      <c r="I1093" s="25"/>
    </row>
    <row r="1094" spans="1:9" x14ac:dyDescent="0.25">
      <c r="A1094" s="7"/>
      <c r="B1094" s="42" t="s">
        <v>4174</v>
      </c>
      <c r="C1094" s="42" t="s">
        <v>4174</v>
      </c>
      <c r="D1094" s="2"/>
      <c r="E1094" s="2"/>
      <c r="F1094" s="2"/>
      <c r="G1094" s="2"/>
      <c r="H1094" s="2"/>
      <c r="I1094" s="25"/>
    </row>
    <row r="1095" spans="1:9" x14ac:dyDescent="0.25">
      <c r="A1095" s="7"/>
      <c r="B1095" s="42" t="s">
        <v>4176</v>
      </c>
      <c r="C1095" s="42" t="s">
        <v>4176</v>
      </c>
      <c r="D1095" s="2"/>
      <c r="E1095" s="2"/>
      <c r="F1095" s="2"/>
      <c r="G1095" s="2"/>
      <c r="H1095" s="2"/>
      <c r="I1095" s="25"/>
    </row>
    <row r="1096" spans="1:9" x14ac:dyDescent="0.25">
      <c r="A1096" s="7"/>
      <c r="B1096" s="42" t="s">
        <v>4178</v>
      </c>
      <c r="C1096" s="42" t="s">
        <v>4178</v>
      </c>
      <c r="D1096" s="2"/>
      <c r="E1096" s="2"/>
      <c r="F1096" s="2"/>
      <c r="G1096" s="2"/>
      <c r="H1096" s="2"/>
      <c r="I1096" s="25"/>
    </row>
    <row r="1097" spans="1:9" x14ac:dyDescent="0.25">
      <c r="A1097" s="7"/>
      <c r="B1097" s="42" t="s">
        <v>4180</v>
      </c>
      <c r="C1097" s="42" t="s">
        <v>4180</v>
      </c>
      <c r="D1097" s="2"/>
      <c r="E1097" s="2"/>
      <c r="F1097" s="2"/>
      <c r="G1097" s="2"/>
      <c r="H1097" s="2"/>
      <c r="I1097" s="25"/>
    </row>
    <row r="1098" spans="1:9" x14ac:dyDescent="0.25">
      <c r="A1098" s="7"/>
      <c r="B1098" s="42" t="s">
        <v>4182</v>
      </c>
      <c r="C1098" s="42" t="s">
        <v>4182</v>
      </c>
      <c r="D1098" s="2"/>
      <c r="E1098" s="2"/>
      <c r="F1098" s="2"/>
      <c r="G1098" s="2"/>
      <c r="H1098" s="2"/>
      <c r="I1098" s="25"/>
    </row>
    <row r="1099" spans="1:9" x14ac:dyDescent="0.25">
      <c r="A1099" s="7"/>
      <c r="B1099" s="42" t="s">
        <v>4184</v>
      </c>
      <c r="C1099" s="42" t="s">
        <v>4184</v>
      </c>
      <c r="D1099" s="2"/>
      <c r="E1099" s="2"/>
      <c r="F1099" s="2"/>
      <c r="G1099" s="2"/>
      <c r="H1099" s="2"/>
      <c r="I1099" s="25"/>
    </row>
    <row r="1100" spans="1:9" x14ac:dyDescent="0.25">
      <c r="A1100" s="7"/>
      <c r="B1100" s="42" t="s">
        <v>4186</v>
      </c>
      <c r="C1100" s="42" t="s">
        <v>4186</v>
      </c>
      <c r="D1100" s="2"/>
      <c r="E1100" s="2"/>
      <c r="F1100" s="2"/>
      <c r="G1100" s="2"/>
      <c r="H1100" s="2"/>
      <c r="I1100" s="25"/>
    </row>
    <row r="1101" spans="1:9" x14ac:dyDescent="0.25">
      <c r="A1101" s="7"/>
      <c r="B1101" s="42" t="s">
        <v>4188</v>
      </c>
      <c r="C1101" s="42" t="s">
        <v>4188</v>
      </c>
      <c r="D1101" s="2"/>
      <c r="E1101" s="2"/>
      <c r="F1101" s="2"/>
      <c r="G1101" s="2"/>
      <c r="H1101" s="2"/>
      <c r="I1101" s="25"/>
    </row>
    <row r="1102" spans="1:9" x14ac:dyDescent="0.25">
      <c r="A1102" s="7"/>
      <c r="B1102" s="42" t="s">
        <v>4190</v>
      </c>
      <c r="C1102" s="42" t="s">
        <v>4190</v>
      </c>
      <c r="D1102" s="2"/>
      <c r="E1102" s="2"/>
      <c r="F1102" s="2"/>
      <c r="G1102" s="2"/>
      <c r="H1102" s="2"/>
      <c r="I1102" s="25"/>
    </row>
    <row r="1103" spans="1:9" x14ac:dyDescent="0.25">
      <c r="A1103" s="7"/>
      <c r="B1103" s="42" t="s">
        <v>4192</v>
      </c>
      <c r="C1103" s="42" t="s">
        <v>4192</v>
      </c>
      <c r="D1103" s="2"/>
      <c r="E1103" s="2"/>
      <c r="F1103" s="2"/>
      <c r="G1103" s="2"/>
      <c r="H1103" s="2"/>
      <c r="I1103" s="25"/>
    </row>
    <row r="1104" spans="1:9" x14ac:dyDescent="0.25">
      <c r="A1104" s="7"/>
      <c r="B1104" s="42" t="s">
        <v>4194</v>
      </c>
      <c r="C1104" s="42" t="s">
        <v>4194</v>
      </c>
      <c r="D1104" s="2"/>
      <c r="E1104" s="2"/>
      <c r="F1104" s="2"/>
      <c r="G1104" s="2"/>
      <c r="H1104" s="2"/>
      <c r="I1104" s="25"/>
    </row>
    <row r="1105" spans="1:9" x14ac:dyDescent="0.25">
      <c r="A1105" s="7"/>
      <c r="B1105" s="42" t="s">
        <v>4196</v>
      </c>
      <c r="C1105" s="42" t="s">
        <v>4196</v>
      </c>
      <c r="D1105" s="2"/>
      <c r="E1105" s="2"/>
      <c r="F1105" s="2"/>
      <c r="G1105" s="2"/>
      <c r="H1105" s="2"/>
      <c r="I1105" s="25"/>
    </row>
    <row r="1106" spans="1:9" x14ac:dyDescent="0.25">
      <c r="A1106" s="7"/>
      <c r="B1106" s="42" t="s">
        <v>3894</v>
      </c>
      <c r="C1106" s="42" t="s">
        <v>3894</v>
      </c>
      <c r="D1106" s="2"/>
      <c r="E1106" s="2"/>
      <c r="F1106" s="2"/>
      <c r="G1106" s="2"/>
      <c r="H1106" s="2"/>
      <c r="I1106" s="25"/>
    </row>
    <row r="1107" spans="1:9" x14ac:dyDescent="0.25">
      <c r="A1107" s="7"/>
      <c r="B1107" s="42" t="s">
        <v>3896</v>
      </c>
      <c r="C1107" s="42" t="s">
        <v>3896</v>
      </c>
      <c r="D1107" s="2"/>
      <c r="E1107" s="2"/>
      <c r="F1107" s="2"/>
      <c r="G1107" s="2"/>
      <c r="H1107" s="2"/>
      <c r="I1107" s="25"/>
    </row>
    <row r="1108" spans="1:9" x14ac:dyDescent="0.25">
      <c r="A1108" s="7"/>
      <c r="B1108" s="42" t="s">
        <v>3898</v>
      </c>
      <c r="C1108" s="42" t="s">
        <v>3898</v>
      </c>
      <c r="D1108" s="2"/>
      <c r="E1108" s="2"/>
      <c r="F1108" s="2"/>
      <c r="G1108" s="2"/>
      <c r="H1108" s="2"/>
      <c r="I1108" s="25"/>
    </row>
    <row r="1109" spans="1:9" x14ac:dyDescent="0.25">
      <c r="A1109" s="7"/>
      <c r="B1109" s="42" t="s">
        <v>3900</v>
      </c>
      <c r="C1109" s="42" t="s">
        <v>3900</v>
      </c>
      <c r="D1109" s="2"/>
      <c r="E1109" s="2"/>
      <c r="F1109" s="2"/>
      <c r="G1109" s="2"/>
      <c r="H1109" s="2"/>
      <c r="I1109" s="25"/>
    </row>
    <row r="1110" spans="1:9" x14ac:dyDescent="0.25">
      <c r="A1110" s="7"/>
      <c r="B1110" s="42" t="s">
        <v>3902</v>
      </c>
      <c r="C1110" s="42" t="s">
        <v>3902</v>
      </c>
      <c r="D1110" s="2"/>
      <c r="E1110" s="2"/>
      <c r="F1110" s="2"/>
      <c r="G1110" s="2"/>
      <c r="H1110" s="2"/>
      <c r="I1110" s="25"/>
    </row>
    <row r="1111" spans="1:9" x14ac:dyDescent="0.25">
      <c r="A1111" s="7"/>
      <c r="B1111" s="42" t="s">
        <v>3904</v>
      </c>
      <c r="C1111" s="42" t="s">
        <v>3904</v>
      </c>
      <c r="D1111" s="2"/>
      <c r="E1111" s="2"/>
      <c r="F1111" s="2"/>
      <c r="G1111" s="2"/>
      <c r="H1111" s="2"/>
      <c r="I1111" s="25"/>
    </row>
    <row r="1112" spans="1:9" x14ac:dyDescent="0.25">
      <c r="A1112" s="7"/>
      <c r="B1112" s="42" t="s">
        <v>3906</v>
      </c>
      <c r="C1112" s="42" t="s">
        <v>3906</v>
      </c>
      <c r="D1112" s="2"/>
      <c r="E1112" s="2"/>
      <c r="F1112" s="2"/>
      <c r="G1112" s="2"/>
      <c r="H1112" s="2"/>
      <c r="I1112" s="25"/>
    </row>
    <row r="1113" spans="1:9" x14ac:dyDescent="0.25">
      <c r="A1113" s="7"/>
      <c r="B1113" s="42" t="s">
        <v>3908</v>
      </c>
      <c r="C1113" s="42" t="s">
        <v>3908</v>
      </c>
      <c r="D1113" s="2"/>
      <c r="E1113" s="2"/>
      <c r="F1113" s="2"/>
      <c r="G1113" s="2"/>
      <c r="H1113" s="2"/>
      <c r="I1113" s="25"/>
    </row>
    <row r="1114" spans="1:9" x14ac:dyDescent="0.25">
      <c r="A1114" s="7"/>
      <c r="B1114" s="42" t="s">
        <v>3910</v>
      </c>
      <c r="C1114" s="42" t="s">
        <v>3910</v>
      </c>
      <c r="D1114" s="2"/>
      <c r="E1114" s="2"/>
      <c r="F1114" s="2"/>
      <c r="G1114" s="2"/>
      <c r="H1114" s="2"/>
      <c r="I1114" s="25"/>
    </row>
    <row r="1115" spans="1:9" x14ac:dyDescent="0.25">
      <c r="A1115" s="7"/>
      <c r="B1115" s="42" t="s">
        <v>3912</v>
      </c>
      <c r="C1115" s="42" t="s">
        <v>3912</v>
      </c>
      <c r="D1115" s="2"/>
      <c r="E1115" s="2"/>
      <c r="F1115" s="2"/>
      <c r="G1115" s="2"/>
      <c r="H1115" s="2"/>
      <c r="I1115" s="25"/>
    </row>
    <row r="1116" spans="1:9" x14ac:dyDescent="0.25">
      <c r="A1116" s="7"/>
      <c r="B1116" s="42" t="s">
        <v>3914</v>
      </c>
      <c r="C1116" s="42" t="s">
        <v>3914</v>
      </c>
      <c r="D1116" s="2"/>
      <c r="E1116" s="2"/>
      <c r="F1116" s="2"/>
      <c r="G1116" s="2"/>
      <c r="H1116" s="2"/>
      <c r="I1116" s="25"/>
    </row>
    <row r="1117" spans="1:9" x14ac:dyDescent="0.25">
      <c r="A1117" s="7"/>
      <c r="B1117" s="42" t="s">
        <v>2478</v>
      </c>
      <c r="C1117" s="42" t="s">
        <v>3916</v>
      </c>
      <c r="D1117" s="2"/>
      <c r="E1117" s="2"/>
      <c r="F1117" s="2"/>
      <c r="G1117" s="2"/>
      <c r="H1117" s="2"/>
      <c r="I1117" s="25"/>
    </row>
    <row r="1118" spans="1:9" x14ac:dyDescent="0.25">
      <c r="A1118" s="7"/>
      <c r="B1118" s="42" t="s">
        <v>2480</v>
      </c>
      <c r="C1118" s="42" t="s">
        <v>3917</v>
      </c>
      <c r="D1118" s="2"/>
      <c r="E1118" s="2"/>
      <c r="F1118" s="2"/>
      <c r="G1118" s="2"/>
      <c r="H1118" s="2"/>
      <c r="I1118" s="25"/>
    </row>
    <row r="1119" spans="1:9" x14ac:dyDescent="0.25">
      <c r="A1119" s="7"/>
      <c r="B1119" s="42" t="s">
        <v>2532</v>
      </c>
      <c r="C1119" s="42" t="s">
        <v>3920</v>
      </c>
      <c r="D1119" s="2"/>
      <c r="E1119" s="2"/>
      <c r="F1119" s="2"/>
      <c r="G1119" s="2"/>
      <c r="H1119" s="2"/>
      <c r="I1119" s="25"/>
    </row>
    <row r="1120" spans="1:9" x14ac:dyDescent="0.25">
      <c r="A1120" s="7"/>
      <c r="B1120" s="42" t="s">
        <v>3922</v>
      </c>
      <c r="C1120" s="42" t="s">
        <v>3922</v>
      </c>
      <c r="D1120" s="2"/>
      <c r="E1120" s="2"/>
      <c r="F1120" s="2"/>
      <c r="G1120" s="2"/>
      <c r="H1120" s="2"/>
      <c r="I1120" s="25"/>
    </row>
    <row r="1121" spans="1:9" x14ac:dyDescent="0.25">
      <c r="A1121" s="7"/>
      <c r="B1121" s="42" t="s">
        <v>2540</v>
      </c>
      <c r="C1121" s="42" t="s">
        <v>3925</v>
      </c>
      <c r="D1121" s="2"/>
      <c r="E1121" s="2"/>
      <c r="F1121" s="2"/>
      <c r="G1121" s="2"/>
      <c r="H1121" s="2"/>
      <c r="I1121" s="25"/>
    </row>
    <row r="1122" spans="1:9" x14ac:dyDescent="0.25">
      <c r="A1122" s="7"/>
      <c r="B1122" s="42" t="s">
        <v>3931</v>
      </c>
      <c r="C1122" s="42" t="s">
        <v>3931</v>
      </c>
      <c r="D1122" s="2"/>
      <c r="E1122" s="2"/>
      <c r="F1122" s="2"/>
      <c r="G1122" s="2"/>
      <c r="H1122" s="2"/>
      <c r="I1122" s="25"/>
    </row>
    <row r="1123" spans="1:9" x14ac:dyDescent="0.25">
      <c r="A1123" s="7"/>
      <c r="B1123" s="42" t="s">
        <v>3933</v>
      </c>
      <c r="C1123" s="42" t="s">
        <v>3933</v>
      </c>
      <c r="D1123" s="2"/>
      <c r="E1123" s="2"/>
      <c r="F1123" s="2"/>
      <c r="G1123" s="2"/>
      <c r="H1123" s="2"/>
      <c r="I1123" s="25"/>
    </row>
    <row r="1124" spans="1:9" x14ac:dyDescent="0.25">
      <c r="A1124" s="7"/>
      <c r="B1124" s="42" t="s">
        <v>3935</v>
      </c>
      <c r="C1124" s="42" t="s">
        <v>3935</v>
      </c>
      <c r="D1124" s="2"/>
      <c r="E1124" s="2"/>
      <c r="F1124" s="2"/>
      <c r="G1124" s="2"/>
      <c r="H1124" s="2"/>
      <c r="I1124" s="25"/>
    </row>
    <row r="1125" spans="1:9" x14ac:dyDescent="0.25">
      <c r="A1125" s="7"/>
      <c r="B1125" s="42" t="s">
        <v>3937</v>
      </c>
      <c r="C1125" s="42" t="s">
        <v>3937</v>
      </c>
      <c r="D1125" s="2"/>
      <c r="E1125" s="2"/>
      <c r="F1125" s="2"/>
      <c r="G1125" s="2"/>
      <c r="H1125" s="2"/>
      <c r="I1125" s="25"/>
    </row>
    <row r="1126" spans="1:9" x14ac:dyDescent="0.25">
      <c r="A1126" s="7"/>
      <c r="B1126" s="42" t="s">
        <v>3939</v>
      </c>
      <c r="C1126" s="42" t="s">
        <v>3939</v>
      </c>
      <c r="D1126" s="2"/>
      <c r="E1126" s="2"/>
      <c r="F1126" s="2"/>
      <c r="G1126" s="2"/>
      <c r="H1126" s="2"/>
      <c r="I1126" s="25"/>
    </row>
    <row r="1127" spans="1:9" x14ac:dyDescent="0.25">
      <c r="A1127" s="7"/>
      <c r="B1127" s="42" t="s">
        <v>3941</v>
      </c>
      <c r="C1127" s="42" t="s">
        <v>3941</v>
      </c>
      <c r="D1127" s="2"/>
      <c r="E1127" s="2"/>
      <c r="F1127" s="2"/>
      <c r="G1127" s="2"/>
      <c r="H1127" s="2"/>
      <c r="I1127" s="25"/>
    </row>
    <row r="1128" spans="1:9" x14ac:dyDescent="0.25">
      <c r="A1128" s="7"/>
      <c r="B1128" s="42" t="s">
        <v>3943</v>
      </c>
      <c r="C1128" s="42" t="s">
        <v>3943</v>
      </c>
      <c r="D1128" s="2"/>
      <c r="E1128" s="2"/>
      <c r="F1128" s="2"/>
      <c r="G1128" s="2"/>
      <c r="H1128" s="2"/>
      <c r="I1128" s="25"/>
    </row>
    <row r="1129" spans="1:9" x14ac:dyDescent="0.25">
      <c r="A1129" s="7"/>
      <c r="B1129" s="42" t="s">
        <v>3945</v>
      </c>
      <c r="C1129" s="42" t="s">
        <v>3945</v>
      </c>
      <c r="D1129" s="2"/>
      <c r="E1129" s="2"/>
      <c r="F1129" s="2"/>
      <c r="G1129" s="2"/>
      <c r="H1129" s="2"/>
      <c r="I1129" s="25"/>
    </row>
    <row r="1130" spans="1:9" x14ac:dyDescent="0.25">
      <c r="A1130" s="7"/>
      <c r="B1130" s="42" t="s">
        <v>3947</v>
      </c>
      <c r="C1130" s="42" t="s">
        <v>3947</v>
      </c>
      <c r="D1130" s="2"/>
      <c r="E1130" s="2"/>
      <c r="F1130" s="2"/>
      <c r="G1130" s="2"/>
      <c r="H1130" s="2"/>
      <c r="I1130" s="25"/>
    </row>
    <row r="1131" spans="1:9" x14ac:dyDescent="0.25">
      <c r="A1131" s="7"/>
      <c r="B1131" s="42" t="s">
        <v>3949</v>
      </c>
      <c r="C1131" s="42" t="s">
        <v>3949</v>
      </c>
      <c r="D1131" s="2"/>
      <c r="E1131" s="2"/>
      <c r="F1131" s="2"/>
      <c r="G1131" s="2"/>
      <c r="H1131" s="2"/>
      <c r="I1131" s="25"/>
    </row>
    <row r="1132" spans="1:9" x14ac:dyDescent="0.25">
      <c r="A1132" s="7"/>
      <c r="B1132" s="42" t="s">
        <v>3951</v>
      </c>
      <c r="C1132" s="42" t="s">
        <v>3951</v>
      </c>
      <c r="D1132" s="2"/>
      <c r="E1132" s="2"/>
      <c r="F1132" s="2"/>
      <c r="G1132" s="2"/>
      <c r="H1132" s="2"/>
      <c r="I1132" s="25"/>
    </row>
    <row r="1133" spans="1:9" x14ac:dyDescent="0.25">
      <c r="A1133" s="7"/>
      <c r="B1133" s="42" t="s">
        <v>3953</v>
      </c>
      <c r="C1133" s="42" t="s">
        <v>3953</v>
      </c>
      <c r="D1133" s="2"/>
      <c r="E1133" s="2"/>
      <c r="F1133" s="2"/>
      <c r="G1133" s="2"/>
      <c r="H1133" s="2"/>
      <c r="I1133" s="25"/>
    </row>
    <row r="1134" spans="1:9" x14ac:dyDescent="0.25">
      <c r="A1134" s="7"/>
      <c r="B1134" s="42" t="s">
        <v>3962</v>
      </c>
      <c r="C1134" s="42" t="s">
        <v>3962</v>
      </c>
      <c r="D1134" s="2"/>
      <c r="E1134" s="2"/>
      <c r="F1134" s="2"/>
      <c r="G1134" s="2"/>
      <c r="H1134" s="2"/>
      <c r="I1134" s="25"/>
    </row>
    <row r="1135" spans="1:9" x14ac:dyDescent="0.25">
      <c r="A1135" s="7"/>
      <c r="B1135" s="42" t="s">
        <v>3964</v>
      </c>
      <c r="C1135" s="42" t="s">
        <v>3964</v>
      </c>
      <c r="D1135" s="2"/>
      <c r="E1135" s="2"/>
      <c r="F1135" s="2"/>
      <c r="G1135" s="2"/>
      <c r="H1135" s="2"/>
      <c r="I1135" s="25"/>
    </row>
    <row r="1136" spans="1:9" x14ac:dyDescent="0.25">
      <c r="A1136" s="7"/>
      <c r="B1136" s="42" t="s">
        <v>3966</v>
      </c>
      <c r="C1136" s="42" t="s">
        <v>3966</v>
      </c>
      <c r="D1136" s="2"/>
      <c r="E1136" s="2"/>
      <c r="F1136" s="2"/>
      <c r="G1136" s="2"/>
      <c r="H1136" s="2"/>
      <c r="I1136" s="25"/>
    </row>
    <row r="1137" spans="1:9" x14ac:dyDescent="0.25">
      <c r="A1137" s="7"/>
      <c r="B1137" s="42" t="s">
        <v>2693</v>
      </c>
      <c r="C1137" s="42" t="s">
        <v>3968</v>
      </c>
      <c r="D1137" s="2"/>
      <c r="E1137" s="2"/>
      <c r="F1137" s="2"/>
      <c r="G1137" s="2"/>
      <c r="H1137" s="2"/>
      <c r="I1137" s="25"/>
    </row>
    <row r="1138" spans="1:9" x14ac:dyDescent="0.25">
      <c r="A1138" s="7"/>
      <c r="B1138" s="42" t="s">
        <v>2707</v>
      </c>
      <c r="C1138" s="42" t="s">
        <v>3970</v>
      </c>
      <c r="D1138" s="2"/>
      <c r="E1138" s="2"/>
      <c r="F1138" s="2"/>
      <c r="G1138" s="2"/>
      <c r="H1138" s="2"/>
      <c r="I1138" s="25"/>
    </row>
    <row r="1139" spans="1:9" x14ac:dyDescent="0.25">
      <c r="A1139" s="7"/>
      <c r="B1139" s="42" t="s">
        <v>3972</v>
      </c>
      <c r="C1139" s="42" t="s">
        <v>3972</v>
      </c>
      <c r="D1139" s="2"/>
      <c r="E1139" s="2"/>
      <c r="F1139" s="2"/>
      <c r="G1139" s="2"/>
      <c r="H1139" s="2"/>
      <c r="I1139" s="25"/>
    </row>
    <row r="1140" spans="1:9" x14ac:dyDescent="0.25">
      <c r="A1140" s="7"/>
      <c r="B1140" s="42" t="s">
        <v>3974</v>
      </c>
      <c r="C1140" s="42" t="s">
        <v>3974</v>
      </c>
      <c r="D1140" s="2"/>
      <c r="E1140" s="2"/>
      <c r="F1140" s="2"/>
      <c r="G1140" s="2"/>
      <c r="H1140" s="2"/>
      <c r="I1140" s="25"/>
    </row>
    <row r="1141" spans="1:9" x14ac:dyDescent="0.25">
      <c r="A1141" s="7"/>
      <c r="B1141" s="42" t="s">
        <v>3977</v>
      </c>
      <c r="C1141" s="42" t="s">
        <v>3977</v>
      </c>
      <c r="D1141" s="2"/>
      <c r="E1141" s="2"/>
      <c r="F1141" s="2"/>
      <c r="G1141" s="2"/>
      <c r="H1141" s="2"/>
      <c r="I1141" s="25"/>
    </row>
    <row r="1142" spans="1:9" x14ac:dyDescent="0.25">
      <c r="A1142" s="7"/>
      <c r="B1142" s="42" t="s">
        <v>3986</v>
      </c>
      <c r="C1142" s="42" t="s">
        <v>3986</v>
      </c>
      <c r="D1142" s="2"/>
      <c r="E1142" s="2"/>
      <c r="F1142" s="2"/>
      <c r="G1142" s="2"/>
      <c r="H1142" s="2"/>
      <c r="I1142" s="25"/>
    </row>
    <row r="1143" spans="1:9" x14ac:dyDescent="0.25">
      <c r="A1143" s="7"/>
      <c r="B1143" s="42" t="s">
        <v>2903</v>
      </c>
      <c r="C1143" s="42" t="s">
        <v>3989</v>
      </c>
      <c r="D1143" s="2"/>
      <c r="E1143" s="2"/>
      <c r="F1143" s="2"/>
      <c r="G1143" s="2"/>
      <c r="H1143" s="2"/>
      <c r="I1143" s="25"/>
    </row>
    <row r="1144" spans="1:9" x14ac:dyDescent="0.25">
      <c r="A1144" s="7"/>
      <c r="B1144" s="42" t="s">
        <v>2907</v>
      </c>
      <c r="C1144" s="42" t="s">
        <v>3991</v>
      </c>
      <c r="D1144" s="2"/>
      <c r="E1144" s="2"/>
      <c r="F1144" s="2"/>
      <c r="G1144" s="2"/>
      <c r="H1144" s="2"/>
      <c r="I1144" s="25"/>
    </row>
    <row r="1145" spans="1:9" x14ac:dyDescent="0.25">
      <c r="A1145" s="7"/>
      <c r="B1145" s="42" t="s">
        <v>3777</v>
      </c>
      <c r="C1145" s="42" t="s">
        <v>3993</v>
      </c>
      <c r="D1145" s="2"/>
      <c r="E1145" s="2"/>
      <c r="F1145" s="2"/>
      <c r="G1145" s="2"/>
      <c r="H1145" s="2"/>
      <c r="I1145" s="25"/>
    </row>
    <row r="1146" spans="1:9" x14ac:dyDescent="0.25">
      <c r="A1146" s="7"/>
      <c r="B1146" s="42" t="s">
        <v>2913</v>
      </c>
      <c r="C1146" s="42" t="s">
        <v>3995</v>
      </c>
      <c r="D1146" s="2"/>
      <c r="E1146" s="2"/>
      <c r="F1146" s="2"/>
      <c r="G1146" s="2"/>
      <c r="H1146" s="2"/>
      <c r="I1146" s="25"/>
    </row>
    <row r="1147" spans="1:9" x14ac:dyDescent="0.25">
      <c r="A1147" s="7"/>
      <c r="B1147" s="42" t="s">
        <v>2919</v>
      </c>
      <c r="C1147" s="42" t="s">
        <v>3998</v>
      </c>
      <c r="D1147" s="2"/>
      <c r="E1147" s="2"/>
      <c r="F1147" s="2"/>
      <c r="G1147" s="2"/>
      <c r="H1147" s="2"/>
      <c r="I1147" s="25"/>
    </row>
    <row r="1148" spans="1:9" x14ac:dyDescent="0.25">
      <c r="A1148" s="7"/>
      <c r="B1148" s="42" t="s">
        <v>2925</v>
      </c>
      <c r="C1148" s="42" t="s">
        <v>4001</v>
      </c>
      <c r="D1148" s="2"/>
      <c r="E1148" s="2"/>
      <c r="F1148" s="2"/>
      <c r="G1148" s="2"/>
      <c r="H1148" s="2"/>
      <c r="I1148" s="25"/>
    </row>
    <row r="1149" spans="1:9" x14ac:dyDescent="0.25">
      <c r="A1149" s="7"/>
      <c r="B1149" s="42" t="s">
        <v>2935</v>
      </c>
      <c r="C1149" s="42" t="s">
        <v>4006</v>
      </c>
      <c r="D1149" s="2"/>
      <c r="E1149" s="2"/>
      <c r="F1149" s="2"/>
      <c r="G1149" s="2"/>
      <c r="H1149" s="2"/>
      <c r="I1149" s="25"/>
    </row>
    <row r="1150" spans="1:9" x14ac:dyDescent="0.25">
      <c r="A1150" s="7"/>
      <c r="B1150" s="42" t="s">
        <v>2943</v>
      </c>
      <c r="C1150" s="42" t="s">
        <v>4010</v>
      </c>
      <c r="D1150" s="2"/>
      <c r="E1150" s="2"/>
      <c r="F1150" s="2"/>
      <c r="G1150" s="2"/>
      <c r="H1150" s="2"/>
      <c r="I1150" s="25"/>
    </row>
    <row r="1151" spans="1:9" x14ac:dyDescent="0.25">
      <c r="A1151" s="7"/>
      <c r="B1151" s="42" t="s">
        <v>2955</v>
      </c>
      <c r="C1151" s="42" t="s">
        <v>2956</v>
      </c>
      <c r="D1151" s="2"/>
      <c r="E1151" s="2"/>
      <c r="F1151" s="2"/>
      <c r="G1151" s="2"/>
      <c r="H1151" s="2"/>
      <c r="I1151" s="25"/>
    </row>
    <row r="1152" spans="1:9" x14ac:dyDescent="0.25">
      <c r="A1152" s="7"/>
      <c r="B1152" s="42" t="s">
        <v>2960</v>
      </c>
      <c r="C1152" s="42" t="s">
        <v>2961</v>
      </c>
      <c r="D1152" s="2"/>
      <c r="E1152" s="2"/>
      <c r="F1152" s="2"/>
      <c r="G1152" s="2"/>
      <c r="H1152" s="2"/>
      <c r="I1152" s="25"/>
    </row>
    <row r="1153" spans="1:9" x14ac:dyDescent="0.25">
      <c r="A1153" s="7"/>
      <c r="B1153" s="42" t="s">
        <v>2999</v>
      </c>
      <c r="C1153" s="42" t="s">
        <v>3000</v>
      </c>
      <c r="D1153" s="2"/>
      <c r="E1153" s="2"/>
      <c r="F1153" s="2"/>
      <c r="G1153" s="2"/>
      <c r="H1153" s="2"/>
      <c r="I1153" s="25"/>
    </row>
    <row r="1154" spans="1:9" x14ac:dyDescent="0.25">
      <c r="A1154" s="7"/>
      <c r="B1154" s="42" t="s">
        <v>4016</v>
      </c>
      <c r="C1154" s="42" t="s">
        <v>4016</v>
      </c>
      <c r="D1154" s="2"/>
      <c r="E1154" s="2"/>
      <c r="F1154" s="2"/>
      <c r="G1154" s="2"/>
      <c r="H1154" s="2"/>
      <c r="I1154" s="25"/>
    </row>
    <row r="1155" spans="1:9" x14ac:dyDescent="0.25">
      <c r="A1155" s="7"/>
      <c r="B1155" s="42" t="s">
        <v>4018</v>
      </c>
      <c r="C1155" s="42" t="s">
        <v>4018</v>
      </c>
      <c r="D1155" s="2"/>
      <c r="E1155" s="2"/>
      <c r="F1155" s="2"/>
      <c r="G1155" s="2"/>
      <c r="H1155" s="2"/>
      <c r="I1155" s="25"/>
    </row>
    <row r="1156" spans="1:9" x14ac:dyDescent="0.25">
      <c r="A1156" s="7"/>
      <c r="B1156" s="42" t="s">
        <v>4020</v>
      </c>
      <c r="C1156" s="42" t="s">
        <v>4020</v>
      </c>
      <c r="D1156" s="2"/>
      <c r="E1156" s="2"/>
      <c r="F1156" s="2"/>
      <c r="G1156" s="2"/>
      <c r="H1156" s="2"/>
      <c r="I1156" s="25"/>
    </row>
    <row r="1157" spans="1:9" x14ac:dyDescent="0.25">
      <c r="A1157" s="7"/>
      <c r="B1157" s="42" t="s">
        <v>4022</v>
      </c>
      <c r="C1157" s="42" t="s">
        <v>4022</v>
      </c>
      <c r="D1157" s="2"/>
      <c r="E1157" s="2"/>
      <c r="F1157" s="2"/>
      <c r="G1157" s="2"/>
      <c r="H1157" s="2"/>
      <c r="I1157" s="25"/>
    </row>
    <row r="1158" spans="1:9" x14ac:dyDescent="0.25">
      <c r="A1158" s="7"/>
      <c r="B1158" s="42" t="s">
        <v>4024</v>
      </c>
      <c r="C1158" s="42" t="s">
        <v>4024</v>
      </c>
      <c r="D1158" s="2"/>
      <c r="E1158" s="2"/>
      <c r="F1158" s="2"/>
      <c r="G1158" s="2"/>
      <c r="H1158" s="2"/>
      <c r="I1158" s="25"/>
    </row>
    <row r="1159" spans="1:9" x14ac:dyDescent="0.25">
      <c r="A1159" s="7"/>
      <c r="B1159" s="42" t="s">
        <v>4026</v>
      </c>
      <c r="C1159" s="42" t="s">
        <v>4026</v>
      </c>
      <c r="D1159" s="2"/>
      <c r="E1159" s="2"/>
      <c r="F1159" s="2"/>
      <c r="G1159" s="2"/>
      <c r="H1159" s="2"/>
      <c r="I1159" s="25"/>
    </row>
    <row r="1160" spans="1:9" x14ac:dyDescent="0.25">
      <c r="A1160" s="7"/>
      <c r="B1160" s="42" t="s">
        <v>4028</v>
      </c>
      <c r="C1160" s="42" t="s">
        <v>4028</v>
      </c>
      <c r="D1160" s="2"/>
      <c r="E1160" s="2"/>
      <c r="F1160" s="2"/>
      <c r="G1160" s="2"/>
      <c r="H1160" s="2"/>
      <c r="I1160" s="25"/>
    </row>
    <row r="1161" spans="1:9" x14ac:dyDescent="0.25">
      <c r="A1161" s="7"/>
      <c r="B1161" s="42" t="s">
        <v>3213</v>
      </c>
      <c r="C1161" s="42" t="s">
        <v>3214</v>
      </c>
      <c r="D1161" s="2"/>
      <c r="E1161" s="2"/>
      <c r="F1161" s="2"/>
      <c r="G1161" s="2"/>
      <c r="H1161" s="2"/>
      <c r="I1161" s="25"/>
    </row>
    <row r="1162" spans="1:9" x14ac:dyDescent="0.25">
      <c r="A1162" s="9"/>
      <c r="B1162" s="50" t="s">
        <v>3662</v>
      </c>
      <c r="C1162" s="50" t="s">
        <v>3662</v>
      </c>
      <c r="D1162" s="20"/>
      <c r="E1162" s="20"/>
      <c r="F1162" s="20"/>
      <c r="G1162" s="20"/>
      <c r="H1162" s="20"/>
      <c r="I1162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62"/>
  <sheetViews>
    <sheetView topLeftCell="A1076" zoomScaleNormal="100" workbookViewId="0">
      <selection activeCell="B1088" sqref="B1088:C116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19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0" t="s">
        <v>3709</v>
      </c>
      <c r="E1087" s="2" t="s">
        <v>651</v>
      </c>
      <c r="F1087" s="20" t="str">
        <f>VLOOKUP(Table8[[#This Row],[نام کارشناس دفتر فنی]],Table1[],3,0)</f>
        <v>کارشناس تکنولوژی و کنترل تولید 7</v>
      </c>
      <c r="G1087" s="2" t="s">
        <v>844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/>
      <c r="B1088" s="42" t="s">
        <v>3888</v>
      </c>
      <c r="C1088" s="42" t="s">
        <v>3888</v>
      </c>
      <c r="D1088" s="4"/>
      <c r="E1088" s="4"/>
      <c r="F1088" s="4"/>
      <c r="G1088" s="4"/>
      <c r="H1088" s="4"/>
      <c r="I1088" s="25"/>
    </row>
    <row r="1089" spans="1:9" x14ac:dyDescent="0.25">
      <c r="A1089" s="7"/>
      <c r="B1089" s="42" t="s">
        <v>3890</v>
      </c>
      <c r="C1089" s="42" t="s">
        <v>3890</v>
      </c>
      <c r="D1089" s="4"/>
      <c r="E1089" s="4"/>
      <c r="F1089" s="4"/>
      <c r="G1089" s="4"/>
      <c r="H1089" s="4"/>
      <c r="I1089" s="25"/>
    </row>
    <row r="1090" spans="1:9" x14ac:dyDescent="0.25">
      <c r="A1090" s="7"/>
      <c r="B1090" s="42" t="s">
        <v>3892</v>
      </c>
      <c r="C1090" s="42" t="s">
        <v>3892</v>
      </c>
      <c r="D1090" s="4"/>
      <c r="E1090" s="4"/>
      <c r="F1090" s="4"/>
      <c r="G1090" s="4"/>
      <c r="H1090" s="4"/>
      <c r="I1090" s="25"/>
    </row>
    <row r="1091" spans="1:9" x14ac:dyDescent="0.25">
      <c r="A1091" s="7"/>
      <c r="B1091" s="42" t="s">
        <v>4168</v>
      </c>
      <c r="C1091" s="42" t="s">
        <v>4168</v>
      </c>
      <c r="D1091" s="4"/>
      <c r="E1091" s="4"/>
      <c r="F1091" s="4"/>
      <c r="G1091" s="4"/>
      <c r="H1091" s="4"/>
      <c r="I1091" s="25"/>
    </row>
    <row r="1092" spans="1:9" x14ac:dyDescent="0.25">
      <c r="A1092" s="7"/>
      <c r="B1092" s="42" t="s">
        <v>4170</v>
      </c>
      <c r="C1092" s="42" t="s">
        <v>4170</v>
      </c>
      <c r="D1092" s="4"/>
      <c r="E1092" s="4"/>
      <c r="F1092" s="4"/>
      <c r="G1092" s="4"/>
      <c r="H1092" s="4"/>
      <c r="I1092" s="25"/>
    </row>
    <row r="1093" spans="1:9" x14ac:dyDescent="0.25">
      <c r="A1093" s="7"/>
      <c r="B1093" s="42" t="s">
        <v>4172</v>
      </c>
      <c r="C1093" s="42" t="s">
        <v>4172</v>
      </c>
      <c r="D1093" s="4"/>
      <c r="E1093" s="4"/>
      <c r="F1093" s="4"/>
      <c r="G1093" s="4"/>
      <c r="H1093" s="4"/>
      <c r="I1093" s="25"/>
    </row>
    <row r="1094" spans="1:9" x14ac:dyDescent="0.25">
      <c r="A1094" s="7"/>
      <c r="B1094" s="42" t="s">
        <v>4174</v>
      </c>
      <c r="C1094" s="42" t="s">
        <v>4174</v>
      </c>
      <c r="D1094" s="4"/>
      <c r="E1094" s="4"/>
      <c r="F1094" s="4"/>
      <c r="G1094" s="4"/>
      <c r="H1094" s="4"/>
      <c r="I1094" s="25"/>
    </row>
    <row r="1095" spans="1:9" x14ac:dyDescent="0.25">
      <c r="A1095" s="7"/>
      <c r="B1095" s="42" t="s">
        <v>4176</v>
      </c>
      <c r="C1095" s="42" t="s">
        <v>4176</v>
      </c>
      <c r="D1095" s="4"/>
      <c r="E1095" s="4"/>
      <c r="F1095" s="4"/>
      <c r="G1095" s="4"/>
      <c r="H1095" s="4"/>
      <c r="I1095" s="25"/>
    </row>
    <row r="1096" spans="1:9" x14ac:dyDescent="0.25">
      <c r="A1096" s="7"/>
      <c r="B1096" s="42" t="s">
        <v>4178</v>
      </c>
      <c r="C1096" s="42" t="s">
        <v>4178</v>
      </c>
      <c r="D1096" s="4"/>
      <c r="E1096" s="4"/>
      <c r="F1096" s="4"/>
      <c r="G1096" s="4"/>
      <c r="H1096" s="4"/>
      <c r="I1096" s="25"/>
    </row>
    <row r="1097" spans="1:9" x14ac:dyDescent="0.25">
      <c r="A1097" s="7"/>
      <c r="B1097" s="42" t="s">
        <v>4180</v>
      </c>
      <c r="C1097" s="42" t="s">
        <v>4180</v>
      </c>
      <c r="D1097" s="4"/>
      <c r="E1097" s="4"/>
      <c r="F1097" s="4"/>
      <c r="G1097" s="4"/>
      <c r="H1097" s="4"/>
      <c r="I1097" s="25"/>
    </row>
    <row r="1098" spans="1:9" x14ac:dyDescent="0.25">
      <c r="A1098" s="7"/>
      <c r="B1098" s="42" t="s">
        <v>4182</v>
      </c>
      <c r="C1098" s="42" t="s">
        <v>4182</v>
      </c>
      <c r="D1098" s="4"/>
      <c r="E1098" s="4"/>
      <c r="F1098" s="4"/>
      <c r="G1098" s="4"/>
      <c r="H1098" s="4"/>
      <c r="I1098" s="25"/>
    </row>
    <row r="1099" spans="1:9" x14ac:dyDescent="0.25">
      <c r="A1099" s="7"/>
      <c r="B1099" s="42" t="s">
        <v>4184</v>
      </c>
      <c r="C1099" s="42" t="s">
        <v>4184</v>
      </c>
      <c r="D1099" s="4"/>
      <c r="E1099" s="4"/>
      <c r="F1099" s="4"/>
      <c r="G1099" s="4"/>
      <c r="H1099" s="4"/>
      <c r="I1099" s="25"/>
    </row>
    <row r="1100" spans="1:9" x14ac:dyDescent="0.25">
      <c r="A1100" s="7"/>
      <c r="B1100" s="42" t="s">
        <v>4186</v>
      </c>
      <c r="C1100" s="42" t="s">
        <v>4186</v>
      </c>
      <c r="D1100" s="4"/>
      <c r="E1100" s="4"/>
      <c r="F1100" s="4"/>
      <c r="G1100" s="4"/>
      <c r="H1100" s="4"/>
      <c r="I1100" s="25"/>
    </row>
    <row r="1101" spans="1:9" x14ac:dyDescent="0.25">
      <c r="A1101" s="7"/>
      <c r="B1101" s="42" t="s">
        <v>4188</v>
      </c>
      <c r="C1101" s="42" t="s">
        <v>4188</v>
      </c>
      <c r="D1101" s="4"/>
      <c r="E1101" s="4"/>
      <c r="F1101" s="4"/>
      <c r="G1101" s="4"/>
      <c r="H1101" s="4"/>
      <c r="I1101" s="25"/>
    </row>
    <row r="1102" spans="1:9" x14ac:dyDescent="0.25">
      <c r="A1102" s="7"/>
      <c r="B1102" s="42" t="s">
        <v>4190</v>
      </c>
      <c r="C1102" s="42" t="s">
        <v>4190</v>
      </c>
      <c r="D1102" s="4"/>
      <c r="E1102" s="4"/>
      <c r="F1102" s="4"/>
      <c r="G1102" s="4"/>
      <c r="H1102" s="4"/>
      <c r="I1102" s="25"/>
    </row>
    <row r="1103" spans="1:9" x14ac:dyDescent="0.25">
      <c r="A1103" s="7"/>
      <c r="B1103" s="42" t="s">
        <v>4192</v>
      </c>
      <c r="C1103" s="42" t="s">
        <v>4192</v>
      </c>
      <c r="D1103" s="4"/>
      <c r="E1103" s="4"/>
      <c r="F1103" s="4"/>
      <c r="G1103" s="4"/>
      <c r="H1103" s="4"/>
      <c r="I1103" s="25"/>
    </row>
    <row r="1104" spans="1:9" x14ac:dyDescent="0.25">
      <c r="A1104" s="7"/>
      <c r="B1104" s="42" t="s">
        <v>4194</v>
      </c>
      <c r="C1104" s="42" t="s">
        <v>4194</v>
      </c>
      <c r="D1104" s="4"/>
      <c r="E1104" s="4"/>
      <c r="F1104" s="4"/>
      <c r="G1104" s="4"/>
      <c r="H1104" s="4"/>
      <c r="I1104" s="25"/>
    </row>
    <row r="1105" spans="1:9" x14ac:dyDescent="0.25">
      <c r="A1105" s="7"/>
      <c r="B1105" s="42" t="s">
        <v>4196</v>
      </c>
      <c r="C1105" s="42" t="s">
        <v>4196</v>
      </c>
      <c r="D1105" s="4"/>
      <c r="E1105" s="4"/>
      <c r="F1105" s="4"/>
      <c r="G1105" s="4"/>
      <c r="H1105" s="4"/>
      <c r="I1105" s="25"/>
    </row>
    <row r="1106" spans="1:9" x14ac:dyDescent="0.25">
      <c r="A1106" s="7"/>
      <c r="B1106" s="42" t="s">
        <v>3894</v>
      </c>
      <c r="C1106" s="42" t="s">
        <v>3894</v>
      </c>
      <c r="D1106" s="4"/>
      <c r="E1106" s="4"/>
      <c r="F1106" s="4"/>
      <c r="G1106" s="4"/>
      <c r="H1106" s="4"/>
      <c r="I1106" s="25"/>
    </row>
    <row r="1107" spans="1:9" x14ac:dyDescent="0.25">
      <c r="A1107" s="7"/>
      <c r="B1107" s="42" t="s">
        <v>3896</v>
      </c>
      <c r="C1107" s="42" t="s">
        <v>3896</v>
      </c>
      <c r="D1107" s="4"/>
      <c r="E1107" s="4"/>
      <c r="F1107" s="4"/>
      <c r="G1107" s="4"/>
      <c r="H1107" s="4"/>
      <c r="I1107" s="25"/>
    </row>
    <row r="1108" spans="1:9" x14ac:dyDescent="0.25">
      <c r="A1108" s="7"/>
      <c r="B1108" s="42" t="s">
        <v>3898</v>
      </c>
      <c r="C1108" s="42" t="s">
        <v>3898</v>
      </c>
      <c r="D1108" s="4"/>
      <c r="E1108" s="4"/>
      <c r="F1108" s="4"/>
      <c r="G1108" s="4"/>
      <c r="H1108" s="4"/>
      <c r="I1108" s="25"/>
    </row>
    <row r="1109" spans="1:9" x14ac:dyDescent="0.25">
      <c r="A1109" s="7"/>
      <c r="B1109" s="42" t="s">
        <v>3900</v>
      </c>
      <c r="C1109" s="42" t="s">
        <v>3900</v>
      </c>
      <c r="D1109" s="4"/>
      <c r="E1109" s="4"/>
      <c r="F1109" s="4"/>
      <c r="G1109" s="4"/>
      <c r="H1109" s="4"/>
      <c r="I1109" s="25"/>
    </row>
    <row r="1110" spans="1:9" x14ac:dyDescent="0.25">
      <c r="A1110" s="7"/>
      <c r="B1110" s="42" t="s">
        <v>3902</v>
      </c>
      <c r="C1110" s="42" t="s">
        <v>3902</v>
      </c>
      <c r="D1110" s="4"/>
      <c r="E1110" s="4"/>
      <c r="F1110" s="4"/>
      <c r="G1110" s="4"/>
      <c r="H1110" s="4"/>
      <c r="I1110" s="25"/>
    </row>
    <row r="1111" spans="1:9" x14ac:dyDescent="0.25">
      <c r="A1111" s="7"/>
      <c r="B1111" s="42" t="s">
        <v>3904</v>
      </c>
      <c r="C1111" s="42" t="s">
        <v>3904</v>
      </c>
      <c r="D1111" s="4"/>
      <c r="E1111" s="4"/>
      <c r="F1111" s="4"/>
      <c r="G1111" s="4"/>
      <c r="H1111" s="4"/>
      <c r="I1111" s="25"/>
    </row>
    <row r="1112" spans="1:9" x14ac:dyDescent="0.25">
      <c r="A1112" s="7"/>
      <c r="B1112" s="42" t="s">
        <v>3906</v>
      </c>
      <c r="C1112" s="42" t="s">
        <v>3906</v>
      </c>
      <c r="D1112" s="4"/>
      <c r="E1112" s="4"/>
      <c r="F1112" s="4"/>
      <c r="G1112" s="4"/>
      <c r="H1112" s="4"/>
      <c r="I1112" s="25"/>
    </row>
    <row r="1113" spans="1:9" x14ac:dyDescent="0.25">
      <c r="A1113" s="7"/>
      <c r="B1113" s="42" t="s">
        <v>3908</v>
      </c>
      <c r="C1113" s="42" t="s">
        <v>3908</v>
      </c>
      <c r="D1113" s="4"/>
      <c r="E1113" s="4"/>
      <c r="F1113" s="4"/>
      <c r="G1113" s="4"/>
      <c r="H1113" s="4"/>
      <c r="I1113" s="25"/>
    </row>
    <row r="1114" spans="1:9" x14ac:dyDescent="0.25">
      <c r="A1114" s="7"/>
      <c r="B1114" s="42" t="s">
        <v>3910</v>
      </c>
      <c r="C1114" s="42" t="s">
        <v>3910</v>
      </c>
      <c r="D1114" s="4"/>
      <c r="E1114" s="4"/>
      <c r="F1114" s="4"/>
      <c r="G1114" s="4"/>
      <c r="H1114" s="4"/>
      <c r="I1114" s="25"/>
    </row>
    <row r="1115" spans="1:9" x14ac:dyDescent="0.25">
      <c r="A1115" s="7"/>
      <c r="B1115" s="42" t="s">
        <v>3912</v>
      </c>
      <c r="C1115" s="42" t="s">
        <v>3912</v>
      </c>
      <c r="D1115" s="4"/>
      <c r="E1115" s="4"/>
      <c r="F1115" s="4"/>
      <c r="G1115" s="4"/>
      <c r="H1115" s="4"/>
      <c r="I1115" s="25"/>
    </row>
    <row r="1116" spans="1:9" x14ac:dyDescent="0.25">
      <c r="A1116" s="7"/>
      <c r="B1116" s="42" t="s">
        <v>3914</v>
      </c>
      <c r="C1116" s="42" t="s">
        <v>3914</v>
      </c>
      <c r="D1116" s="4"/>
      <c r="E1116" s="4"/>
      <c r="F1116" s="4"/>
      <c r="G1116" s="4"/>
      <c r="H1116" s="4"/>
      <c r="I1116" s="25"/>
    </row>
    <row r="1117" spans="1:9" x14ac:dyDescent="0.25">
      <c r="A1117" s="7"/>
      <c r="B1117" s="42" t="s">
        <v>2478</v>
      </c>
      <c r="C1117" s="42" t="s">
        <v>3916</v>
      </c>
      <c r="D1117" s="4"/>
      <c r="E1117" s="4"/>
      <c r="F1117" s="4"/>
      <c r="G1117" s="4"/>
      <c r="H1117" s="4"/>
      <c r="I1117" s="25"/>
    </row>
    <row r="1118" spans="1:9" x14ac:dyDescent="0.25">
      <c r="A1118" s="7"/>
      <c r="B1118" s="42" t="s">
        <v>2480</v>
      </c>
      <c r="C1118" s="42" t="s">
        <v>3917</v>
      </c>
      <c r="D1118" s="4"/>
      <c r="E1118" s="4"/>
      <c r="F1118" s="4"/>
      <c r="G1118" s="4"/>
      <c r="H1118" s="4"/>
      <c r="I1118" s="25"/>
    </row>
    <row r="1119" spans="1:9" x14ac:dyDescent="0.25">
      <c r="A1119" s="7"/>
      <c r="B1119" s="42" t="s">
        <v>2532</v>
      </c>
      <c r="C1119" s="42" t="s">
        <v>3920</v>
      </c>
      <c r="D1119" s="4"/>
      <c r="E1119" s="4"/>
      <c r="F1119" s="4"/>
      <c r="G1119" s="4"/>
      <c r="H1119" s="4"/>
      <c r="I1119" s="25"/>
    </row>
    <row r="1120" spans="1:9" x14ac:dyDescent="0.25">
      <c r="A1120" s="7"/>
      <c r="B1120" s="42" t="s">
        <v>3922</v>
      </c>
      <c r="C1120" s="42" t="s">
        <v>3922</v>
      </c>
      <c r="D1120" s="4"/>
      <c r="E1120" s="4"/>
      <c r="F1120" s="4"/>
      <c r="G1120" s="4"/>
      <c r="H1120" s="4"/>
      <c r="I1120" s="25"/>
    </row>
    <row r="1121" spans="1:9" x14ac:dyDescent="0.25">
      <c r="A1121" s="7"/>
      <c r="B1121" s="42" t="s">
        <v>2540</v>
      </c>
      <c r="C1121" s="42" t="s">
        <v>3925</v>
      </c>
      <c r="D1121" s="4"/>
      <c r="E1121" s="4"/>
      <c r="F1121" s="4"/>
      <c r="G1121" s="4"/>
      <c r="H1121" s="4"/>
      <c r="I1121" s="25"/>
    </row>
    <row r="1122" spans="1:9" x14ac:dyDescent="0.25">
      <c r="A1122" s="7"/>
      <c r="B1122" s="42" t="s">
        <v>3931</v>
      </c>
      <c r="C1122" s="42" t="s">
        <v>3931</v>
      </c>
      <c r="D1122" s="4"/>
      <c r="E1122" s="4"/>
      <c r="F1122" s="4"/>
      <c r="G1122" s="4"/>
      <c r="H1122" s="4"/>
      <c r="I1122" s="25"/>
    </row>
    <row r="1123" spans="1:9" x14ac:dyDescent="0.25">
      <c r="A1123" s="7"/>
      <c r="B1123" s="42" t="s">
        <v>3933</v>
      </c>
      <c r="C1123" s="42" t="s">
        <v>3933</v>
      </c>
      <c r="D1123" s="4"/>
      <c r="E1123" s="4"/>
      <c r="F1123" s="4"/>
      <c r="G1123" s="4"/>
      <c r="H1123" s="4"/>
      <c r="I1123" s="25"/>
    </row>
    <row r="1124" spans="1:9" x14ac:dyDescent="0.25">
      <c r="A1124" s="7"/>
      <c r="B1124" s="42" t="s">
        <v>3935</v>
      </c>
      <c r="C1124" s="42" t="s">
        <v>3935</v>
      </c>
      <c r="D1124" s="4"/>
      <c r="E1124" s="4"/>
      <c r="F1124" s="4"/>
      <c r="G1124" s="4"/>
      <c r="H1124" s="4"/>
      <c r="I1124" s="25"/>
    </row>
    <row r="1125" spans="1:9" x14ac:dyDescent="0.25">
      <c r="A1125" s="7"/>
      <c r="B1125" s="42" t="s">
        <v>3937</v>
      </c>
      <c r="C1125" s="42" t="s">
        <v>3937</v>
      </c>
      <c r="D1125" s="4"/>
      <c r="E1125" s="4"/>
      <c r="F1125" s="4"/>
      <c r="G1125" s="4"/>
      <c r="H1125" s="4"/>
      <c r="I1125" s="25"/>
    </row>
    <row r="1126" spans="1:9" x14ac:dyDescent="0.25">
      <c r="A1126" s="7"/>
      <c r="B1126" s="42" t="s">
        <v>3939</v>
      </c>
      <c r="C1126" s="42" t="s">
        <v>3939</v>
      </c>
      <c r="D1126" s="4"/>
      <c r="E1126" s="4"/>
      <c r="F1126" s="4"/>
      <c r="G1126" s="4"/>
      <c r="H1126" s="4"/>
      <c r="I1126" s="25"/>
    </row>
    <row r="1127" spans="1:9" x14ac:dyDescent="0.25">
      <c r="A1127" s="7"/>
      <c r="B1127" s="42" t="s">
        <v>3941</v>
      </c>
      <c r="C1127" s="42" t="s">
        <v>3941</v>
      </c>
      <c r="D1127" s="4"/>
      <c r="E1127" s="4"/>
      <c r="F1127" s="4"/>
      <c r="G1127" s="4"/>
      <c r="H1127" s="4"/>
      <c r="I1127" s="25"/>
    </row>
    <row r="1128" spans="1:9" x14ac:dyDescent="0.25">
      <c r="A1128" s="7"/>
      <c r="B1128" s="42" t="s">
        <v>3943</v>
      </c>
      <c r="C1128" s="42" t="s">
        <v>3943</v>
      </c>
      <c r="D1128" s="4"/>
      <c r="E1128" s="4"/>
      <c r="F1128" s="4"/>
      <c r="G1128" s="4"/>
      <c r="H1128" s="4"/>
      <c r="I1128" s="25"/>
    </row>
    <row r="1129" spans="1:9" x14ac:dyDescent="0.25">
      <c r="A1129" s="7"/>
      <c r="B1129" s="42" t="s">
        <v>3945</v>
      </c>
      <c r="C1129" s="42" t="s">
        <v>3945</v>
      </c>
      <c r="D1129" s="4"/>
      <c r="E1129" s="4"/>
      <c r="F1129" s="4"/>
      <c r="G1129" s="4"/>
      <c r="H1129" s="4"/>
      <c r="I1129" s="25"/>
    </row>
    <row r="1130" spans="1:9" x14ac:dyDescent="0.25">
      <c r="A1130" s="7"/>
      <c r="B1130" s="42" t="s">
        <v>3947</v>
      </c>
      <c r="C1130" s="42" t="s">
        <v>3947</v>
      </c>
      <c r="D1130" s="4"/>
      <c r="E1130" s="4"/>
      <c r="F1130" s="4"/>
      <c r="G1130" s="4"/>
      <c r="H1130" s="4"/>
      <c r="I1130" s="25"/>
    </row>
    <row r="1131" spans="1:9" x14ac:dyDescent="0.25">
      <c r="A1131" s="7"/>
      <c r="B1131" s="42" t="s">
        <v>3949</v>
      </c>
      <c r="C1131" s="42" t="s">
        <v>3949</v>
      </c>
      <c r="D1131" s="4"/>
      <c r="E1131" s="4"/>
      <c r="F1131" s="4"/>
      <c r="G1131" s="4"/>
      <c r="H1131" s="4"/>
      <c r="I1131" s="25"/>
    </row>
    <row r="1132" spans="1:9" x14ac:dyDescent="0.25">
      <c r="A1132" s="7"/>
      <c r="B1132" s="42" t="s">
        <v>3951</v>
      </c>
      <c r="C1132" s="42" t="s">
        <v>3951</v>
      </c>
      <c r="D1132" s="4"/>
      <c r="E1132" s="4"/>
      <c r="F1132" s="4"/>
      <c r="G1132" s="4"/>
      <c r="H1132" s="4"/>
      <c r="I1132" s="25"/>
    </row>
    <row r="1133" spans="1:9" x14ac:dyDescent="0.25">
      <c r="A1133" s="7"/>
      <c r="B1133" s="42" t="s">
        <v>3953</v>
      </c>
      <c r="C1133" s="42" t="s">
        <v>3953</v>
      </c>
      <c r="D1133" s="4"/>
      <c r="E1133" s="4"/>
      <c r="F1133" s="4"/>
      <c r="G1133" s="4"/>
      <c r="H1133" s="4"/>
      <c r="I1133" s="25"/>
    </row>
    <row r="1134" spans="1:9" x14ac:dyDescent="0.25">
      <c r="A1134" s="7"/>
      <c r="B1134" s="42" t="s">
        <v>3962</v>
      </c>
      <c r="C1134" s="42" t="s">
        <v>3962</v>
      </c>
      <c r="D1134" s="4"/>
      <c r="E1134" s="4"/>
      <c r="F1134" s="4"/>
      <c r="G1134" s="4"/>
      <c r="H1134" s="4"/>
      <c r="I1134" s="25"/>
    </row>
    <row r="1135" spans="1:9" x14ac:dyDescent="0.25">
      <c r="A1135" s="7"/>
      <c r="B1135" s="42" t="s">
        <v>3964</v>
      </c>
      <c r="C1135" s="42" t="s">
        <v>3964</v>
      </c>
      <c r="D1135" s="4"/>
      <c r="E1135" s="4"/>
      <c r="F1135" s="4"/>
      <c r="G1135" s="4"/>
      <c r="H1135" s="4"/>
      <c r="I1135" s="25"/>
    </row>
    <row r="1136" spans="1:9" x14ac:dyDescent="0.25">
      <c r="A1136" s="7"/>
      <c r="B1136" s="42" t="s">
        <v>3966</v>
      </c>
      <c r="C1136" s="42" t="s">
        <v>3966</v>
      </c>
      <c r="D1136" s="4"/>
      <c r="E1136" s="4"/>
      <c r="F1136" s="4"/>
      <c r="G1136" s="4"/>
      <c r="H1136" s="4"/>
      <c r="I1136" s="25"/>
    </row>
    <row r="1137" spans="1:9" x14ac:dyDescent="0.25">
      <c r="A1137" s="7"/>
      <c r="B1137" s="42" t="s">
        <v>2693</v>
      </c>
      <c r="C1137" s="42" t="s">
        <v>3968</v>
      </c>
      <c r="D1137" s="4"/>
      <c r="E1137" s="4"/>
      <c r="F1137" s="4"/>
      <c r="G1137" s="4"/>
      <c r="H1137" s="4"/>
      <c r="I1137" s="25"/>
    </row>
    <row r="1138" spans="1:9" x14ac:dyDescent="0.25">
      <c r="A1138" s="7"/>
      <c r="B1138" s="42" t="s">
        <v>2707</v>
      </c>
      <c r="C1138" s="42" t="s">
        <v>3970</v>
      </c>
      <c r="D1138" s="4"/>
      <c r="E1138" s="4"/>
      <c r="F1138" s="4"/>
      <c r="G1138" s="4"/>
      <c r="H1138" s="4"/>
      <c r="I1138" s="25"/>
    </row>
    <row r="1139" spans="1:9" x14ac:dyDescent="0.25">
      <c r="A1139" s="7"/>
      <c r="B1139" s="42" t="s">
        <v>3972</v>
      </c>
      <c r="C1139" s="42" t="s">
        <v>3972</v>
      </c>
      <c r="D1139" s="4"/>
      <c r="E1139" s="4"/>
      <c r="F1139" s="4"/>
      <c r="G1139" s="4"/>
      <c r="H1139" s="4"/>
      <c r="I1139" s="25"/>
    </row>
    <row r="1140" spans="1:9" x14ac:dyDescent="0.25">
      <c r="A1140" s="7"/>
      <c r="B1140" s="42" t="s">
        <v>3974</v>
      </c>
      <c r="C1140" s="42" t="s">
        <v>3974</v>
      </c>
      <c r="D1140" s="4"/>
      <c r="E1140" s="4"/>
      <c r="F1140" s="4"/>
      <c r="G1140" s="4"/>
      <c r="H1140" s="4"/>
      <c r="I1140" s="25"/>
    </row>
    <row r="1141" spans="1:9" x14ac:dyDescent="0.25">
      <c r="A1141" s="7"/>
      <c r="B1141" s="42" t="s">
        <v>3977</v>
      </c>
      <c r="C1141" s="42" t="s">
        <v>3977</v>
      </c>
      <c r="D1141" s="4"/>
      <c r="E1141" s="4"/>
      <c r="F1141" s="4"/>
      <c r="G1141" s="4"/>
      <c r="H1141" s="4"/>
      <c r="I1141" s="25"/>
    </row>
    <row r="1142" spans="1:9" x14ac:dyDescent="0.25">
      <c r="A1142" s="7"/>
      <c r="B1142" s="42" t="s">
        <v>3986</v>
      </c>
      <c r="C1142" s="42" t="s">
        <v>3986</v>
      </c>
      <c r="D1142" s="4"/>
      <c r="E1142" s="4"/>
      <c r="F1142" s="4"/>
      <c r="G1142" s="4"/>
      <c r="H1142" s="4"/>
      <c r="I1142" s="25"/>
    </row>
    <row r="1143" spans="1:9" x14ac:dyDescent="0.25">
      <c r="A1143" s="7"/>
      <c r="B1143" s="42" t="s">
        <v>2903</v>
      </c>
      <c r="C1143" s="42" t="s">
        <v>3989</v>
      </c>
      <c r="D1143" s="4"/>
      <c r="E1143" s="4"/>
      <c r="F1143" s="4"/>
      <c r="G1143" s="4"/>
      <c r="H1143" s="4"/>
      <c r="I1143" s="25"/>
    </row>
    <row r="1144" spans="1:9" x14ac:dyDescent="0.25">
      <c r="A1144" s="7"/>
      <c r="B1144" s="42" t="s">
        <v>2907</v>
      </c>
      <c r="C1144" s="42" t="s">
        <v>3991</v>
      </c>
      <c r="D1144" s="4"/>
      <c r="E1144" s="4"/>
      <c r="F1144" s="4"/>
      <c r="G1144" s="4"/>
      <c r="H1144" s="4"/>
      <c r="I1144" s="25"/>
    </row>
    <row r="1145" spans="1:9" x14ac:dyDescent="0.25">
      <c r="A1145" s="7"/>
      <c r="B1145" s="42" t="s">
        <v>3777</v>
      </c>
      <c r="C1145" s="42" t="s">
        <v>3993</v>
      </c>
      <c r="D1145" s="4"/>
      <c r="E1145" s="4"/>
      <c r="F1145" s="4"/>
      <c r="G1145" s="4"/>
      <c r="H1145" s="4"/>
      <c r="I1145" s="25"/>
    </row>
    <row r="1146" spans="1:9" x14ac:dyDescent="0.25">
      <c r="A1146" s="7"/>
      <c r="B1146" s="42" t="s">
        <v>2913</v>
      </c>
      <c r="C1146" s="42" t="s">
        <v>3995</v>
      </c>
      <c r="D1146" s="4"/>
      <c r="E1146" s="4"/>
      <c r="F1146" s="4"/>
      <c r="G1146" s="4"/>
      <c r="H1146" s="4"/>
      <c r="I1146" s="25"/>
    </row>
    <row r="1147" spans="1:9" x14ac:dyDescent="0.25">
      <c r="A1147" s="7"/>
      <c r="B1147" s="42" t="s">
        <v>2919</v>
      </c>
      <c r="C1147" s="42" t="s">
        <v>3998</v>
      </c>
      <c r="D1147" s="4"/>
      <c r="E1147" s="4"/>
      <c r="F1147" s="4"/>
      <c r="G1147" s="4"/>
      <c r="H1147" s="4"/>
      <c r="I1147" s="25"/>
    </row>
    <row r="1148" spans="1:9" x14ac:dyDescent="0.25">
      <c r="A1148" s="7"/>
      <c r="B1148" s="42" t="s">
        <v>2925</v>
      </c>
      <c r="C1148" s="42" t="s">
        <v>4001</v>
      </c>
      <c r="D1148" s="4"/>
      <c r="E1148" s="4"/>
      <c r="F1148" s="4"/>
      <c r="G1148" s="4"/>
      <c r="H1148" s="4"/>
      <c r="I1148" s="25"/>
    </row>
    <row r="1149" spans="1:9" x14ac:dyDescent="0.25">
      <c r="A1149" s="7"/>
      <c r="B1149" s="42" t="s">
        <v>2935</v>
      </c>
      <c r="C1149" s="42" t="s">
        <v>4006</v>
      </c>
      <c r="D1149" s="4"/>
      <c r="E1149" s="4"/>
      <c r="F1149" s="4"/>
      <c r="G1149" s="4"/>
      <c r="H1149" s="4"/>
      <c r="I1149" s="25"/>
    </row>
    <row r="1150" spans="1:9" x14ac:dyDescent="0.25">
      <c r="A1150" s="7"/>
      <c r="B1150" s="42" t="s">
        <v>2943</v>
      </c>
      <c r="C1150" s="42" t="s">
        <v>4010</v>
      </c>
      <c r="D1150" s="4"/>
      <c r="E1150" s="4"/>
      <c r="F1150" s="4"/>
      <c r="G1150" s="4"/>
      <c r="H1150" s="4"/>
      <c r="I1150" s="25"/>
    </row>
    <row r="1151" spans="1:9" x14ac:dyDescent="0.25">
      <c r="A1151" s="7"/>
      <c r="B1151" s="42" t="s">
        <v>2955</v>
      </c>
      <c r="C1151" s="42" t="s">
        <v>2956</v>
      </c>
      <c r="D1151" s="4"/>
      <c r="E1151" s="4"/>
      <c r="F1151" s="4"/>
      <c r="G1151" s="4"/>
      <c r="H1151" s="4"/>
      <c r="I1151" s="25"/>
    </row>
    <row r="1152" spans="1:9" x14ac:dyDescent="0.25">
      <c r="A1152" s="7"/>
      <c r="B1152" s="42" t="s">
        <v>2960</v>
      </c>
      <c r="C1152" s="42" t="s">
        <v>2961</v>
      </c>
      <c r="D1152" s="4"/>
      <c r="E1152" s="4"/>
      <c r="F1152" s="4"/>
      <c r="G1152" s="4"/>
      <c r="H1152" s="4"/>
      <c r="I1152" s="25"/>
    </row>
    <row r="1153" spans="1:9" x14ac:dyDescent="0.25">
      <c r="A1153" s="7"/>
      <c r="B1153" s="42" t="s">
        <v>2999</v>
      </c>
      <c r="C1153" s="42" t="s">
        <v>3000</v>
      </c>
      <c r="D1153" s="4"/>
      <c r="E1153" s="4"/>
      <c r="F1153" s="4"/>
      <c r="G1153" s="4"/>
      <c r="H1153" s="4"/>
      <c r="I1153" s="25"/>
    </row>
    <row r="1154" spans="1:9" x14ac:dyDescent="0.25">
      <c r="A1154" s="7"/>
      <c r="B1154" s="42" t="s">
        <v>4016</v>
      </c>
      <c r="C1154" s="42" t="s">
        <v>4016</v>
      </c>
      <c r="D1154" s="4"/>
      <c r="E1154" s="4"/>
      <c r="F1154" s="4"/>
      <c r="G1154" s="4"/>
      <c r="H1154" s="4"/>
      <c r="I1154" s="25"/>
    </row>
    <row r="1155" spans="1:9" x14ac:dyDescent="0.25">
      <c r="A1155" s="7"/>
      <c r="B1155" s="42" t="s">
        <v>4018</v>
      </c>
      <c r="C1155" s="42" t="s">
        <v>4018</v>
      </c>
      <c r="D1155" s="4"/>
      <c r="E1155" s="4"/>
      <c r="F1155" s="4"/>
      <c r="G1155" s="4"/>
      <c r="H1155" s="4"/>
      <c r="I1155" s="25"/>
    </row>
    <row r="1156" spans="1:9" x14ac:dyDescent="0.25">
      <c r="A1156" s="7"/>
      <c r="B1156" s="42" t="s">
        <v>4020</v>
      </c>
      <c r="C1156" s="42" t="s">
        <v>4020</v>
      </c>
      <c r="D1156" s="4"/>
      <c r="E1156" s="4"/>
      <c r="F1156" s="4"/>
      <c r="G1156" s="4"/>
      <c r="H1156" s="4"/>
      <c r="I1156" s="25"/>
    </row>
    <row r="1157" spans="1:9" x14ac:dyDescent="0.25">
      <c r="A1157" s="7"/>
      <c r="B1157" s="42" t="s">
        <v>4022</v>
      </c>
      <c r="C1157" s="42" t="s">
        <v>4022</v>
      </c>
      <c r="D1157" s="4"/>
      <c r="E1157" s="4"/>
      <c r="F1157" s="4"/>
      <c r="G1157" s="4"/>
      <c r="H1157" s="4"/>
      <c r="I1157" s="25"/>
    </row>
    <row r="1158" spans="1:9" x14ac:dyDescent="0.25">
      <c r="A1158" s="7"/>
      <c r="B1158" s="42" t="s">
        <v>4024</v>
      </c>
      <c r="C1158" s="42" t="s">
        <v>4024</v>
      </c>
      <c r="D1158" s="4"/>
      <c r="E1158" s="4"/>
      <c r="F1158" s="4"/>
      <c r="G1158" s="4"/>
      <c r="H1158" s="4"/>
      <c r="I1158" s="25"/>
    </row>
    <row r="1159" spans="1:9" x14ac:dyDescent="0.25">
      <c r="A1159" s="7"/>
      <c r="B1159" s="42" t="s">
        <v>4026</v>
      </c>
      <c r="C1159" s="42" t="s">
        <v>4026</v>
      </c>
      <c r="D1159" s="4"/>
      <c r="E1159" s="4"/>
      <c r="F1159" s="4"/>
      <c r="G1159" s="4"/>
      <c r="H1159" s="4"/>
      <c r="I1159" s="25"/>
    </row>
    <row r="1160" spans="1:9" x14ac:dyDescent="0.25">
      <c r="A1160" s="7"/>
      <c r="B1160" s="42" t="s">
        <v>4028</v>
      </c>
      <c r="C1160" s="42" t="s">
        <v>4028</v>
      </c>
      <c r="D1160" s="4"/>
      <c r="E1160" s="4"/>
      <c r="F1160" s="4"/>
      <c r="G1160" s="4"/>
      <c r="H1160" s="4"/>
      <c r="I1160" s="25"/>
    </row>
    <row r="1161" spans="1:9" x14ac:dyDescent="0.25">
      <c r="A1161" s="7"/>
      <c r="B1161" s="42" t="s">
        <v>3213</v>
      </c>
      <c r="C1161" s="42" t="s">
        <v>3214</v>
      </c>
      <c r="D1161" s="4"/>
      <c r="E1161" s="4"/>
      <c r="F1161" s="4"/>
      <c r="G1161" s="4"/>
      <c r="H1161" s="4"/>
      <c r="I1161" s="25"/>
    </row>
    <row r="1162" spans="1:9" x14ac:dyDescent="0.25">
      <c r="A1162" s="9"/>
      <c r="B1162" s="50" t="s">
        <v>3662</v>
      </c>
      <c r="C1162" s="50" t="s">
        <v>3662</v>
      </c>
      <c r="D1162" s="21"/>
      <c r="E1162" s="21"/>
      <c r="F1162" s="21"/>
      <c r="G1162" s="21"/>
      <c r="H1162" s="21"/>
      <c r="I1162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64"/>
  <sheetViews>
    <sheetView topLeftCell="A676" zoomScaleNormal="100" workbookViewId="0">
      <selection activeCell="B690" sqref="B690:C764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  <row r="690" spans="1:9" x14ac:dyDescent="0.25">
      <c r="A690" s="7"/>
      <c r="B690" s="42" t="s">
        <v>3888</v>
      </c>
      <c r="C690" s="42" t="s">
        <v>3888</v>
      </c>
      <c r="D690" s="4"/>
      <c r="E690" s="4"/>
      <c r="F690" s="4"/>
      <c r="G690" s="4"/>
      <c r="H690" s="4"/>
      <c r="I690" s="25"/>
    </row>
    <row r="691" spans="1:9" x14ac:dyDescent="0.25">
      <c r="A691" s="7"/>
      <c r="B691" s="42" t="s">
        <v>3890</v>
      </c>
      <c r="C691" s="42" t="s">
        <v>3890</v>
      </c>
      <c r="D691" s="4"/>
      <c r="E691" s="4"/>
      <c r="F691" s="4"/>
      <c r="G691" s="4"/>
      <c r="H691" s="4"/>
      <c r="I691" s="25"/>
    </row>
    <row r="692" spans="1:9" x14ac:dyDescent="0.25">
      <c r="A692" s="7"/>
      <c r="B692" s="42" t="s">
        <v>3892</v>
      </c>
      <c r="C692" s="42" t="s">
        <v>3892</v>
      </c>
      <c r="D692" s="4"/>
      <c r="E692" s="4"/>
      <c r="F692" s="4"/>
      <c r="G692" s="4"/>
      <c r="H692" s="4"/>
      <c r="I692" s="25"/>
    </row>
    <row r="693" spans="1:9" x14ac:dyDescent="0.25">
      <c r="A693" s="7"/>
      <c r="B693" s="42" t="s">
        <v>4168</v>
      </c>
      <c r="C693" s="42" t="s">
        <v>4168</v>
      </c>
      <c r="D693" s="4"/>
      <c r="E693" s="4"/>
      <c r="F693" s="4"/>
      <c r="G693" s="4"/>
      <c r="H693" s="4"/>
      <c r="I693" s="25"/>
    </row>
    <row r="694" spans="1:9" x14ac:dyDescent="0.25">
      <c r="A694" s="7"/>
      <c r="B694" s="42" t="s">
        <v>4170</v>
      </c>
      <c r="C694" s="42" t="s">
        <v>4170</v>
      </c>
      <c r="D694" s="4"/>
      <c r="E694" s="4"/>
      <c r="F694" s="4"/>
      <c r="G694" s="4"/>
      <c r="H694" s="4"/>
      <c r="I694" s="25"/>
    </row>
    <row r="695" spans="1:9" x14ac:dyDescent="0.25">
      <c r="A695" s="7"/>
      <c r="B695" s="42" t="s">
        <v>4172</v>
      </c>
      <c r="C695" s="42" t="s">
        <v>4172</v>
      </c>
      <c r="D695" s="4"/>
      <c r="E695" s="4"/>
      <c r="F695" s="4"/>
      <c r="G695" s="4"/>
      <c r="H695" s="4"/>
      <c r="I695" s="25"/>
    </row>
    <row r="696" spans="1:9" x14ac:dyDescent="0.25">
      <c r="A696" s="7"/>
      <c r="B696" s="42" t="s">
        <v>4174</v>
      </c>
      <c r="C696" s="42" t="s">
        <v>4174</v>
      </c>
      <c r="D696" s="4"/>
      <c r="E696" s="4"/>
      <c r="F696" s="4"/>
      <c r="G696" s="4"/>
      <c r="H696" s="4"/>
      <c r="I696" s="25"/>
    </row>
    <row r="697" spans="1:9" x14ac:dyDescent="0.25">
      <c r="A697" s="7"/>
      <c r="B697" s="42" t="s">
        <v>4176</v>
      </c>
      <c r="C697" s="42" t="s">
        <v>4176</v>
      </c>
      <c r="D697" s="4"/>
      <c r="E697" s="4"/>
      <c r="F697" s="4"/>
      <c r="G697" s="4"/>
      <c r="H697" s="4"/>
      <c r="I697" s="25"/>
    </row>
    <row r="698" spans="1:9" x14ac:dyDescent="0.25">
      <c r="A698" s="7"/>
      <c r="B698" s="42" t="s">
        <v>4178</v>
      </c>
      <c r="C698" s="42" t="s">
        <v>4178</v>
      </c>
      <c r="D698" s="4"/>
      <c r="E698" s="4"/>
      <c r="F698" s="4"/>
      <c r="G698" s="4"/>
      <c r="H698" s="4"/>
      <c r="I698" s="25"/>
    </row>
    <row r="699" spans="1:9" x14ac:dyDescent="0.25">
      <c r="A699" s="7"/>
      <c r="B699" s="42" t="s">
        <v>4180</v>
      </c>
      <c r="C699" s="42" t="s">
        <v>4180</v>
      </c>
      <c r="D699" s="4"/>
      <c r="E699" s="4"/>
      <c r="F699" s="4"/>
      <c r="G699" s="4"/>
      <c r="H699" s="4"/>
      <c r="I699" s="25"/>
    </row>
    <row r="700" spans="1:9" x14ac:dyDescent="0.25">
      <c r="A700" s="7"/>
      <c r="B700" s="42" t="s">
        <v>4182</v>
      </c>
      <c r="C700" s="42" t="s">
        <v>4182</v>
      </c>
      <c r="D700" s="4"/>
      <c r="E700" s="4"/>
      <c r="F700" s="4"/>
      <c r="G700" s="4"/>
      <c r="H700" s="4"/>
      <c r="I700" s="25"/>
    </row>
    <row r="701" spans="1:9" x14ac:dyDescent="0.25">
      <c r="A701" s="7"/>
      <c r="B701" s="42" t="s">
        <v>4184</v>
      </c>
      <c r="C701" s="42" t="s">
        <v>4184</v>
      </c>
      <c r="D701" s="4"/>
      <c r="E701" s="4"/>
      <c r="F701" s="4"/>
      <c r="G701" s="4"/>
      <c r="H701" s="4"/>
      <c r="I701" s="25"/>
    </row>
    <row r="702" spans="1:9" x14ac:dyDescent="0.25">
      <c r="A702" s="7"/>
      <c r="B702" s="42" t="s">
        <v>4186</v>
      </c>
      <c r="C702" s="42" t="s">
        <v>4186</v>
      </c>
      <c r="D702" s="4"/>
      <c r="E702" s="4"/>
      <c r="F702" s="4"/>
      <c r="G702" s="4"/>
      <c r="H702" s="4"/>
      <c r="I702" s="25"/>
    </row>
    <row r="703" spans="1:9" x14ac:dyDescent="0.25">
      <c r="A703" s="7"/>
      <c r="B703" s="42" t="s">
        <v>4188</v>
      </c>
      <c r="C703" s="42" t="s">
        <v>4188</v>
      </c>
      <c r="D703" s="4"/>
      <c r="E703" s="4"/>
      <c r="F703" s="4"/>
      <c r="G703" s="4"/>
      <c r="H703" s="4"/>
      <c r="I703" s="25"/>
    </row>
    <row r="704" spans="1:9" x14ac:dyDescent="0.25">
      <c r="A704" s="7"/>
      <c r="B704" s="42" t="s">
        <v>4190</v>
      </c>
      <c r="C704" s="42" t="s">
        <v>4190</v>
      </c>
      <c r="D704" s="4"/>
      <c r="E704" s="4"/>
      <c r="F704" s="4"/>
      <c r="G704" s="4"/>
      <c r="H704" s="4"/>
      <c r="I704" s="25"/>
    </row>
    <row r="705" spans="1:9" x14ac:dyDescent="0.25">
      <c r="A705" s="7"/>
      <c r="B705" s="42" t="s">
        <v>4192</v>
      </c>
      <c r="C705" s="42" t="s">
        <v>4192</v>
      </c>
      <c r="D705" s="4"/>
      <c r="E705" s="4"/>
      <c r="F705" s="4"/>
      <c r="G705" s="4"/>
      <c r="H705" s="4"/>
      <c r="I705" s="25"/>
    </row>
    <row r="706" spans="1:9" x14ac:dyDescent="0.25">
      <c r="A706" s="7"/>
      <c r="B706" s="42" t="s">
        <v>4194</v>
      </c>
      <c r="C706" s="42" t="s">
        <v>4194</v>
      </c>
      <c r="D706" s="4"/>
      <c r="E706" s="4"/>
      <c r="F706" s="4"/>
      <c r="G706" s="4"/>
      <c r="H706" s="4"/>
      <c r="I706" s="25"/>
    </row>
    <row r="707" spans="1:9" x14ac:dyDescent="0.25">
      <c r="A707" s="7"/>
      <c r="B707" s="42" t="s">
        <v>4196</v>
      </c>
      <c r="C707" s="42" t="s">
        <v>4196</v>
      </c>
      <c r="D707" s="4"/>
      <c r="E707" s="4"/>
      <c r="F707" s="4"/>
      <c r="G707" s="4"/>
      <c r="H707" s="4"/>
      <c r="I707" s="25"/>
    </row>
    <row r="708" spans="1:9" x14ac:dyDescent="0.25">
      <c r="A708" s="7"/>
      <c r="B708" s="42" t="s">
        <v>3894</v>
      </c>
      <c r="C708" s="42" t="s">
        <v>3894</v>
      </c>
      <c r="D708" s="4"/>
      <c r="E708" s="4"/>
      <c r="F708" s="4"/>
      <c r="G708" s="4"/>
      <c r="H708" s="4"/>
      <c r="I708" s="25"/>
    </row>
    <row r="709" spans="1:9" x14ac:dyDescent="0.25">
      <c r="A709" s="7"/>
      <c r="B709" s="42" t="s">
        <v>3896</v>
      </c>
      <c r="C709" s="42" t="s">
        <v>3896</v>
      </c>
      <c r="D709" s="4"/>
      <c r="E709" s="4"/>
      <c r="F709" s="4"/>
      <c r="G709" s="4"/>
      <c r="H709" s="4"/>
      <c r="I709" s="25"/>
    </row>
    <row r="710" spans="1:9" x14ac:dyDescent="0.25">
      <c r="A710" s="7"/>
      <c r="B710" s="42" t="s">
        <v>3898</v>
      </c>
      <c r="C710" s="42" t="s">
        <v>3898</v>
      </c>
      <c r="D710" s="4"/>
      <c r="E710" s="4"/>
      <c r="F710" s="4"/>
      <c r="G710" s="4"/>
      <c r="H710" s="4"/>
      <c r="I710" s="25"/>
    </row>
    <row r="711" spans="1:9" x14ac:dyDescent="0.25">
      <c r="A711" s="7"/>
      <c r="B711" s="42" t="s">
        <v>3900</v>
      </c>
      <c r="C711" s="42" t="s">
        <v>3900</v>
      </c>
      <c r="D711" s="4"/>
      <c r="E711" s="4"/>
      <c r="F711" s="4"/>
      <c r="G711" s="4"/>
      <c r="H711" s="4"/>
      <c r="I711" s="25"/>
    </row>
    <row r="712" spans="1:9" x14ac:dyDescent="0.25">
      <c r="A712" s="7"/>
      <c r="B712" s="42" t="s">
        <v>3902</v>
      </c>
      <c r="C712" s="42" t="s">
        <v>3902</v>
      </c>
      <c r="D712" s="4"/>
      <c r="E712" s="4"/>
      <c r="F712" s="4"/>
      <c r="G712" s="4"/>
      <c r="H712" s="4"/>
      <c r="I712" s="25"/>
    </row>
    <row r="713" spans="1:9" x14ac:dyDescent="0.25">
      <c r="A713" s="7"/>
      <c r="B713" s="42" t="s">
        <v>3904</v>
      </c>
      <c r="C713" s="42" t="s">
        <v>3904</v>
      </c>
      <c r="D713" s="4"/>
      <c r="E713" s="4"/>
      <c r="F713" s="4"/>
      <c r="G713" s="4"/>
      <c r="H713" s="4"/>
      <c r="I713" s="25"/>
    </row>
    <row r="714" spans="1:9" x14ac:dyDescent="0.25">
      <c r="A714" s="7"/>
      <c r="B714" s="42" t="s">
        <v>3906</v>
      </c>
      <c r="C714" s="42" t="s">
        <v>3906</v>
      </c>
      <c r="D714" s="4"/>
      <c r="E714" s="4"/>
      <c r="F714" s="4"/>
      <c r="G714" s="4"/>
      <c r="H714" s="4"/>
      <c r="I714" s="25"/>
    </row>
    <row r="715" spans="1:9" x14ac:dyDescent="0.25">
      <c r="A715" s="7"/>
      <c r="B715" s="42" t="s">
        <v>3908</v>
      </c>
      <c r="C715" s="42" t="s">
        <v>3908</v>
      </c>
      <c r="D715" s="4"/>
      <c r="E715" s="4"/>
      <c r="F715" s="4"/>
      <c r="G715" s="4"/>
      <c r="H715" s="4"/>
      <c r="I715" s="25"/>
    </row>
    <row r="716" spans="1:9" x14ac:dyDescent="0.25">
      <c r="A716" s="7"/>
      <c r="B716" s="42" t="s">
        <v>3910</v>
      </c>
      <c r="C716" s="42" t="s">
        <v>3910</v>
      </c>
      <c r="D716" s="4"/>
      <c r="E716" s="4"/>
      <c r="F716" s="4"/>
      <c r="G716" s="4"/>
      <c r="H716" s="4"/>
      <c r="I716" s="25"/>
    </row>
    <row r="717" spans="1:9" x14ac:dyDescent="0.25">
      <c r="A717" s="7"/>
      <c r="B717" s="42" t="s">
        <v>3912</v>
      </c>
      <c r="C717" s="42" t="s">
        <v>3912</v>
      </c>
      <c r="D717" s="4"/>
      <c r="E717" s="4"/>
      <c r="F717" s="4"/>
      <c r="G717" s="4"/>
      <c r="H717" s="4"/>
      <c r="I717" s="25"/>
    </row>
    <row r="718" spans="1:9" x14ac:dyDescent="0.25">
      <c r="A718" s="7"/>
      <c r="B718" s="42" t="s">
        <v>3914</v>
      </c>
      <c r="C718" s="42" t="s">
        <v>3914</v>
      </c>
      <c r="D718" s="4"/>
      <c r="E718" s="4"/>
      <c r="F718" s="4"/>
      <c r="G718" s="4"/>
      <c r="H718" s="4"/>
      <c r="I718" s="25"/>
    </row>
    <row r="719" spans="1:9" x14ac:dyDescent="0.25">
      <c r="A719" s="7"/>
      <c r="B719" s="42" t="s">
        <v>2478</v>
      </c>
      <c r="C719" s="42" t="s">
        <v>3916</v>
      </c>
      <c r="D719" s="4"/>
      <c r="E719" s="4"/>
      <c r="F719" s="4"/>
      <c r="G719" s="4"/>
      <c r="H719" s="4"/>
      <c r="I719" s="25"/>
    </row>
    <row r="720" spans="1:9" x14ac:dyDescent="0.25">
      <c r="A720" s="7"/>
      <c r="B720" s="42" t="s">
        <v>2480</v>
      </c>
      <c r="C720" s="42" t="s">
        <v>3917</v>
      </c>
      <c r="D720" s="4"/>
      <c r="E720" s="4"/>
      <c r="F720" s="4"/>
      <c r="G720" s="4"/>
      <c r="H720" s="4"/>
      <c r="I720" s="25"/>
    </row>
    <row r="721" spans="1:9" x14ac:dyDescent="0.25">
      <c r="A721" s="7"/>
      <c r="B721" s="42" t="s">
        <v>2532</v>
      </c>
      <c r="C721" s="42" t="s">
        <v>3920</v>
      </c>
      <c r="D721" s="4"/>
      <c r="E721" s="4"/>
      <c r="F721" s="4"/>
      <c r="G721" s="4"/>
      <c r="H721" s="4"/>
      <c r="I721" s="25"/>
    </row>
    <row r="722" spans="1:9" x14ac:dyDescent="0.25">
      <c r="A722" s="7"/>
      <c r="B722" s="42" t="s">
        <v>3922</v>
      </c>
      <c r="C722" s="42" t="s">
        <v>3922</v>
      </c>
      <c r="D722" s="4"/>
      <c r="E722" s="4"/>
      <c r="F722" s="4"/>
      <c r="G722" s="4"/>
      <c r="H722" s="4"/>
      <c r="I722" s="25"/>
    </row>
    <row r="723" spans="1:9" x14ac:dyDescent="0.25">
      <c r="A723" s="7"/>
      <c r="B723" s="42" t="s">
        <v>2540</v>
      </c>
      <c r="C723" s="42" t="s">
        <v>3925</v>
      </c>
      <c r="D723" s="4"/>
      <c r="E723" s="4"/>
      <c r="F723" s="4"/>
      <c r="G723" s="4"/>
      <c r="H723" s="4"/>
      <c r="I723" s="25"/>
    </row>
    <row r="724" spans="1:9" x14ac:dyDescent="0.25">
      <c r="A724" s="7"/>
      <c r="B724" s="42" t="s">
        <v>3931</v>
      </c>
      <c r="C724" s="42" t="s">
        <v>3931</v>
      </c>
      <c r="D724" s="4"/>
      <c r="E724" s="4"/>
      <c r="F724" s="4"/>
      <c r="G724" s="4"/>
      <c r="H724" s="4"/>
      <c r="I724" s="25"/>
    </row>
    <row r="725" spans="1:9" x14ac:dyDescent="0.25">
      <c r="A725" s="7"/>
      <c r="B725" s="42" t="s">
        <v>3933</v>
      </c>
      <c r="C725" s="42" t="s">
        <v>3933</v>
      </c>
      <c r="D725" s="4"/>
      <c r="E725" s="4"/>
      <c r="F725" s="4"/>
      <c r="G725" s="4"/>
      <c r="H725" s="4"/>
      <c r="I725" s="25"/>
    </row>
    <row r="726" spans="1:9" x14ac:dyDescent="0.25">
      <c r="A726" s="7"/>
      <c r="B726" s="42" t="s">
        <v>3935</v>
      </c>
      <c r="C726" s="42" t="s">
        <v>3935</v>
      </c>
      <c r="D726" s="4"/>
      <c r="E726" s="4"/>
      <c r="F726" s="4"/>
      <c r="G726" s="4"/>
      <c r="H726" s="4"/>
      <c r="I726" s="25"/>
    </row>
    <row r="727" spans="1:9" x14ac:dyDescent="0.25">
      <c r="A727" s="7"/>
      <c r="B727" s="42" t="s">
        <v>3937</v>
      </c>
      <c r="C727" s="42" t="s">
        <v>3937</v>
      </c>
      <c r="D727" s="4"/>
      <c r="E727" s="4"/>
      <c r="F727" s="4"/>
      <c r="G727" s="4"/>
      <c r="H727" s="4"/>
      <c r="I727" s="25"/>
    </row>
    <row r="728" spans="1:9" x14ac:dyDescent="0.25">
      <c r="A728" s="7"/>
      <c r="B728" s="42" t="s">
        <v>3939</v>
      </c>
      <c r="C728" s="42" t="s">
        <v>3939</v>
      </c>
      <c r="D728" s="4"/>
      <c r="E728" s="4"/>
      <c r="F728" s="4"/>
      <c r="G728" s="4"/>
      <c r="H728" s="4"/>
      <c r="I728" s="25"/>
    </row>
    <row r="729" spans="1:9" x14ac:dyDescent="0.25">
      <c r="A729" s="7"/>
      <c r="B729" s="42" t="s">
        <v>3941</v>
      </c>
      <c r="C729" s="42" t="s">
        <v>3941</v>
      </c>
      <c r="D729" s="4"/>
      <c r="E729" s="4"/>
      <c r="F729" s="4"/>
      <c r="G729" s="4"/>
      <c r="H729" s="4"/>
      <c r="I729" s="25"/>
    </row>
    <row r="730" spans="1:9" x14ac:dyDescent="0.25">
      <c r="A730" s="7"/>
      <c r="B730" s="42" t="s">
        <v>3943</v>
      </c>
      <c r="C730" s="42" t="s">
        <v>3943</v>
      </c>
      <c r="D730" s="4"/>
      <c r="E730" s="4"/>
      <c r="F730" s="4"/>
      <c r="G730" s="4"/>
      <c r="H730" s="4"/>
      <c r="I730" s="25"/>
    </row>
    <row r="731" spans="1:9" x14ac:dyDescent="0.25">
      <c r="A731" s="7"/>
      <c r="B731" s="42" t="s">
        <v>3945</v>
      </c>
      <c r="C731" s="42" t="s">
        <v>3945</v>
      </c>
      <c r="D731" s="4"/>
      <c r="E731" s="4"/>
      <c r="F731" s="4"/>
      <c r="G731" s="4"/>
      <c r="H731" s="4"/>
      <c r="I731" s="25"/>
    </row>
    <row r="732" spans="1:9" x14ac:dyDescent="0.25">
      <c r="A732" s="7"/>
      <c r="B732" s="42" t="s">
        <v>3947</v>
      </c>
      <c r="C732" s="42" t="s">
        <v>3947</v>
      </c>
      <c r="D732" s="4"/>
      <c r="E732" s="4"/>
      <c r="F732" s="4"/>
      <c r="G732" s="4"/>
      <c r="H732" s="4"/>
      <c r="I732" s="25"/>
    </row>
    <row r="733" spans="1:9" x14ac:dyDescent="0.25">
      <c r="A733" s="7"/>
      <c r="B733" s="42" t="s">
        <v>3949</v>
      </c>
      <c r="C733" s="42" t="s">
        <v>3949</v>
      </c>
      <c r="D733" s="4"/>
      <c r="E733" s="4"/>
      <c r="F733" s="4"/>
      <c r="G733" s="4"/>
      <c r="H733" s="4"/>
      <c r="I733" s="25"/>
    </row>
    <row r="734" spans="1:9" x14ac:dyDescent="0.25">
      <c r="A734" s="7"/>
      <c r="B734" s="42" t="s">
        <v>3951</v>
      </c>
      <c r="C734" s="42" t="s">
        <v>3951</v>
      </c>
      <c r="D734" s="4"/>
      <c r="E734" s="4"/>
      <c r="F734" s="4"/>
      <c r="G734" s="4"/>
      <c r="H734" s="4"/>
      <c r="I734" s="25"/>
    </row>
    <row r="735" spans="1:9" x14ac:dyDescent="0.25">
      <c r="A735" s="7"/>
      <c r="B735" s="42" t="s">
        <v>3953</v>
      </c>
      <c r="C735" s="42" t="s">
        <v>3953</v>
      </c>
      <c r="D735" s="4"/>
      <c r="E735" s="4"/>
      <c r="F735" s="4"/>
      <c r="G735" s="4"/>
      <c r="H735" s="4"/>
      <c r="I735" s="25"/>
    </row>
    <row r="736" spans="1:9" x14ac:dyDescent="0.25">
      <c r="A736" s="7"/>
      <c r="B736" s="42" t="s">
        <v>3962</v>
      </c>
      <c r="C736" s="42" t="s">
        <v>3962</v>
      </c>
      <c r="D736" s="4"/>
      <c r="E736" s="4"/>
      <c r="F736" s="4"/>
      <c r="G736" s="4"/>
      <c r="H736" s="4"/>
      <c r="I736" s="25"/>
    </row>
    <row r="737" spans="1:9" x14ac:dyDescent="0.25">
      <c r="A737" s="7"/>
      <c r="B737" s="42" t="s">
        <v>3964</v>
      </c>
      <c r="C737" s="42" t="s">
        <v>3964</v>
      </c>
      <c r="D737" s="4"/>
      <c r="E737" s="4"/>
      <c r="F737" s="4"/>
      <c r="G737" s="4"/>
      <c r="H737" s="4"/>
      <c r="I737" s="25"/>
    </row>
    <row r="738" spans="1:9" x14ac:dyDescent="0.25">
      <c r="A738" s="7"/>
      <c r="B738" s="42" t="s">
        <v>3966</v>
      </c>
      <c r="C738" s="42" t="s">
        <v>3966</v>
      </c>
      <c r="D738" s="4"/>
      <c r="E738" s="4"/>
      <c r="F738" s="4"/>
      <c r="G738" s="4"/>
      <c r="H738" s="4"/>
      <c r="I738" s="25"/>
    </row>
    <row r="739" spans="1:9" x14ac:dyDescent="0.25">
      <c r="A739" s="7"/>
      <c r="B739" s="42" t="s">
        <v>2693</v>
      </c>
      <c r="C739" s="42" t="s">
        <v>3968</v>
      </c>
      <c r="D739" s="4"/>
      <c r="E739" s="4"/>
      <c r="F739" s="4"/>
      <c r="G739" s="4"/>
      <c r="H739" s="4"/>
      <c r="I739" s="25"/>
    </row>
    <row r="740" spans="1:9" x14ac:dyDescent="0.25">
      <c r="A740" s="7"/>
      <c r="B740" s="42" t="s">
        <v>2707</v>
      </c>
      <c r="C740" s="42" t="s">
        <v>3970</v>
      </c>
      <c r="D740" s="4"/>
      <c r="E740" s="4"/>
      <c r="F740" s="4"/>
      <c r="G740" s="4"/>
      <c r="H740" s="4"/>
      <c r="I740" s="25"/>
    </row>
    <row r="741" spans="1:9" x14ac:dyDescent="0.25">
      <c r="A741" s="7"/>
      <c r="B741" s="42" t="s">
        <v>3972</v>
      </c>
      <c r="C741" s="42" t="s">
        <v>3972</v>
      </c>
      <c r="D741" s="4"/>
      <c r="E741" s="4"/>
      <c r="F741" s="4"/>
      <c r="G741" s="4"/>
      <c r="H741" s="4"/>
      <c r="I741" s="25"/>
    </row>
    <row r="742" spans="1:9" x14ac:dyDescent="0.25">
      <c r="A742" s="7"/>
      <c r="B742" s="42" t="s">
        <v>3974</v>
      </c>
      <c r="C742" s="42" t="s">
        <v>3974</v>
      </c>
      <c r="D742" s="4"/>
      <c r="E742" s="4"/>
      <c r="F742" s="4"/>
      <c r="G742" s="4"/>
      <c r="H742" s="4"/>
      <c r="I742" s="25"/>
    </row>
    <row r="743" spans="1:9" x14ac:dyDescent="0.25">
      <c r="A743" s="7"/>
      <c r="B743" s="42" t="s">
        <v>3977</v>
      </c>
      <c r="C743" s="42" t="s">
        <v>3977</v>
      </c>
      <c r="D743" s="4"/>
      <c r="E743" s="4"/>
      <c r="F743" s="4"/>
      <c r="G743" s="4"/>
      <c r="H743" s="4"/>
      <c r="I743" s="25"/>
    </row>
    <row r="744" spans="1:9" x14ac:dyDescent="0.25">
      <c r="A744" s="7"/>
      <c r="B744" s="42" t="s">
        <v>3986</v>
      </c>
      <c r="C744" s="42" t="s">
        <v>3986</v>
      </c>
      <c r="D744" s="4"/>
      <c r="E744" s="4"/>
      <c r="F744" s="4"/>
      <c r="G744" s="4"/>
      <c r="H744" s="4"/>
      <c r="I744" s="25"/>
    </row>
    <row r="745" spans="1:9" x14ac:dyDescent="0.25">
      <c r="A745" s="7"/>
      <c r="B745" s="42" t="s">
        <v>2903</v>
      </c>
      <c r="C745" s="42" t="s">
        <v>3989</v>
      </c>
      <c r="D745" s="4"/>
      <c r="E745" s="4"/>
      <c r="F745" s="4"/>
      <c r="G745" s="4"/>
      <c r="H745" s="4"/>
      <c r="I745" s="25"/>
    </row>
    <row r="746" spans="1:9" x14ac:dyDescent="0.25">
      <c r="A746" s="7"/>
      <c r="B746" s="42" t="s">
        <v>2907</v>
      </c>
      <c r="C746" s="42" t="s">
        <v>3991</v>
      </c>
      <c r="D746" s="4"/>
      <c r="E746" s="4"/>
      <c r="F746" s="4"/>
      <c r="G746" s="4"/>
      <c r="H746" s="4"/>
      <c r="I746" s="25"/>
    </row>
    <row r="747" spans="1:9" x14ac:dyDescent="0.25">
      <c r="A747" s="7"/>
      <c r="B747" s="42" t="s">
        <v>3777</v>
      </c>
      <c r="C747" s="42" t="s">
        <v>3993</v>
      </c>
      <c r="D747" s="4"/>
      <c r="E747" s="4"/>
      <c r="F747" s="4"/>
      <c r="G747" s="4"/>
      <c r="H747" s="4"/>
      <c r="I747" s="25"/>
    </row>
    <row r="748" spans="1:9" x14ac:dyDescent="0.25">
      <c r="A748" s="7"/>
      <c r="B748" s="42" t="s">
        <v>2913</v>
      </c>
      <c r="C748" s="42" t="s">
        <v>3995</v>
      </c>
      <c r="D748" s="4"/>
      <c r="E748" s="4"/>
      <c r="F748" s="4"/>
      <c r="G748" s="4"/>
      <c r="H748" s="4"/>
      <c r="I748" s="25"/>
    </row>
    <row r="749" spans="1:9" x14ac:dyDescent="0.25">
      <c r="A749" s="7"/>
      <c r="B749" s="42" t="s">
        <v>2919</v>
      </c>
      <c r="C749" s="42" t="s">
        <v>3998</v>
      </c>
      <c r="D749" s="4"/>
      <c r="E749" s="4"/>
      <c r="F749" s="4"/>
      <c r="G749" s="4"/>
      <c r="H749" s="4"/>
      <c r="I749" s="25"/>
    </row>
    <row r="750" spans="1:9" x14ac:dyDescent="0.25">
      <c r="A750" s="7"/>
      <c r="B750" s="42" t="s">
        <v>2925</v>
      </c>
      <c r="C750" s="42" t="s">
        <v>4001</v>
      </c>
      <c r="D750" s="4"/>
      <c r="E750" s="4"/>
      <c r="F750" s="4"/>
      <c r="G750" s="4"/>
      <c r="H750" s="4"/>
      <c r="I750" s="25"/>
    </row>
    <row r="751" spans="1:9" x14ac:dyDescent="0.25">
      <c r="A751" s="7"/>
      <c r="B751" s="42" t="s">
        <v>2935</v>
      </c>
      <c r="C751" s="42" t="s">
        <v>4006</v>
      </c>
      <c r="D751" s="4"/>
      <c r="E751" s="4"/>
      <c r="F751" s="4"/>
      <c r="G751" s="4"/>
      <c r="H751" s="4"/>
      <c r="I751" s="25"/>
    </row>
    <row r="752" spans="1:9" x14ac:dyDescent="0.25">
      <c r="A752" s="7"/>
      <c r="B752" s="42" t="s">
        <v>2943</v>
      </c>
      <c r="C752" s="42" t="s">
        <v>4010</v>
      </c>
      <c r="D752" s="4"/>
      <c r="E752" s="4"/>
      <c r="F752" s="4"/>
      <c r="G752" s="4"/>
      <c r="H752" s="4"/>
      <c r="I752" s="25"/>
    </row>
    <row r="753" spans="1:9" x14ac:dyDescent="0.25">
      <c r="A753" s="7"/>
      <c r="B753" s="42" t="s">
        <v>2955</v>
      </c>
      <c r="C753" s="42" t="s">
        <v>2956</v>
      </c>
      <c r="D753" s="4"/>
      <c r="E753" s="4"/>
      <c r="F753" s="4"/>
      <c r="G753" s="4"/>
      <c r="H753" s="4"/>
      <c r="I753" s="25"/>
    </row>
    <row r="754" spans="1:9" x14ac:dyDescent="0.25">
      <c r="A754" s="7"/>
      <c r="B754" s="42" t="s">
        <v>2960</v>
      </c>
      <c r="C754" s="42" t="s">
        <v>2961</v>
      </c>
      <c r="D754" s="4"/>
      <c r="E754" s="4"/>
      <c r="F754" s="4"/>
      <c r="G754" s="4"/>
      <c r="H754" s="4"/>
      <c r="I754" s="25"/>
    </row>
    <row r="755" spans="1:9" x14ac:dyDescent="0.25">
      <c r="A755" s="7"/>
      <c r="B755" s="42" t="s">
        <v>2999</v>
      </c>
      <c r="C755" s="42" t="s">
        <v>3000</v>
      </c>
      <c r="D755" s="4"/>
      <c r="E755" s="4"/>
      <c r="F755" s="4"/>
      <c r="G755" s="4"/>
      <c r="H755" s="4"/>
      <c r="I755" s="25"/>
    </row>
    <row r="756" spans="1:9" x14ac:dyDescent="0.25">
      <c r="A756" s="7"/>
      <c r="B756" s="42" t="s">
        <v>4016</v>
      </c>
      <c r="C756" s="42" t="s">
        <v>4016</v>
      </c>
      <c r="D756" s="4"/>
      <c r="E756" s="4"/>
      <c r="F756" s="4"/>
      <c r="G756" s="4"/>
      <c r="H756" s="4"/>
      <c r="I756" s="25"/>
    </row>
    <row r="757" spans="1:9" x14ac:dyDescent="0.25">
      <c r="A757" s="7"/>
      <c r="B757" s="42" t="s">
        <v>4018</v>
      </c>
      <c r="C757" s="42" t="s">
        <v>4018</v>
      </c>
      <c r="D757" s="4"/>
      <c r="E757" s="4"/>
      <c r="F757" s="4"/>
      <c r="G757" s="4"/>
      <c r="H757" s="4"/>
      <c r="I757" s="25"/>
    </row>
    <row r="758" spans="1:9" x14ac:dyDescent="0.25">
      <c r="A758" s="7"/>
      <c r="B758" s="42" t="s">
        <v>4020</v>
      </c>
      <c r="C758" s="42" t="s">
        <v>4020</v>
      </c>
      <c r="D758" s="4"/>
      <c r="E758" s="4"/>
      <c r="F758" s="4"/>
      <c r="G758" s="4"/>
      <c r="H758" s="4"/>
      <c r="I758" s="25"/>
    </row>
    <row r="759" spans="1:9" x14ac:dyDescent="0.25">
      <c r="A759" s="7"/>
      <c r="B759" s="42" t="s">
        <v>4022</v>
      </c>
      <c r="C759" s="42" t="s">
        <v>4022</v>
      </c>
      <c r="D759" s="4"/>
      <c r="E759" s="4"/>
      <c r="F759" s="4"/>
      <c r="G759" s="4"/>
      <c r="H759" s="4"/>
      <c r="I759" s="25"/>
    </row>
    <row r="760" spans="1:9" x14ac:dyDescent="0.25">
      <c r="A760" s="7"/>
      <c r="B760" s="42" t="s">
        <v>4024</v>
      </c>
      <c r="C760" s="42" t="s">
        <v>4024</v>
      </c>
      <c r="D760" s="4"/>
      <c r="E760" s="4"/>
      <c r="F760" s="4"/>
      <c r="G760" s="4"/>
      <c r="H760" s="4"/>
      <c r="I760" s="25"/>
    </row>
    <row r="761" spans="1:9" x14ac:dyDescent="0.25">
      <c r="A761" s="7"/>
      <c r="B761" s="42" t="s">
        <v>4026</v>
      </c>
      <c r="C761" s="42" t="s">
        <v>4026</v>
      </c>
      <c r="D761" s="4"/>
      <c r="E761" s="4"/>
      <c r="F761" s="4"/>
      <c r="G761" s="4"/>
      <c r="H761" s="4"/>
      <c r="I761" s="25"/>
    </row>
    <row r="762" spans="1:9" x14ac:dyDescent="0.25">
      <c r="A762" s="7"/>
      <c r="B762" s="42" t="s">
        <v>4028</v>
      </c>
      <c r="C762" s="42" t="s">
        <v>4028</v>
      </c>
      <c r="D762" s="4"/>
      <c r="E762" s="4"/>
      <c r="F762" s="4"/>
      <c r="G762" s="4"/>
      <c r="H762" s="4"/>
      <c r="I762" s="25"/>
    </row>
    <row r="763" spans="1:9" x14ac:dyDescent="0.25">
      <c r="A763" s="7"/>
      <c r="B763" s="42" t="s">
        <v>3213</v>
      </c>
      <c r="C763" s="42" t="s">
        <v>3214</v>
      </c>
      <c r="D763" s="4"/>
      <c r="E763" s="4"/>
      <c r="F763" s="4"/>
      <c r="G763" s="4"/>
      <c r="H763" s="4"/>
      <c r="I763" s="25"/>
    </row>
    <row r="764" spans="1:9" x14ac:dyDescent="0.25">
      <c r="A764" s="9"/>
      <c r="B764" s="50" t="s">
        <v>3662</v>
      </c>
      <c r="C764" s="50" t="s">
        <v>3662</v>
      </c>
      <c r="D764" s="21"/>
      <c r="E764" s="21"/>
      <c r="F764" s="21"/>
      <c r="G764" s="21"/>
      <c r="H764" s="21"/>
      <c r="I764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74"/>
  <sheetViews>
    <sheetView topLeftCell="A685" zoomScaleNormal="100" workbookViewId="0">
      <selection activeCell="B700" sqref="B700:C77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/>
      <c r="B700" s="46" t="s">
        <v>3888</v>
      </c>
      <c r="C700" s="46" t="s">
        <v>3888</v>
      </c>
      <c r="D700" s="4"/>
      <c r="E700" s="4"/>
      <c r="F700" s="4"/>
      <c r="G700" s="4"/>
      <c r="H700" s="4"/>
      <c r="I700" s="25"/>
    </row>
    <row r="701" spans="1:9" x14ac:dyDescent="0.25">
      <c r="A701" s="7"/>
      <c r="B701" s="46" t="s">
        <v>3890</v>
      </c>
      <c r="C701" s="46" t="s">
        <v>3890</v>
      </c>
      <c r="D701" s="4"/>
      <c r="E701" s="4"/>
      <c r="F701" s="4"/>
      <c r="G701" s="4"/>
      <c r="H701" s="4"/>
      <c r="I701" s="25"/>
    </row>
    <row r="702" spans="1:9" x14ac:dyDescent="0.25">
      <c r="A702" s="7"/>
      <c r="B702" s="46" t="s">
        <v>3892</v>
      </c>
      <c r="C702" s="46" t="s">
        <v>3892</v>
      </c>
      <c r="D702" s="4"/>
      <c r="E702" s="4"/>
      <c r="F702" s="4"/>
      <c r="G702" s="4"/>
      <c r="H702" s="4"/>
      <c r="I702" s="25"/>
    </row>
    <row r="703" spans="1:9" x14ac:dyDescent="0.25">
      <c r="A703" s="7"/>
      <c r="B703" s="46" t="s">
        <v>4168</v>
      </c>
      <c r="C703" s="46" t="s">
        <v>4168</v>
      </c>
      <c r="D703" s="4"/>
      <c r="E703" s="4"/>
      <c r="F703" s="4"/>
      <c r="G703" s="4"/>
      <c r="H703" s="4"/>
      <c r="I703" s="25"/>
    </row>
    <row r="704" spans="1:9" x14ac:dyDescent="0.25">
      <c r="A704" s="7"/>
      <c r="B704" s="46" t="s">
        <v>4170</v>
      </c>
      <c r="C704" s="46" t="s">
        <v>4170</v>
      </c>
      <c r="D704" s="4"/>
      <c r="E704" s="4"/>
      <c r="F704" s="4"/>
      <c r="G704" s="4"/>
      <c r="H704" s="4"/>
      <c r="I704" s="25"/>
    </row>
    <row r="705" spans="1:9" x14ac:dyDescent="0.25">
      <c r="A705" s="7"/>
      <c r="B705" s="46" t="s">
        <v>4172</v>
      </c>
      <c r="C705" s="46" t="s">
        <v>4172</v>
      </c>
      <c r="D705" s="4"/>
      <c r="E705" s="4"/>
      <c r="F705" s="4"/>
      <c r="G705" s="4"/>
      <c r="H705" s="4"/>
      <c r="I705" s="25"/>
    </row>
    <row r="706" spans="1:9" x14ac:dyDescent="0.25">
      <c r="A706" s="7"/>
      <c r="B706" s="46" t="s">
        <v>4174</v>
      </c>
      <c r="C706" s="46" t="s">
        <v>4174</v>
      </c>
      <c r="D706" s="4"/>
      <c r="E706" s="4"/>
      <c r="F706" s="4"/>
      <c r="G706" s="4"/>
      <c r="H706" s="4"/>
      <c r="I706" s="25"/>
    </row>
    <row r="707" spans="1:9" x14ac:dyDescent="0.25">
      <c r="A707" s="7"/>
      <c r="B707" s="46" t="s">
        <v>4176</v>
      </c>
      <c r="C707" s="46" t="s">
        <v>4176</v>
      </c>
      <c r="D707" s="4"/>
      <c r="E707" s="4"/>
      <c r="F707" s="4"/>
      <c r="G707" s="4"/>
      <c r="H707" s="4"/>
      <c r="I707" s="25"/>
    </row>
    <row r="708" spans="1:9" x14ac:dyDescent="0.25">
      <c r="A708" s="7"/>
      <c r="B708" s="46" t="s">
        <v>4178</v>
      </c>
      <c r="C708" s="46" t="s">
        <v>4178</v>
      </c>
      <c r="D708" s="4"/>
      <c r="E708" s="4"/>
      <c r="F708" s="4"/>
      <c r="G708" s="4"/>
      <c r="H708" s="4"/>
      <c r="I708" s="25"/>
    </row>
    <row r="709" spans="1:9" x14ac:dyDescent="0.25">
      <c r="A709" s="7"/>
      <c r="B709" s="46" t="s">
        <v>4180</v>
      </c>
      <c r="C709" s="46" t="s">
        <v>4180</v>
      </c>
      <c r="D709" s="4"/>
      <c r="E709" s="4"/>
      <c r="F709" s="4"/>
      <c r="G709" s="4"/>
      <c r="H709" s="4"/>
      <c r="I709" s="25"/>
    </row>
    <row r="710" spans="1:9" x14ac:dyDescent="0.25">
      <c r="A710" s="7"/>
      <c r="B710" s="46" t="s">
        <v>4182</v>
      </c>
      <c r="C710" s="46" t="s">
        <v>4182</v>
      </c>
      <c r="D710" s="4"/>
      <c r="E710" s="4"/>
      <c r="F710" s="4"/>
      <c r="G710" s="4"/>
      <c r="H710" s="4"/>
      <c r="I710" s="25"/>
    </row>
    <row r="711" spans="1:9" x14ac:dyDescent="0.25">
      <c r="A711" s="7"/>
      <c r="B711" s="46" t="s">
        <v>4184</v>
      </c>
      <c r="C711" s="46" t="s">
        <v>4184</v>
      </c>
      <c r="D711" s="4"/>
      <c r="E711" s="4"/>
      <c r="F711" s="4"/>
      <c r="G711" s="4"/>
      <c r="H711" s="4"/>
      <c r="I711" s="25"/>
    </row>
    <row r="712" spans="1:9" x14ac:dyDescent="0.25">
      <c r="A712" s="7"/>
      <c r="B712" s="46" t="s">
        <v>4186</v>
      </c>
      <c r="C712" s="46" t="s">
        <v>4186</v>
      </c>
      <c r="D712" s="4"/>
      <c r="E712" s="4"/>
      <c r="F712" s="4"/>
      <c r="G712" s="4"/>
      <c r="H712" s="4"/>
      <c r="I712" s="25"/>
    </row>
    <row r="713" spans="1:9" x14ac:dyDescent="0.25">
      <c r="A713" s="7"/>
      <c r="B713" s="46" t="s">
        <v>4188</v>
      </c>
      <c r="C713" s="46" t="s">
        <v>4188</v>
      </c>
      <c r="D713" s="4"/>
      <c r="E713" s="4"/>
      <c r="F713" s="4"/>
      <c r="G713" s="4"/>
      <c r="H713" s="4"/>
      <c r="I713" s="25"/>
    </row>
    <row r="714" spans="1:9" x14ac:dyDescent="0.25">
      <c r="A714" s="7"/>
      <c r="B714" s="46" t="s">
        <v>4190</v>
      </c>
      <c r="C714" s="46" t="s">
        <v>4190</v>
      </c>
      <c r="D714" s="4"/>
      <c r="E714" s="4"/>
      <c r="F714" s="4"/>
      <c r="G714" s="4"/>
      <c r="H714" s="4"/>
      <c r="I714" s="25"/>
    </row>
    <row r="715" spans="1:9" x14ac:dyDescent="0.25">
      <c r="A715" s="7"/>
      <c r="B715" s="46" t="s">
        <v>4192</v>
      </c>
      <c r="C715" s="46" t="s">
        <v>4192</v>
      </c>
      <c r="D715" s="4"/>
      <c r="E715" s="4"/>
      <c r="F715" s="4"/>
      <c r="G715" s="4"/>
      <c r="H715" s="4"/>
      <c r="I715" s="25"/>
    </row>
    <row r="716" spans="1:9" x14ac:dyDescent="0.25">
      <c r="A716" s="7"/>
      <c r="B716" s="46" t="s">
        <v>4194</v>
      </c>
      <c r="C716" s="46" t="s">
        <v>4194</v>
      </c>
      <c r="D716" s="4"/>
      <c r="E716" s="4"/>
      <c r="F716" s="4"/>
      <c r="G716" s="4"/>
      <c r="H716" s="4"/>
      <c r="I716" s="25"/>
    </row>
    <row r="717" spans="1:9" x14ac:dyDescent="0.25">
      <c r="A717" s="7"/>
      <c r="B717" s="46" t="s">
        <v>4196</v>
      </c>
      <c r="C717" s="46" t="s">
        <v>4196</v>
      </c>
      <c r="D717" s="4"/>
      <c r="E717" s="4"/>
      <c r="F717" s="4"/>
      <c r="G717" s="4"/>
      <c r="H717" s="4"/>
      <c r="I717" s="25"/>
    </row>
    <row r="718" spans="1:9" x14ac:dyDescent="0.25">
      <c r="A718" s="7"/>
      <c r="B718" s="46" t="s">
        <v>3894</v>
      </c>
      <c r="C718" s="46" t="s">
        <v>3894</v>
      </c>
      <c r="D718" s="4"/>
      <c r="E718" s="4"/>
      <c r="F718" s="4"/>
      <c r="G718" s="4"/>
      <c r="H718" s="4"/>
      <c r="I718" s="25"/>
    </row>
    <row r="719" spans="1:9" x14ac:dyDescent="0.25">
      <c r="A719" s="7"/>
      <c r="B719" s="46" t="s">
        <v>3896</v>
      </c>
      <c r="C719" s="46" t="s">
        <v>3896</v>
      </c>
      <c r="D719" s="4"/>
      <c r="E719" s="4"/>
      <c r="F719" s="4"/>
      <c r="G719" s="4"/>
      <c r="H719" s="4"/>
      <c r="I719" s="25"/>
    </row>
    <row r="720" spans="1:9" x14ac:dyDescent="0.25">
      <c r="A720" s="7"/>
      <c r="B720" s="46" t="s">
        <v>3898</v>
      </c>
      <c r="C720" s="46" t="s">
        <v>3898</v>
      </c>
      <c r="D720" s="4"/>
      <c r="E720" s="4"/>
      <c r="F720" s="4"/>
      <c r="G720" s="4"/>
      <c r="H720" s="4"/>
      <c r="I720" s="25"/>
    </row>
    <row r="721" spans="1:9" x14ac:dyDescent="0.25">
      <c r="A721" s="7"/>
      <c r="B721" s="46" t="s">
        <v>3900</v>
      </c>
      <c r="C721" s="46" t="s">
        <v>3900</v>
      </c>
      <c r="D721" s="4"/>
      <c r="E721" s="4"/>
      <c r="F721" s="4"/>
      <c r="G721" s="4"/>
      <c r="H721" s="4"/>
      <c r="I721" s="25"/>
    </row>
    <row r="722" spans="1:9" x14ac:dyDescent="0.25">
      <c r="A722" s="7"/>
      <c r="B722" s="46" t="s">
        <v>3902</v>
      </c>
      <c r="C722" s="46" t="s">
        <v>3902</v>
      </c>
      <c r="D722" s="4"/>
      <c r="E722" s="4"/>
      <c r="F722" s="4"/>
      <c r="G722" s="4"/>
      <c r="H722" s="4"/>
      <c r="I722" s="25"/>
    </row>
    <row r="723" spans="1:9" x14ac:dyDescent="0.25">
      <c r="A723" s="7"/>
      <c r="B723" s="46" t="s">
        <v>3904</v>
      </c>
      <c r="C723" s="46" t="s">
        <v>3904</v>
      </c>
      <c r="D723" s="4"/>
      <c r="E723" s="4"/>
      <c r="F723" s="4"/>
      <c r="G723" s="4"/>
      <c r="H723" s="4"/>
      <c r="I723" s="25"/>
    </row>
    <row r="724" spans="1:9" x14ac:dyDescent="0.25">
      <c r="A724" s="7"/>
      <c r="B724" s="46" t="s">
        <v>3906</v>
      </c>
      <c r="C724" s="46" t="s">
        <v>3906</v>
      </c>
      <c r="D724" s="4"/>
      <c r="E724" s="4"/>
      <c r="F724" s="4"/>
      <c r="G724" s="4"/>
      <c r="H724" s="4"/>
      <c r="I724" s="25"/>
    </row>
    <row r="725" spans="1:9" x14ac:dyDescent="0.25">
      <c r="A725" s="7"/>
      <c r="B725" s="46" t="s">
        <v>3908</v>
      </c>
      <c r="C725" s="46" t="s">
        <v>3908</v>
      </c>
      <c r="D725" s="4"/>
      <c r="E725" s="4"/>
      <c r="F725" s="4"/>
      <c r="G725" s="4"/>
      <c r="H725" s="4"/>
      <c r="I725" s="25"/>
    </row>
    <row r="726" spans="1:9" x14ac:dyDescent="0.25">
      <c r="A726" s="7"/>
      <c r="B726" s="46" t="s">
        <v>3910</v>
      </c>
      <c r="C726" s="46" t="s">
        <v>3910</v>
      </c>
      <c r="D726" s="4"/>
      <c r="E726" s="4"/>
      <c r="F726" s="4"/>
      <c r="G726" s="4"/>
      <c r="H726" s="4"/>
      <c r="I726" s="25"/>
    </row>
    <row r="727" spans="1:9" x14ac:dyDescent="0.25">
      <c r="A727" s="7"/>
      <c r="B727" s="46" t="s">
        <v>3912</v>
      </c>
      <c r="C727" s="46" t="s">
        <v>3912</v>
      </c>
      <c r="D727" s="4"/>
      <c r="E727" s="4"/>
      <c r="F727" s="4"/>
      <c r="G727" s="4"/>
      <c r="H727" s="4"/>
      <c r="I727" s="25"/>
    </row>
    <row r="728" spans="1:9" x14ac:dyDescent="0.25">
      <c r="A728" s="7"/>
      <c r="B728" s="46" t="s">
        <v>3914</v>
      </c>
      <c r="C728" s="46" t="s">
        <v>3914</v>
      </c>
      <c r="D728" s="4"/>
      <c r="E728" s="4"/>
      <c r="F728" s="4"/>
      <c r="G728" s="4"/>
      <c r="H728" s="4"/>
      <c r="I728" s="25"/>
    </row>
    <row r="729" spans="1:9" x14ac:dyDescent="0.25">
      <c r="A729" s="7"/>
      <c r="B729" s="46" t="s">
        <v>2478</v>
      </c>
      <c r="C729" s="46" t="s">
        <v>3916</v>
      </c>
      <c r="D729" s="4"/>
      <c r="E729" s="4"/>
      <c r="F729" s="4"/>
      <c r="G729" s="4"/>
      <c r="H729" s="4"/>
      <c r="I729" s="25"/>
    </row>
    <row r="730" spans="1:9" x14ac:dyDescent="0.25">
      <c r="A730" s="7"/>
      <c r="B730" s="46" t="s">
        <v>2480</v>
      </c>
      <c r="C730" s="46" t="s">
        <v>3917</v>
      </c>
      <c r="D730" s="4"/>
      <c r="E730" s="4"/>
      <c r="F730" s="4"/>
      <c r="G730" s="4"/>
      <c r="H730" s="4"/>
      <c r="I730" s="25"/>
    </row>
    <row r="731" spans="1:9" x14ac:dyDescent="0.25">
      <c r="A731" s="7"/>
      <c r="B731" s="46" t="s">
        <v>2532</v>
      </c>
      <c r="C731" s="46" t="s">
        <v>3920</v>
      </c>
      <c r="D731" s="4"/>
      <c r="E731" s="4"/>
      <c r="F731" s="4"/>
      <c r="G731" s="4"/>
      <c r="H731" s="4"/>
      <c r="I731" s="25"/>
    </row>
    <row r="732" spans="1:9" x14ac:dyDescent="0.25">
      <c r="A732" s="7"/>
      <c r="B732" s="46" t="s">
        <v>3922</v>
      </c>
      <c r="C732" s="46" t="s">
        <v>3922</v>
      </c>
      <c r="D732" s="4"/>
      <c r="E732" s="4"/>
      <c r="F732" s="4"/>
      <c r="G732" s="4"/>
      <c r="H732" s="4"/>
      <c r="I732" s="25"/>
    </row>
    <row r="733" spans="1:9" x14ac:dyDescent="0.25">
      <c r="A733" s="7"/>
      <c r="B733" s="46" t="s">
        <v>2540</v>
      </c>
      <c r="C733" s="46" t="s">
        <v>3925</v>
      </c>
      <c r="D733" s="4"/>
      <c r="E733" s="4"/>
      <c r="F733" s="4"/>
      <c r="G733" s="4"/>
      <c r="H733" s="4"/>
      <c r="I733" s="25"/>
    </row>
    <row r="734" spans="1:9" x14ac:dyDescent="0.25">
      <c r="A734" s="7"/>
      <c r="B734" s="46" t="s">
        <v>3931</v>
      </c>
      <c r="C734" s="46" t="s">
        <v>3931</v>
      </c>
      <c r="D734" s="4"/>
      <c r="E734" s="4"/>
      <c r="F734" s="4"/>
      <c r="G734" s="4"/>
      <c r="H734" s="4"/>
      <c r="I734" s="25"/>
    </row>
    <row r="735" spans="1:9" x14ac:dyDescent="0.25">
      <c r="A735" s="7"/>
      <c r="B735" s="46" t="s">
        <v>3933</v>
      </c>
      <c r="C735" s="46" t="s">
        <v>3933</v>
      </c>
      <c r="D735" s="4"/>
      <c r="E735" s="4"/>
      <c r="F735" s="4"/>
      <c r="G735" s="4"/>
      <c r="H735" s="4"/>
      <c r="I735" s="25"/>
    </row>
    <row r="736" spans="1:9" x14ac:dyDescent="0.25">
      <c r="A736" s="7"/>
      <c r="B736" s="46" t="s">
        <v>3935</v>
      </c>
      <c r="C736" s="46" t="s">
        <v>3935</v>
      </c>
      <c r="D736" s="4"/>
      <c r="E736" s="4"/>
      <c r="F736" s="4"/>
      <c r="G736" s="4"/>
      <c r="H736" s="4"/>
      <c r="I736" s="25"/>
    </row>
    <row r="737" spans="1:9" x14ac:dyDescent="0.25">
      <c r="A737" s="7"/>
      <c r="B737" s="46" t="s">
        <v>3937</v>
      </c>
      <c r="C737" s="46" t="s">
        <v>3937</v>
      </c>
      <c r="D737" s="4"/>
      <c r="E737" s="4"/>
      <c r="F737" s="4"/>
      <c r="G737" s="4"/>
      <c r="H737" s="4"/>
      <c r="I737" s="25"/>
    </row>
    <row r="738" spans="1:9" x14ac:dyDescent="0.25">
      <c r="A738" s="7"/>
      <c r="B738" s="46" t="s">
        <v>3939</v>
      </c>
      <c r="C738" s="46" t="s">
        <v>3939</v>
      </c>
      <c r="D738" s="4"/>
      <c r="E738" s="4"/>
      <c r="F738" s="4"/>
      <c r="G738" s="4"/>
      <c r="H738" s="4"/>
      <c r="I738" s="25"/>
    </row>
    <row r="739" spans="1:9" x14ac:dyDescent="0.25">
      <c r="A739" s="7"/>
      <c r="B739" s="46" t="s">
        <v>3941</v>
      </c>
      <c r="C739" s="46" t="s">
        <v>3941</v>
      </c>
      <c r="D739" s="4"/>
      <c r="E739" s="4"/>
      <c r="F739" s="4"/>
      <c r="G739" s="4"/>
      <c r="H739" s="4"/>
      <c r="I739" s="25"/>
    </row>
    <row r="740" spans="1:9" x14ac:dyDescent="0.25">
      <c r="A740" s="7"/>
      <c r="B740" s="46" t="s">
        <v>3943</v>
      </c>
      <c r="C740" s="46" t="s">
        <v>3943</v>
      </c>
      <c r="D740" s="4"/>
      <c r="E740" s="4"/>
      <c r="F740" s="4"/>
      <c r="G740" s="4"/>
      <c r="H740" s="4"/>
      <c r="I740" s="25"/>
    </row>
    <row r="741" spans="1:9" x14ac:dyDescent="0.25">
      <c r="A741" s="7"/>
      <c r="B741" s="46" t="s">
        <v>3945</v>
      </c>
      <c r="C741" s="46" t="s">
        <v>3945</v>
      </c>
      <c r="D741" s="4"/>
      <c r="E741" s="4"/>
      <c r="F741" s="4"/>
      <c r="G741" s="4"/>
      <c r="H741" s="4"/>
      <c r="I741" s="25"/>
    </row>
    <row r="742" spans="1:9" x14ac:dyDescent="0.25">
      <c r="A742" s="7"/>
      <c r="B742" s="46" t="s">
        <v>3947</v>
      </c>
      <c r="C742" s="46" t="s">
        <v>3947</v>
      </c>
      <c r="D742" s="4"/>
      <c r="E742" s="4"/>
      <c r="F742" s="4"/>
      <c r="G742" s="4"/>
      <c r="H742" s="4"/>
      <c r="I742" s="25"/>
    </row>
    <row r="743" spans="1:9" x14ac:dyDescent="0.25">
      <c r="A743" s="7"/>
      <c r="B743" s="46" t="s">
        <v>3949</v>
      </c>
      <c r="C743" s="46" t="s">
        <v>3949</v>
      </c>
      <c r="D743" s="4"/>
      <c r="E743" s="4"/>
      <c r="F743" s="4"/>
      <c r="G743" s="4"/>
      <c r="H743" s="4"/>
      <c r="I743" s="25"/>
    </row>
    <row r="744" spans="1:9" x14ac:dyDescent="0.25">
      <c r="A744" s="7"/>
      <c r="B744" s="46" t="s">
        <v>3951</v>
      </c>
      <c r="C744" s="46" t="s">
        <v>3951</v>
      </c>
      <c r="D744" s="4"/>
      <c r="E744" s="4"/>
      <c r="F744" s="4"/>
      <c r="G744" s="4"/>
      <c r="H744" s="4"/>
      <c r="I744" s="25"/>
    </row>
    <row r="745" spans="1:9" x14ac:dyDescent="0.25">
      <c r="A745" s="7"/>
      <c r="B745" s="46" t="s">
        <v>3953</v>
      </c>
      <c r="C745" s="46" t="s">
        <v>3953</v>
      </c>
      <c r="D745" s="4"/>
      <c r="E745" s="4"/>
      <c r="F745" s="4"/>
      <c r="G745" s="4"/>
      <c r="H745" s="4"/>
      <c r="I745" s="25"/>
    </row>
    <row r="746" spans="1:9" x14ac:dyDescent="0.25">
      <c r="A746" s="7"/>
      <c r="B746" s="46" t="s">
        <v>3962</v>
      </c>
      <c r="C746" s="46" t="s">
        <v>3962</v>
      </c>
      <c r="D746" s="4"/>
      <c r="E746" s="4"/>
      <c r="F746" s="4"/>
      <c r="G746" s="4"/>
      <c r="H746" s="4"/>
      <c r="I746" s="25"/>
    </row>
    <row r="747" spans="1:9" x14ac:dyDescent="0.25">
      <c r="A747" s="7"/>
      <c r="B747" s="46" t="s">
        <v>3964</v>
      </c>
      <c r="C747" s="46" t="s">
        <v>3964</v>
      </c>
      <c r="D747" s="4"/>
      <c r="E747" s="4"/>
      <c r="F747" s="4"/>
      <c r="G747" s="4"/>
      <c r="H747" s="4"/>
      <c r="I747" s="25"/>
    </row>
    <row r="748" spans="1:9" x14ac:dyDescent="0.25">
      <c r="A748" s="7"/>
      <c r="B748" s="46" t="s">
        <v>3966</v>
      </c>
      <c r="C748" s="46" t="s">
        <v>3966</v>
      </c>
      <c r="D748" s="4"/>
      <c r="E748" s="4"/>
      <c r="F748" s="4"/>
      <c r="G748" s="4"/>
      <c r="H748" s="4"/>
      <c r="I748" s="25"/>
    </row>
    <row r="749" spans="1:9" x14ac:dyDescent="0.25">
      <c r="A749" s="7"/>
      <c r="B749" s="46" t="s">
        <v>2693</v>
      </c>
      <c r="C749" s="46" t="s">
        <v>3968</v>
      </c>
      <c r="D749" s="4"/>
      <c r="E749" s="4"/>
      <c r="F749" s="4"/>
      <c r="G749" s="4"/>
      <c r="H749" s="4"/>
      <c r="I749" s="25"/>
    </row>
    <row r="750" spans="1:9" x14ac:dyDescent="0.25">
      <c r="A750" s="7"/>
      <c r="B750" s="46" t="s">
        <v>2707</v>
      </c>
      <c r="C750" s="46" t="s">
        <v>3970</v>
      </c>
      <c r="D750" s="4"/>
      <c r="E750" s="4"/>
      <c r="F750" s="4"/>
      <c r="G750" s="4"/>
      <c r="H750" s="4"/>
      <c r="I750" s="25"/>
    </row>
    <row r="751" spans="1:9" x14ac:dyDescent="0.25">
      <c r="A751" s="7"/>
      <c r="B751" s="46" t="s">
        <v>3972</v>
      </c>
      <c r="C751" s="46" t="s">
        <v>3972</v>
      </c>
      <c r="D751" s="4"/>
      <c r="E751" s="4"/>
      <c r="F751" s="4"/>
      <c r="G751" s="4"/>
      <c r="H751" s="4"/>
      <c r="I751" s="25"/>
    </row>
    <row r="752" spans="1:9" x14ac:dyDescent="0.25">
      <c r="A752" s="7"/>
      <c r="B752" s="46" t="s">
        <v>3974</v>
      </c>
      <c r="C752" s="46" t="s">
        <v>3974</v>
      </c>
      <c r="D752" s="4"/>
      <c r="E752" s="4"/>
      <c r="F752" s="4"/>
      <c r="G752" s="4"/>
      <c r="H752" s="4"/>
      <c r="I752" s="25"/>
    </row>
    <row r="753" spans="1:9" x14ac:dyDescent="0.25">
      <c r="A753" s="7"/>
      <c r="B753" s="46" t="s">
        <v>3977</v>
      </c>
      <c r="C753" s="46" t="s">
        <v>3977</v>
      </c>
      <c r="D753" s="4"/>
      <c r="E753" s="4"/>
      <c r="F753" s="4"/>
      <c r="G753" s="4"/>
      <c r="H753" s="4"/>
      <c r="I753" s="25"/>
    </row>
    <row r="754" spans="1:9" x14ac:dyDescent="0.25">
      <c r="A754" s="7"/>
      <c r="B754" s="46" t="s">
        <v>3986</v>
      </c>
      <c r="C754" s="46" t="s">
        <v>3986</v>
      </c>
      <c r="D754" s="4"/>
      <c r="E754" s="4"/>
      <c r="F754" s="4"/>
      <c r="G754" s="4"/>
      <c r="H754" s="4"/>
      <c r="I754" s="25"/>
    </row>
    <row r="755" spans="1:9" x14ac:dyDescent="0.25">
      <c r="A755" s="7"/>
      <c r="B755" s="46" t="s">
        <v>2903</v>
      </c>
      <c r="C755" s="46" t="s">
        <v>3989</v>
      </c>
      <c r="D755" s="4"/>
      <c r="E755" s="4"/>
      <c r="F755" s="4"/>
      <c r="G755" s="4"/>
      <c r="H755" s="4"/>
      <c r="I755" s="25"/>
    </row>
    <row r="756" spans="1:9" x14ac:dyDescent="0.25">
      <c r="A756" s="7"/>
      <c r="B756" s="46" t="s">
        <v>2907</v>
      </c>
      <c r="C756" s="46" t="s">
        <v>3991</v>
      </c>
      <c r="D756" s="4"/>
      <c r="E756" s="4"/>
      <c r="F756" s="4"/>
      <c r="G756" s="4"/>
      <c r="H756" s="4"/>
      <c r="I756" s="25"/>
    </row>
    <row r="757" spans="1:9" x14ac:dyDescent="0.25">
      <c r="A757" s="7"/>
      <c r="B757" s="46" t="s">
        <v>3777</v>
      </c>
      <c r="C757" s="46" t="s">
        <v>3993</v>
      </c>
      <c r="D757" s="4"/>
      <c r="E757" s="4"/>
      <c r="F757" s="4"/>
      <c r="G757" s="4"/>
      <c r="H757" s="4"/>
      <c r="I757" s="25"/>
    </row>
    <row r="758" spans="1:9" x14ac:dyDescent="0.25">
      <c r="A758" s="7"/>
      <c r="B758" s="46" t="s">
        <v>2913</v>
      </c>
      <c r="C758" s="46" t="s">
        <v>3995</v>
      </c>
      <c r="D758" s="4"/>
      <c r="E758" s="4"/>
      <c r="F758" s="4"/>
      <c r="G758" s="4"/>
      <c r="H758" s="4"/>
      <c r="I758" s="25"/>
    </row>
    <row r="759" spans="1:9" x14ac:dyDescent="0.25">
      <c r="A759" s="7"/>
      <c r="B759" s="46" t="s">
        <v>2919</v>
      </c>
      <c r="C759" s="46" t="s">
        <v>3998</v>
      </c>
      <c r="D759" s="4"/>
      <c r="E759" s="4"/>
      <c r="F759" s="4"/>
      <c r="G759" s="4"/>
      <c r="H759" s="4"/>
      <c r="I759" s="25"/>
    </row>
    <row r="760" spans="1:9" x14ac:dyDescent="0.25">
      <c r="A760" s="7"/>
      <c r="B760" s="46" t="s">
        <v>2925</v>
      </c>
      <c r="C760" s="46" t="s">
        <v>4001</v>
      </c>
      <c r="D760" s="4"/>
      <c r="E760" s="4"/>
      <c r="F760" s="4"/>
      <c r="G760" s="4"/>
      <c r="H760" s="4"/>
      <c r="I760" s="25"/>
    </row>
    <row r="761" spans="1:9" x14ac:dyDescent="0.25">
      <c r="A761" s="7"/>
      <c r="B761" s="46" t="s">
        <v>2935</v>
      </c>
      <c r="C761" s="46" t="s">
        <v>4006</v>
      </c>
      <c r="D761" s="4"/>
      <c r="E761" s="4"/>
      <c r="F761" s="4"/>
      <c r="G761" s="4"/>
      <c r="H761" s="4"/>
      <c r="I761" s="25"/>
    </row>
    <row r="762" spans="1:9" x14ac:dyDescent="0.25">
      <c r="A762" s="7"/>
      <c r="B762" s="46" t="s">
        <v>2943</v>
      </c>
      <c r="C762" s="46" t="s">
        <v>4010</v>
      </c>
      <c r="D762" s="4"/>
      <c r="E762" s="4"/>
      <c r="F762" s="4"/>
      <c r="G762" s="4"/>
      <c r="H762" s="4"/>
      <c r="I762" s="25"/>
    </row>
    <row r="763" spans="1:9" x14ac:dyDescent="0.25">
      <c r="A763" s="7"/>
      <c r="B763" s="46" t="s">
        <v>2955</v>
      </c>
      <c r="C763" s="46" t="s">
        <v>2956</v>
      </c>
      <c r="D763" s="4"/>
      <c r="E763" s="4"/>
      <c r="F763" s="4"/>
      <c r="G763" s="4"/>
      <c r="H763" s="4"/>
      <c r="I763" s="25"/>
    </row>
    <row r="764" spans="1:9" x14ac:dyDescent="0.25">
      <c r="A764" s="7"/>
      <c r="B764" s="46" t="s">
        <v>2960</v>
      </c>
      <c r="C764" s="46" t="s">
        <v>2961</v>
      </c>
      <c r="D764" s="4"/>
      <c r="E764" s="4"/>
      <c r="F764" s="4"/>
      <c r="G764" s="4"/>
      <c r="H764" s="4"/>
      <c r="I764" s="25"/>
    </row>
    <row r="765" spans="1:9" x14ac:dyDescent="0.25">
      <c r="A765" s="7"/>
      <c r="B765" s="46" t="s">
        <v>2999</v>
      </c>
      <c r="C765" s="46" t="s">
        <v>3000</v>
      </c>
      <c r="D765" s="4"/>
      <c r="E765" s="4"/>
      <c r="F765" s="4"/>
      <c r="G765" s="4"/>
      <c r="H765" s="4"/>
      <c r="I765" s="25"/>
    </row>
    <row r="766" spans="1:9" x14ac:dyDescent="0.25">
      <c r="A766" s="7"/>
      <c r="B766" s="46" t="s">
        <v>4016</v>
      </c>
      <c r="C766" s="46" t="s">
        <v>4016</v>
      </c>
      <c r="D766" s="4"/>
      <c r="E766" s="4"/>
      <c r="F766" s="4"/>
      <c r="G766" s="4"/>
      <c r="H766" s="4"/>
      <c r="I766" s="25"/>
    </row>
    <row r="767" spans="1:9" x14ac:dyDescent="0.25">
      <c r="A767" s="7"/>
      <c r="B767" s="46" t="s">
        <v>4018</v>
      </c>
      <c r="C767" s="46" t="s">
        <v>4018</v>
      </c>
      <c r="D767" s="4"/>
      <c r="E767" s="4"/>
      <c r="F767" s="4"/>
      <c r="G767" s="4"/>
      <c r="H767" s="4"/>
      <c r="I767" s="25"/>
    </row>
    <row r="768" spans="1:9" x14ac:dyDescent="0.25">
      <c r="A768" s="7"/>
      <c r="B768" s="46" t="s">
        <v>4020</v>
      </c>
      <c r="C768" s="46" t="s">
        <v>4020</v>
      </c>
      <c r="D768" s="4"/>
      <c r="E768" s="4"/>
      <c r="F768" s="4"/>
      <c r="G768" s="4"/>
      <c r="H768" s="4"/>
      <c r="I768" s="25"/>
    </row>
    <row r="769" spans="1:9" x14ac:dyDescent="0.25">
      <c r="A769" s="7"/>
      <c r="B769" s="46" t="s">
        <v>4022</v>
      </c>
      <c r="C769" s="46" t="s">
        <v>4022</v>
      </c>
      <c r="D769" s="4"/>
      <c r="E769" s="4"/>
      <c r="F769" s="4"/>
      <c r="G769" s="4"/>
      <c r="H769" s="4"/>
      <c r="I769" s="25"/>
    </row>
    <row r="770" spans="1:9" x14ac:dyDescent="0.25">
      <c r="A770" s="7"/>
      <c r="B770" s="46" t="s">
        <v>4024</v>
      </c>
      <c r="C770" s="46" t="s">
        <v>4024</v>
      </c>
      <c r="D770" s="4"/>
      <c r="E770" s="4"/>
      <c r="F770" s="4"/>
      <c r="G770" s="4"/>
      <c r="H770" s="4"/>
      <c r="I770" s="25"/>
    </row>
    <row r="771" spans="1:9" x14ac:dyDescent="0.25">
      <c r="A771" s="7"/>
      <c r="B771" s="46" t="s">
        <v>4026</v>
      </c>
      <c r="C771" s="46" t="s">
        <v>4026</v>
      </c>
      <c r="D771" s="4"/>
      <c r="E771" s="4"/>
      <c r="F771" s="4"/>
      <c r="G771" s="4"/>
      <c r="H771" s="4"/>
      <c r="I771" s="25"/>
    </row>
    <row r="772" spans="1:9" x14ac:dyDescent="0.25">
      <c r="A772" s="7"/>
      <c r="B772" s="46" t="s">
        <v>4028</v>
      </c>
      <c r="C772" s="46" t="s">
        <v>4028</v>
      </c>
      <c r="D772" s="4"/>
      <c r="E772" s="4"/>
      <c r="F772" s="4"/>
      <c r="G772" s="4"/>
      <c r="H772" s="4"/>
      <c r="I772" s="25"/>
    </row>
    <row r="773" spans="1:9" x14ac:dyDescent="0.25">
      <c r="A773" s="7"/>
      <c r="B773" s="46" t="s">
        <v>3213</v>
      </c>
      <c r="C773" s="46" t="s">
        <v>3214</v>
      </c>
      <c r="D773" s="4"/>
      <c r="E773" s="4"/>
      <c r="F773" s="4"/>
      <c r="G773" s="4"/>
      <c r="H773" s="4"/>
      <c r="I773" s="25"/>
    </row>
    <row r="774" spans="1:9" x14ac:dyDescent="0.25">
      <c r="A774" s="9"/>
      <c r="B774" s="51" t="s">
        <v>3662</v>
      </c>
      <c r="C774" s="51" t="s">
        <v>3662</v>
      </c>
      <c r="D774" s="21"/>
      <c r="E774" s="21"/>
      <c r="F774" s="21"/>
      <c r="G774" s="21"/>
      <c r="H774" s="21"/>
      <c r="I774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55"/>
  <sheetViews>
    <sheetView topLeftCell="A1064" zoomScaleNormal="100" workbookViewId="0">
      <selection activeCell="B1081" sqref="B1081:C1155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6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19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0" t="s">
        <v>3699</v>
      </c>
      <c r="E1080" s="2" t="s">
        <v>634</v>
      </c>
      <c r="F1080" s="20" t="str">
        <f>VLOOKUP(Table11[[#This Row],[نام کارشناس دفتر فنی]],Table1[],3,0)</f>
        <v>کارشناس بازرسی وبرنامه ریزی تعمیرات مکانیک (2)</v>
      </c>
      <c r="G1080" s="20" t="s">
        <v>411</v>
      </c>
      <c r="H1080" s="20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  <row r="1081" spans="1:9" x14ac:dyDescent="0.25">
      <c r="A1081" s="7"/>
      <c r="B1081" s="42" t="s">
        <v>3888</v>
      </c>
      <c r="C1081" s="42" t="s">
        <v>3888</v>
      </c>
      <c r="D1081" s="4"/>
      <c r="E1081" s="4"/>
      <c r="F1081" s="4"/>
      <c r="G1081" s="4"/>
      <c r="H1081" s="4"/>
      <c r="I1081" s="25"/>
    </row>
    <row r="1082" spans="1:9" x14ac:dyDescent="0.25">
      <c r="A1082" s="7"/>
      <c r="B1082" s="42" t="s">
        <v>3890</v>
      </c>
      <c r="C1082" s="42" t="s">
        <v>3890</v>
      </c>
      <c r="D1082" s="4"/>
      <c r="E1082" s="4"/>
      <c r="F1082" s="4"/>
      <c r="G1082" s="4"/>
      <c r="H1082" s="4"/>
      <c r="I1082" s="25"/>
    </row>
    <row r="1083" spans="1:9" x14ac:dyDescent="0.25">
      <c r="A1083" s="7"/>
      <c r="B1083" s="42" t="s">
        <v>3892</v>
      </c>
      <c r="C1083" s="42" t="s">
        <v>3892</v>
      </c>
      <c r="D1083" s="4"/>
      <c r="E1083" s="4"/>
      <c r="F1083" s="4"/>
      <c r="G1083" s="4"/>
      <c r="H1083" s="4"/>
      <c r="I1083" s="25"/>
    </row>
    <row r="1084" spans="1:9" x14ac:dyDescent="0.25">
      <c r="A1084" s="7"/>
      <c r="B1084" s="42" t="s">
        <v>4168</v>
      </c>
      <c r="C1084" s="42" t="s">
        <v>4168</v>
      </c>
      <c r="D1084" s="4"/>
      <c r="E1084" s="4"/>
      <c r="F1084" s="4"/>
      <c r="G1084" s="4"/>
      <c r="H1084" s="4"/>
      <c r="I1084" s="25"/>
    </row>
    <row r="1085" spans="1:9" x14ac:dyDescent="0.25">
      <c r="A1085" s="7"/>
      <c r="B1085" s="42" t="s">
        <v>4170</v>
      </c>
      <c r="C1085" s="42" t="s">
        <v>4170</v>
      </c>
      <c r="D1085" s="4"/>
      <c r="E1085" s="4"/>
      <c r="F1085" s="4"/>
      <c r="G1085" s="4"/>
      <c r="H1085" s="4"/>
      <c r="I1085" s="25"/>
    </row>
    <row r="1086" spans="1:9" x14ac:dyDescent="0.25">
      <c r="A1086" s="7"/>
      <c r="B1086" s="42" t="s">
        <v>4172</v>
      </c>
      <c r="C1086" s="42" t="s">
        <v>4172</v>
      </c>
      <c r="D1086" s="4"/>
      <c r="E1086" s="4"/>
      <c r="F1086" s="4"/>
      <c r="G1086" s="4"/>
      <c r="H1086" s="4"/>
      <c r="I1086" s="25"/>
    </row>
    <row r="1087" spans="1:9" x14ac:dyDescent="0.25">
      <c r="A1087" s="7"/>
      <c r="B1087" s="42" t="s">
        <v>4174</v>
      </c>
      <c r="C1087" s="42" t="s">
        <v>4174</v>
      </c>
      <c r="D1087" s="4"/>
      <c r="E1087" s="4"/>
      <c r="F1087" s="4"/>
      <c r="G1087" s="4"/>
      <c r="H1087" s="4"/>
      <c r="I1087" s="25"/>
    </row>
    <row r="1088" spans="1:9" x14ac:dyDescent="0.25">
      <c r="A1088" s="7"/>
      <c r="B1088" s="42" t="s">
        <v>4176</v>
      </c>
      <c r="C1088" s="42" t="s">
        <v>4176</v>
      </c>
      <c r="D1088" s="4"/>
      <c r="E1088" s="4"/>
      <c r="F1088" s="4"/>
      <c r="G1088" s="4"/>
      <c r="H1088" s="4"/>
      <c r="I1088" s="25"/>
    </row>
    <row r="1089" spans="1:9" x14ac:dyDescent="0.25">
      <c r="A1089" s="7"/>
      <c r="B1089" s="42" t="s">
        <v>4178</v>
      </c>
      <c r="C1089" s="42" t="s">
        <v>4178</v>
      </c>
      <c r="D1089" s="4"/>
      <c r="E1089" s="4"/>
      <c r="F1089" s="4"/>
      <c r="G1089" s="4"/>
      <c r="H1089" s="4"/>
      <c r="I1089" s="25"/>
    </row>
    <row r="1090" spans="1:9" x14ac:dyDescent="0.25">
      <c r="A1090" s="7"/>
      <c r="B1090" s="42" t="s">
        <v>4180</v>
      </c>
      <c r="C1090" s="42" t="s">
        <v>4180</v>
      </c>
      <c r="D1090" s="4"/>
      <c r="E1090" s="4"/>
      <c r="F1090" s="4"/>
      <c r="G1090" s="4"/>
      <c r="H1090" s="4"/>
      <c r="I1090" s="25"/>
    </row>
    <row r="1091" spans="1:9" x14ac:dyDescent="0.25">
      <c r="A1091" s="7"/>
      <c r="B1091" s="42" t="s">
        <v>4182</v>
      </c>
      <c r="C1091" s="42" t="s">
        <v>4182</v>
      </c>
      <c r="D1091" s="4"/>
      <c r="E1091" s="4"/>
      <c r="F1091" s="4"/>
      <c r="G1091" s="4"/>
      <c r="H1091" s="4"/>
      <c r="I1091" s="25"/>
    </row>
    <row r="1092" spans="1:9" x14ac:dyDescent="0.25">
      <c r="A1092" s="7"/>
      <c r="B1092" s="42" t="s">
        <v>4184</v>
      </c>
      <c r="C1092" s="42" t="s">
        <v>4184</v>
      </c>
      <c r="D1092" s="4"/>
      <c r="E1092" s="4"/>
      <c r="F1092" s="4"/>
      <c r="G1092" s="4"/>
      <c r="H1092" s="4"/>
      <c r="I1092" s="25"/>
    </row>
    <row r="1093" spans="1:9" x14ac:dyDescent="0.25">
      <c r="A1093" s="7"/>
      <c r="B1093" s="42" t="s">
        <v>4186</v>
      </c>
      <c r="C1093" s="42" t="s">
        <v>4186</v>
      </c>
      <c r="D1093" s="4"/>
      <c r="E1093" s="4"/>
      <c r="F1093" s="4"/>
      <c r="G1093" s="4"/>
      <c r="H1093" s="4"/>
      <c r="I1093" s="25"/>
    </row>
    <row r="1094" spans="1:9" x14ac:dyDescent="0.25">
      <c r="A1094" s="7"/>
      <c r="B1094" s="42" t="s">
        <v>4188</v>
      </c>
      <c r="C1094" s="42" t="s">
        <v>4188</v>
      </c>
      <c r="D1094" s="4"/>
      <c r="E1094" s="4"/>
      <c r="F1094" s="4"/>
      <c r="G1094" s="4"/>
      <c r="H1094" s="4"/>
      <c r="I1094" s="25"/>
    </row>
    <row r="1095" spans="1:9" x14ac:dyDescent="0.25">
      <c r="A1095" s="7"/>
      <c r="B1095" s="42" t="s">
        <v>4190</v>
      </c>
      <c r="C1095" s="42" t="s">
        <v>4190</v>
      </c>
      <c r="D1095" s="4"/>
      <c r="E1095" s="4"/>
      <c r="F1095" s="4"/>
      <c r="G1095" s="4"/>
      <c r="H1095" s="4"/>
      <c r="I1095" s="25"/>
    </row>
    <row r="1096" spans="1:9" x14ac:dyDescent="0.25">
      <c r="A1096" s="7"/>
      <c r="B1096" s="42" t="s">
        <v>4192</v>
      </c>
      <c r="C1096" s="42" t="s">
        <v>4192</v>
      </c>
      <c r="D1096" s="4"/>
      <c r="E1096" s="4"/>
      <c r="F1096" s="4"/>
      <c r="G1096" s="4"/>
      <c r="H1096" s="4"/>
      <c r="I1096" s="25"/>
    </row>
    <row r="1097" spans="1:9" x14ac:dyDescent="0.25">
      <c r="A1097" s="7"/>
      <c r="B1097" s="42" t="s">
        <v>4194</v>
      </c>
      <c r="C1097" s="42" t="s">
        <v>4194</v>
      </c>
      <c r="D1097" s="4"/>
      <c r="E1097" s="4"/>
      <c r="F1097" s="4"/>
      <c r="G1097" s="4"/>
      <c r="H1097" s="4"/>
      <c r="I1097" s="25"/>
    </row>
    <row r="1098" spans="1:9" x14ac:dyDescent="0.25">
      <c r="A1098" s="7"/>
      <c r="B1098" s="42" t="s">
        <v>4196</v>
      </c>
      <c r="C1098" s="42" t="s">
        <v>4196</v>
      </c>
      <c r="D1098" s="4"/>
      <c r="E1098" s="4"/>
      <c r="F1098" s="4"/>
      <c r="G1098" s="4"/>
      <c r="H1098" s="4"/>
      <c r="I1098" s="25"/>
    </row>
    <row r="1099" spans="1:9" x14ac:dyDescent="0.25">
      <c r="A1099" s="7"/>
      <c r="B1099" s="42" t="s">
        <v>3894</v>
      </c>
      <c r="C1099" s="42" t="s">
        <v>3894</v>
      </c>
      <c r="D1099" s="4"/>
      <c r="E1099" s="4"/>
      <c r="F1099" s="4"/>
      <c r="G1099" s="4"/>
      <c r="H1099" s="4"/>
      <c r="I1099" s="25"/>
    </row>
    <row r="1100" spans="1:9" x14ac:dyDescent="0.25">
      <c r="A1100" s="7"/>
      <c r="B1100" s="42" t="s">
        <v>3896</v>
      </c>
      <c r="C1100" s="42" t="s">
        <v>3896</v>
      </c>
      <c r="D1100" s="4"/>
      <c r="E1100" s="4"/>
      <c r="F1100" s="4"/>
      <c r="G1100" s="4"/>
      <c r="H1100" s="4"/>
      <c r="I1100" s="25"/>
    </row>
    <row r="1101" spans="1:9" x14ac:dyDescent="0.25">
      <c r="A1101" s="7"/>
      <c r="B1101" s="42" t="s">
        <v>3898</v>
      </c>
      <c r="C1101" s="42" t="s">
        <v>3898</v>
      </c>
      <c r="D1101" s="4"/>
      <c r="E1101" s="4"/>
      <c r="F1101" s="4"/>
      <c r="G1101" s="4"/>
      <c r="H1101" s="4"/>
      <c r="I1101" s="25"/>
    </row>
    <row r="1102" spans="1:9" x14ac:dyDescent="0.25">
      <c r="A1102" s="7"/>
      <c r="B1102" s="42" t="s">
        <v>3900</v>
      </c>
      <c r="C1102" s="42" t="s">
        <v>3900</v>
      </c>
      <c r="D1102" s="4"/>
      <c r="E1102" s="4"/>
      <c r="F1102" s="4"/>
      <c r="G1102" s="4"/>
      <c r="H1102" s="4"/>
      <c r="I1102" s="25"/>
    </row>
    <row r="1103" spans="1:9" x14ac:dyDescent="0.25">
      <c r="A1103" s="7"/>
      <c r="B1103" s="42" t="s">
        <v>3902</v>
      </c>
      <c r="C1103" s="42" t="s">
        <v>3902</v>
      </c>
      <c r="D1103" s="4"/>
      <c r="E1103" s="4"/>
      <c r="F1103" s="4"/>
      <c r="G1103" s="4"/>
      <c r="H1103" s="4"/>
      <c r="I1103" s="25"/>
    </row>
    <row r="1104" spans="1:9" x14ac:dyDescent="0.25">
      <c r="A1104" s="7"/>
      <c r="B1104" s="42" t="s">
        <v>3904</v>
      </c>
      <c r="C1104" s="42" t="s">
        <v>3904</v>
      </c>
      <c r="D1104" s="4"/>
      <c r="E1104" s="4"/>
      <c r="F1104" s="4"/>
      <c r="G1104" s="4"/>
      <c r="H1104" s="4"/>
      <c r="I1104" s="25"/>
    </row>
    <row r="1105" spans="1:9" x14ac:dyDescent="0.25">
      <c r="A1105" s="7"/>
      <c r="B1105" s="42" t="s">
        <v>3906</v>
      </c>
      <c r="C1105" s="42" t="s">
        <v>3906</v>
      </c>
      <c r="D1105" s="4"/>
      <c r="E1105" s="4"/>
      <c r="F1105" s="4"/>
      <c r="G1105" s="4"/>
      <c r="H1105" s="4"/>
      <c r="I1105" s="25"/>
    </row>
    <row r="1106" spans="1:9" x14ac:dyDescent="0.25">
      <c r="A1106" s="7"/>
      <c r="B1106" s="42" t="s">
        <v>3908</v>
      </c>
      <c r="C1106" s="42" t="s">
        <v>3908</v>
      </c>
      <c r="D1106" s="4"/>
      <c r="E1106" s="4"/>
      <c r="F1106" s="4"/>
      <c r="G1106" s="4"/>
      <c r="H1106" s="4"/>
      <c r="I1106" s="25"/>
    </row>
    <row r="1107" spans="1:9" x14ac:dyDescent="0.25">
      <c r="A1107" s="7"/>
      <c r="B1107" s="42" t="s">
        <v>3910</v>
      </c>
      <c r="C1107" s="42" t="s">
        <v>3910</v>
      </c>
      <c r="D1107" s="4"/>
      <c r="E1107" s="4"/>
      <c r="F1107" s="4"/>
      <c r="G1107" s="4"/>
      <c r="H1107" s="4"/>
      <c r="I1107" s="25"/>
    </row>
    <row r="1108" spans="1:9" x14ac:dyDescent="0.25">
      <c r="A1108" s="7"/>
      <c r="B1108" s="42" t="s">
        <v>3912</v>
      </c>
      <c r="C1108" s="42" t="s">
        <v>3912</v>
      </c>
      <c r="D1108" s="4"/>
      <c r="E1108" s="4"/>
      <c r="F1108" s="4"/>
      <c r="G1108" s="4"/>
      <c r="H1108" s="4"/>
      <c r="I1108" s="25"/>
    </row>
    <row r="1109" spans="1:9" x14ac:dyDescent="0.25">
      <c r="A1109" s="7"/>
      <c r="B1109" s="42" t="s">
        <v>3914</v>
      </c>
      <c r="C1109" s="42" t="s">
        <v>3914</v>
      </c>
      <c r="D1109" s="4"/>
      <c r="E1109" s="4"/>
      <c r="F1109" s="4"/>
      <c r="G1109" s="4"/>
      <c r="H1109" s="4"/>
      <c r="I1109" s="25"/>
    </row>
    <row r="1110" spans="1:9" x14ac:dyDescent="0.25">
      <c r="A1110" s="7"/>
      <c r="B1110" s="42" t="s">
        <v>2478</v>
      </c>
      <c r="C1110" s="42" t="s">
        <v>3916</v>
      </c>
      <c r="D1110" s="4"/>
      <c r="E1110" s="4"/>
      <c r="F1110" s="4"/>
      <c r="G1110" s="4"/>
      <c r="H1110" s="4"/>
      <c r="I1110" s="25"/>
    </row>
    <row r="1111" spans="1:9" x14ac:dyDescent="0.25">
      <c r="A1111" s="7"/>
      <c r="B1111" s="42" t="s">
        <v>2480</v>
      </c>
      <c r="C1111" s="42" t="s">
        <v>3917</v>
      </c>
      <c r="D1111" s="4"/>
      <c r="E1111" s="4"/>
      <c r="F1111" s="4"/>
      <c r="G1111" s="4"/>
      <c r="H1111" s="4"/>
      <c r="I1111" s="25"/>
    </row>
    <row r="1112" spans="1:9" x14ac:dyDescent="0.25">
      <c r="A1112" s="7"/>
      <c r="B1112" s="42" t="s">
        <v>2532</v>
      </c>
      <c r="C1112" s="42" t="s">
        <v>3920</v>
      </c>
      <c r="D1112" s="4"/>
      <c r="E1112" s="4"/>
      <c r="F1112" s="4"/>
      <c r="G1112" s="4"/>
      <c r="H1112" s="4"/>
      <c r="I1112" s="25"/>
    </row>
    <row r="1113" spans="1:9" x14ac:dyDescent="0.25">
      <c r="A1113" s="7"/>
      <c r="B1113" s="42" t="s">
        <v>3922</v>
      </c>
      <c r="C1113" s="42" t="s">
        <v>3922</v>
      </c>
      <c r="D1113" s="4"/>
      <c r="E1113" s="4"/>
      <c r="F1113" s="4"/>
      <c r="G1113" s="4"/>
      <c r="H1113" s="4"/>
      <c r="I1113" s="25"/>
    </row>
    <row r="1114" spans="1:9" x14ac:dyDescent="0.25">
      <c r="A1114" s="7"/>
      <c r="B1114" s="42" t="s">
        <v>2540</v>
      </c>
      <c r="C1114" s="42" t="s">
        <v>3925</v>
      </c>
      <c r="D1114" s="4"/>
      <c r="E1114" s="4"/>
      <c r="F1114" s="4"/>
      <c r="G1114" s="4"/>
      <c r="H1114" s="4"/>
      <c r="I1114" s="25"/>
    </row>
    <row r="1115" spans="1:9" x14ac:dyDescent="0.25">
      <c r="A1115" s="7"/>
      <c r="B1115" s="42" t="s">
        <v>3931</v>
      </c>
      <c r="C1115" s="42" t="s">
        <v>3931</v>
      </c>
      <c r="D1115" s="4"/>
      <c r="E1115" s="4"/>
      <c r="F1115" s="4"/>
      <c r="G1115" s="4"/>
      <c r="H1115" s="4"/>
      <c r="I1115" s="25"/>
    </row>
    <row r="1116" spans="1:9" x14ac:dyDescent="0.25">
      <c r="A1116" s="7"/>
      <c r="B1116" s="42" t="s">
        <v>3933</v>
      </c>
      <c r="C1116" s="42" t="s">
        <v>3933</v>
      </c>
      <c r="D1116" s="4"/>
      <c r="E1116" s="4"/>
      <c r="F1116" s="4"/>
      <c r="G1116" s="4"/>
      <c r="H1116" s="4"/>
      <c r="I1116" s="25"/>
    </row>
    <row r="1117" spans="1:9" x14ac:dyDescent="0.25">
      <c r="A1117" s="7"/>
      <c r="B1117" s="42" t="s">
        <v>3935</v>
      </c>
      <c r="C1117" s="42" t="s">
        <v>3935</v>
      </c>
      <c r="D1117" s="4"/>
      <c r="E1117" s="4"/>
      <c r="F1117" s="4"/>
      <c r="G1117" s="4"/>
      <c r="H1117" s="4"/>
      <c r="I1117" s="25"/>
    </row>
    <row r="1118" spans="1:9" x14ac:dyDescent="0.25">
      <c r="A1118" s="7"/>
      <c r="B1118" s="42" t="s">
        <v>3937</v>
      </c>
      <c r="C1118" s="42" t="s">
        <v>3937</v>
      </c>
      <c r="D1118" s="4"/>
      <c r="E1118" s="4"/>
      <c r="F1118" s="4"/>
      <c r="G1118" s="4"/>
      <c r="H1118" s="4"/>
      <c r="I1118" s="25"/>
    </row>
    <row r="1119" spans="1:9" x14ac:dyDescent="0.25">
      <c r="A1119" s="7"/>
      <c r="B1119" s="42" t="s">
        <v>3939</v>
      </c>
      <c r="C1119" s="42" t="s">
        <v>3939</v>
      </c>
      <c r="D1119" s="4"/>
      <c r="E1119" s="4"/>
      <c r="F1119" s="4"/>
      <c r="G1119" s="4"/>
      <c r="H1119" s="4"/>
      <c r="I1119" s="25"/>
    </row>
    <row r="1120" spans="1:9" x14ac:dyDescent="0.25">
      <c r="A1120" s="7"/>
      <c r="B1120" s="42" t="s">
        <v>3941</v>
      </c>
      <c r="C1120" s="42" t="s">
        <v>3941</v>
      </c>
      <c r="D1120" s="4"/>
      <c r="E1120" s="4"/>
      <c r="F1120" s="4"/>
      <c r="G1120" s="4"/>
      <c r="H1120" s="4"/>
      <c r="I1120" s="25"/>
    </row>
    <row r="1121" spans="1:9" x14ac:dyDescent="0.25">
      <c r="A1121" s="7"/>
      <c r="B1121" s="42" t="s">
        <v>3943</v>
      </c>
      <c r="C1121" s="42" t="s">
        <v>3943</v>
      </c>
      <c r="D1121" s="4"/>
      <c r="E1121" s="4"/>
      <c r="F1121" s="4"/>
      <c r="G1121" s="4"/>
      <c r="H1121" s="4"/>
      <c r="I1121" s="25"/>
    </row>
    <row r="1122" spans="1:9" x14ac:dyDescent="0.25">
      <c r="A1122" s="7"/>
      <c r="B1122" s="42" t="s">
        <v>3945</v>
      </c>
      <c r="C1122" s="42" t="s">
        <v>3945</v>
      </c>
      <c r="D1122" s="4"/>
      <c r="E1122" s="4"/>
      <c r="F1122" s="4"/>
      <c r="G1122" s="4"/>
      <c r="H1122" s="4"/>
      <c r="I1122" s="25"/>
    </row>
    <row r="1123" spans="1:9" x14ac:dyDescent="0.25">
      <c r="A1123" s="7"/>
      <c r="B1123" s="42" t="s">
        <v>3947</v>
      </c>
      <c r="C1123" s="42" t="s">
        <v>3947</v>
      </c>
      <c r="D1123" s="4"/>
      <c r="E1123" s="4"/>
      <c r="F1123" s="4"/>
      <c r="G1123" s="4"/>
      <c r="H1123" s="4"/>
      <c r="I1123" s="25"/>
    </row>
    <row r="1124" spans="1:9" x14ac:dyDescent="0.25">
      <c r="A1124" s="7"/>
      <c r="B1124" s="42" t="s">
        <v>3949</v>
      </c>
      <c r="C1124" s="42" t="s">
        <v>3949</v>
      </c>
      <c r="D1124" s="4"/>
      <c r="E1124" s="4"/>
      <c r="F1124" s="4"/>
      <c r="G1124" s="4"/>
      <c r="H1124" s="4"/>
      <c r="I1124" s="25"/>
    </row>
    <row r="1125" spans="1:9" x14ac:dyDescent="0.25">
      <c r="A1125" s="7"/>
      <c r="B1125" s="42" t="s">
        <v>3951</v>
      </c>
      <c r="C1125" s="42" t="s">
        <v>3951</v>
      </c>
      <c r="D1125" s="4"/>
      <c r="E1125" s="4"/>
      <c r="F1125" s="4"/>
      <c r="G1125" s="4"/>
      <c r="H1125" s="4"/>
      <c r="I1125" s="25"/>
    </row>
    <row r="1126" spans="1:9" x14ac:dyDescent="0.25">
      <c r="A1126" s="7"/>
      <c r="B1126" s="42" t="s">
        <v>3953</v>
      </c>
      <c r="C1126" s="42" t="s">
        <v>3953</v>
      </c>
      <c r="D1126" s="4"/>
      <c r="E1126" s="4"/>
      <c r="F1126" s="4"/>
      <c r="G1126" s="4"/>
      <c r="H1126" s="4"/>
      <c r="I1126" s="25"/>
    </row>
    <row r="1127" spans="1:9" x14ac:dyDescent="0.25">
      <c r="A1127" s="7"/>
      <c r="B1127" s="42" t="s">
        <v>3962</v>
      </c>
      <c r="C1127" s="42" t="s">
        <v>3962</v>
      </c>
      <c r="D1127" s="4"/>
      <c r="E1127" s="4"/>
      <c r="F1127" s="4"/>
      <c r="G1127" s="4"/>
      <c r="H1127" s="4"/>
      <c r="I1127" s="25"/>
    </row>
    <row r="1128" spans="1:9" x14ac:dyDescent="0.25">
      <c r="A1128" s="7"/>
      <c r="B1128" s="42" t="s">
        <v>3964</v>
      </c>
      <c r="C1128" s="42" t="s">
        <v>3964</v>
      </c>
      <c r="D1128" s="4"/>
      <c r="E1128" s="4"/>
      <c r="F1128" s="4"/>
      <c r="G1128" s="4"/>
      <c r="H1128" s="4"/>
      <c r="I1128" s="25"/>
    </row>
    <row r="1129" spans="1:9" x14ac:dyDescent="0.25">
      <c r="A1129" s="7"/>
      <c r="B1129" s="42" t="s">
        <v>3966</v>
      </c>
      <c r="C1129" s="42" t="s">
        <v>3966</v>
      </c>
      <c r="D1129" s="4"/>
      <c r="E1129" s="4"/>
      <c r="F1129" s="4"/>
      <c r="G1129" s="4"/>
      <c r="H1129" s="4"/>
      <c r="I1129" s="25"/>
    </row>
    <row r="1130" spans="1:9" x14ac:dyDescent="0.25">
      <c r="A1130" s="7"/>
      <c r="B1130" s="42" t="s">
        <v>2693</v>
      </c>
      <c r="C1130" s="42" t="s">
        <v>3968</v>
      </c>
      <c r="D1130" s="4"/>
      <c r="E1130" s="4"/>
      <c r="F1130" s="4"/>
      <c r="G1130" s="4"/>
      <c r="H1130" s="4"/>
      <c r="I1130" s="25"/>
    </row>
    <row r="1131" spans="1:9" x14ac:dyDescent="0.25">
      <c r="A1131" s="7"/>
      <c r="B1131" s="42" t="s">
        <v>2707</v>
      </c>
      <c r="C1131" s="42" t="s">
        <v>3970</v>
      </c>
      <c r="D1131" s="4"/>
      <c r="E1131" s="4"/>
      <c r="F1131" s="4"/>
      <c r="G1131" s="4"/>
      <c r="H1131" s="4"/>
      <c r="I1131" s="25"/>
    </row>
    <row r="1132" spans="1:9" x14ac:dyDescent="0.25">
      <c r="A1132" s="7"/>
      <c r="B1132" s="42" t="s">
        <v>3972</v>
      </c>
      <c r="C1132" s="42" t="s">
        <v>3972</v>
      </c>
      <c r="D1132" s="4"/>
      <c r="E1132" s="4"/>
      <c r="F1132" s="4"/>
      <c r="G1132" s="4"/>
      <c r="H1132" s="4"/>
      <c r="I1132" s="25"/>
    </row>
    <row r="1133" spans="1:9" x14ac:dyDescent="0.25">
      <c r="A1133" s="7"/>
      <c r="B1133" s="42" t="s">
        <v>3974</v>
      </c>
      <c r="C1133" s="42" t="s">
        <v>3974</v>
      </c>
      <c r="D1133" s="4"/>
      <c r="E1133" s="4"/>
      <c r="F1133" s="4"/>
      <c r="G1133" s="4"/>
      <c r="H1133" s="4"/>
      <c r="I1133" s="25"/>
    </row>
    <row r="1134" spans="1:9" x14ac:dyDescent="0.25">
      <c r="A1134" s="7"/>
      <c r="B1134" s="42" t="s">
        <v>3977</v>
      </c>
      <c r="C1134" s="42" t="s">
        <v>3977</v>
      </c>
      <c r="D1134" s="4"/>
      <c r="E1134" s="4"/>
      <c r="F1134" s="4"/>
      <c r="G1134" s="4"/>
      <c r="H1134" s="4"/>
      <c r="I1134" s="25"/>
    </row>
    <row r="1135" spans="1:9" x14ac:dyDescent="0.25">
      <c r="A1135" s="7"/>
      <c r="B1135" s="42" t="s">
        <v>3986</v>
      </c>
      <c r="C1135" s="42" t="s">
        <v>3986</v>
      </c>
      <c r="D1135" s="4"/>
      <c r="E1135" s="4"/>
      <c r="F1135" s="4"/>
      <c r="G1135" s="4"/>
      <c r="H1135" s="4"/>
      <c r="I1135" s="25"/>
    </row>
    <row r="1136" spans="1:9" x14ac:dyDescent="0.25">
      <c r="A1136" s="7"/>
      <c r="B1136" s="42" t="s">
        <v>2903</v>
      </c>
      <c r="C1136" s="42" t="s">
        <v>3989</v>
      </c>
      <c r="D1136" s="4"/>
      <c r="E1136" s="4"/>
      <c r="F1136" s="4"/>
      <c r="G1136" s="4"/>
      <c r="H1136" s="4"/>
      <c r="I1136" s="25"/>
    </row>
    <row r="1137" spans="1:9" x14ac:dyDescent="0.25">
      <c r="A1137" s="7"/>
      <c r="B1137" s="42" t="s">
        <v>2907</v>
      </c>
      <c r="C1137" s="42" t="s">
        <v>3991</v>
      </c>
      <c r="D1137" s="4"/>
      <c r="E1137" s="4"/>
      <c r="F1137" s="4"/>
      <c r="G1137" s="4"/>
      <c r="H1137" s="4"/>
      <c r="I1137" s="25"/>
    </row>
    <row r="1138" spans="1:9" x14ac:dyDescent="0.25">
      <c r="A1138" s="7"/>
      <c r="B1138" s="42" t="s">
        <v>3777</v>
      </c>
      <c r="C1138" s="42" t="s">
        <v>3993</v>
      </c>
      <c r="D1138" s="4"/>
      <c r="E1138" s="4"/>
      <c r="F1138" s="4"/>
      <c r="G1138" s="4"/>
      <c r="H1138" s="4"/>
      <c r="I1138" s="25"/>
    </row>
    <row r="1139" spans="1:9" x14ac:dyDescent="0.25">
      <c r="A1139" s="7"/>
      <c r="B1139" s="42" t="s">
        <v>2913</v>
      </c>
      <c r="C1139" s="42" t="s">
        <v>3995</v>
      </c>
      <c r="D1139" s="4"/>
      <c r="E1139" s="4"/>
      <c r="F1139" s="4"/>
      <c r="G1139" s="4"/>
      <c r="H1139" s="4"/>
      <c r="I1139" s="25"/>
    </row>
    <row r="1140" spans="1:9" x14ac:dyDescent="0.25">
      <c r="A1140" s="7"/>
      <c r="B1140" s="42" t="s">
        <v>2919</v>
      </c>
      <c r="C1140" s="42" t="s">
        <v>3998</v>
      </c>
      <c r="D1140" s="4"/>
      <c r="E1140" s="4"/>
      <c r="F1140" s="4"/>
      <c r="G1140" s="4"/>
      <c r="H1140" s="4"/>
      <c r="I1140" s="25"/>
    </row>
    <row r="1141" spans="1:9" x14ac:dyDescent="0.25">
      <c r="A1141" s="7"/>
      <c r="B1141" s="42" t="s">
        <v>2925</v>
      </c>
      <c r="C1141" s="42" t="s">
        <v>4001</v>
      </c>
      <c r="D1141" s="4"/>
      <c r="E1141" s="4"/>
      <c r="F1141" s="4"/>
      <c r="G1141" s="4"/>
      <c r="H1141" s="4"/>
      <c r="I1141" s="25"/>
    </row>
    <row r="1142" spans="1:9" x14ac:dyDescent="0.25">
      <c r="A1142" s="7"/>
      <c r="B1142" s="42" t="s">
        <v>2935</v>
      </c>
      <c r="C1142" s="42" t="s">
        <v>4006</v>
      </c>
      <c r="D1142" s="4"/>
      <c r="E1142" s="4"/>
      <c r="F1142" s="4"/>
      <c r="G1142" s="4"/>
      <c r="H1142" s="4"/>
      <c r="I1142" s="25"/>
    </row>
    <row r="1143" spans="1:9" x14ac:dyDescent="0.25">
      <c r="A1143" s="7"/>
      <c r="B1143" s="42" t="s">
        <v>2943</v>
      </c>
      <c r="C1143" s="42" t="s">
        <v>4010</v>
      </c>
      <c r="D1143" s="4"/>
      <c r="E1143" s="4"/>
      <c r="F1143" s="4"/>
      <c r="G1143" s="4"/>
      <c r="H1143" s="4"/>
      <c r="I1143" s="25"/>
    </row>
    <row r="1144" spans="1:9" x14ac:dyDescent="0.25">
      <c r="A1144" s="7"/>
      <c r="B1144" s="42" t="s">
        <v>2955</v>
      </c>
      <c r="C1144" s="42" t="s">
        <v>2956</v>
      </c>
      <c r="D1144" s="4"/>
      <c r="E1144" s="4"/>
      <c r="F1144" s="4"/>
      <c r="G1144" s="4"/>
      <c r="H1144" s="4"/>
      <c r="I1144" s="25"/>
    </row>
    <row r="1145" spans="1:9" x14ac:dyDescent="0.25">
      <c r="A1145" s="7"/>
      <c r="B1145" s="42" t="s">
        <v>2960</v>
      </c>
      <c r="C1145" s="42" t="s">
        <v>2961</v>
      </c>
      <c r="D1145" s="4"/>
      <c r="E1145" s="4"/>
      <c r="F1145" s="4"/>
      <c r="G1145" s="4"/>
      <c r="H1145" s="4"/>
      <c r="I1145" s="25"/>
    </row>
    <row r="1146" spans="1:9" x14ac:dyDescent="0.25">
      <c r="A1146" s="7"/>
      <c r="B1146" s="42" t="s">
        <v>2999</v>
      </c>
      <c r="C1146" s="42" t="s">
        <v>3000</v>
      </c>
      <c r="D1146" s="4"/>
      <c r="E1146" s="4"/>
      <c r="F1146" s="4"/>
      <c r="G1146" s="4"/>
      <c r="H1146" s="4"/>
      <c r="I1146" s="25"/>
    </row>
    <row r="1147" spans="1:9" x14ac:dyDescent="0.25">
      <c r="A1147" s="7"/>
      <c r="B1147" s="42" t="s">
        <v>4016</v>
      </c>
      <c r="C1147" s="42" t="s">
        <v>4016</v>
      </c>
      <c r="D1147" s="4"/>
      <c r="E1147" s="4"/>
      <c r="F1147" s="4"/>
      <c r="G1147" s="4"/>
      <c r="H1147" s="4"/>
      <c r="I1147" s="25"/>
    </row>
    <row r="1148" spans="1:9" x14ac:dyDescent="0.25">
      <c r="A1148" s="7"/>
      <c r="B1148" s="42" t="s">
        <v>4018</v>
      </c>
      <c r="C1148" s="42" t="s">
        <v>4018</v>
      </c>
      <c r="D1148" s="4"/>
      <c r="E1148" s="4"/>
      <c r="F1148" s="4"/>
      <c r="G1148" s="4"/>
      <c r="H1148" s="4"/>
      <c r="I1148" s="25"/>
    </row>
    <row r="1149" spans="1:9" x14ac:dyDescent="0.25">
      <c r="A1149" s="7"/>
      <c r="B1149" s="42" t="s">
        <v>4020</v>
      </c>
      <c r="C1149" s="42" t="s">
        <v>4020</v>
      </c>
      <c r="D1149" s="4"/>
      <c r="E1149" s="4"/>
      <c r="F1149" s="4"/>
      <c r="G1149" s="4"/>
      <c r="H1149" s="4"/>
      <c r="I1149" s="25"/>
    </row>
    <row r="1150" spans="1:9" x14ac:dyDescent="0.25">
      <c r="A1150" s="7"/>
      <c r="B1150" s="42" t="s">
        <v>4022</v>
      </c>
      <c r="C1150" s="42" t="s">
        <v>4022</v>
      </c>
      <c r="D1150" s="4"/>
      <c r="E1150" s="4"/>
      <c r="F1150" s="4"/>
      <c r="G1150" s="4"/>
      <c r="H1150" s="4"/>
      <c r="I1150" s="25"/>
    </row>
    <row r="1151" spans="1:9" x14ac:dyDescent="0.25">
      <c r="A1151" s="7"/>
      <c r="B1151" s="42" t="s">
        <v>4024</v>
      </c>
      <c r="C1151" s="42" t="s">
        <v>4024</v>
      </c>
      <c r="D1151" s="4"/>
      <c r="E1151" s="4"/>
      <c r="F1151" s="4"/>
      <c r="G1151" s="4"/>
      <c r="H1151" s="4"/>
      <c r="I1151" s="25"/>
    </row>
    <row r="1152" spans="1:9" x14ac:dyDescent="0.25">
      <c r="A1152" s="7"/>
      <c r="B1152" s="42" t="s">
        <v>4026</v>
      </c>
      <c r="C1152" s="42" t="s">
        <v>4026</v>
      </c>
      <c r="D1152" s="4"/>
      <c r="E1152" s="4"/>
      <c r="F1152" s="4"/>
      <c r="G1152" s="4"/>
      <c r="H1152" s="4"/>
      <c r="I1152" s="25"/>
    </row>
    <row r="1153" spans="1:9" x14ac:dyDescent="0.25">
      <c r="A1153" s="7"/>
      <c r="B1153" s="42" t="s">
        <v>4028</v>
      </c>
      <c r="C1153" s="42" t="s">
        <v>4028</v>
      </c>
      <c r="D1153" s="4"/>
      <c r="E1153" s="4"/>
      <c r="F1153" s="4"/>
      <c r="G1153" s="4"/>
      <c r="H1153" s="4"/>
      <c r="I1153" s="25"/>
    </row>
    <row r="1154" spans="1:9" x14ac:dyDescent="0.25">
      <c r="A1154" s="7"/>
      <c r="B1154" s="42" t="s">
        <v>3213</v>
      </c>
      <c r="C1154" s="42" t="s">
        <v>3214</v>
      </c>
      <c r="D1154" s="4"/>
      <c r="E1154" s="4"/>
      <c r="F1154" s="4"/>
      <c r="G1154" s="4"/>
      <c r="H1154" s="4"/>
      <c r="I1154" s="25"/>
    </row>
    <row r="1155" spans="1:9" x14ac:dyDescent="0.25">
      <c r="A1155" s="9"/>
      <c r="B1155" s="50" t="s">
        <v>3662</v>
      </c>
      <c r="C1155" s="50" t="s">
        <v>3662</v>
      </c>
      <c r="D1155" s="21"/>
      <c r="E1155" s="21"/>
      <c r="F1155" s="21"/>
      <c r="G1155" s="21"/>
      <c r="H1155" s="21"/>
      <c r="I1155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43"/>
  <sheetViews>
    <sheetView topLeftCell="A1054" zoomScaleNormal="100" workbookViewId="0">
      <selection activeCell="B1069" sqref="B1069:C1143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2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2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2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2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2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2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2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2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2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2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2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2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2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19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0" t="s">
        <v>3693</v>
      </c>
      <c r="E1068" s="20" t="s">
        <v>554</v>
      </c>
      <c r="F1068" s="20" t="str">
        <f>VLOOKUP(Table4[[#This Row],[نام کارشناس دفتر فنی]],Table1[],3,0)</f>
        <v>کارشناس کالیبراسیون و برنامه ریزی تعمیرات برق وابزاردقیق</v>
      </c>
      <c r="G1068" s="20" t="s">
        <v>687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/>
      <c r="B1069" s="42" t="s">
        <v>3888</v>
      </c>
      <c r="C1069" s="42" t="s">
        <v>3888</v>
      </c>
      <c r="D1069" s="4"/>
      <c r="E1069" s="4"/>
      <c r="F1069" s="4"/>
      <c r="G1069" s="4"/>
      <c r="H1069" s="4"/>
      <c r="I1069" s="25"/>
    </row>
    <row r="1070" spans="1:9" x14ac:dyDescent="0.25">
      <c r="A1070" s="7"/>
      <c r="B1070" s="42" t="s">
        <v>3890</v>
      </c>
      <c r="C1070" s="42" t="s">
        <v>3890</v>
      </c>
      <c r="D1070" s="4"/>
      <c r="E1070" s="4"/>
      <c r="F1070" s="4"/>
      <c r="G1070" s="4"/>
      <c r="H1070" s="4"/>
      <c r="I1070" s="25"/>
    </row>
    <row r="1071" spans="1:9" x14ac:dyDescent="0.25">
      <c r="A1071" s="7"/>
      <c r="B1071" s="42" t="s">
        <v>3892</v>
      </c>
      <c r="C1071" s="42" t="s">
        <v>3892</v>
      </c>
      <c r="D1071" s="4"/>
      <c r="E1071" s="4"/>
      <c r="F1071" s="4"/>
      <c r="G1071" s="4"/>
      <c r="H1071" s="4"/>
      <c r="I1071" s="25"/>
    </row>
    <row r="1072" spans="1:9" x14ac:dyDescent="0.25">
      <c r="A1072" s="7"/>
      <c r="B1072" s="42" t="s">
        <v>4168</v>
      </c>
      <c r="C1072" s="42" t="s">
        <v>4168</v>
      </c>
      <c r="D1072" s="4"/>
      <c r="E1072" s="4"/>
      <c r="F1072" s="4"/>
      <c r="G1072" s="4"/>
      <c r="H1072" s="4"/>
      <c r="I1072" s="25"/>
    </row>
    <row r="1073" spans="1:9" x14ac:dyDescent="0.25">
      <c r="A1073" s="7"/>
      <c r="B1073" s="42" t="s">
        <v>4170</v>
      </c>
      <c r="C1073" s="42" t="s">
        <v>4170</v>
      </c>
      <c r="D1073" s="4"/>
      <c r="E1073" s="4"/>
      <c r="F1073" s="4"/>
      <c r="G1073" s="4"/>
      <c r="H1073" s="4"/>
      <c r="I1073" s="25"/>
    </row>
    <row r="1074" spans="1:9" x14ac:dyDescent="0.25">
      <c r="A1074" s="7"/>
      <c r="B1074" s="42" t="s">
        <v>4172</v>
      </c>
      <c r="C1074" s="42" t="s">
        <v>4172</v>
      </c>
      <c r="D1074" s="4"/>
      <c r="E1074" s="4"/>
      <c r="F1074" s="4"/>
      <c r="G1074" s="4"/>
      <c r="H1074" s="4"/>
      <c r="I1074" s="25"/>
    </row>
    <row r="1075" spans="1:9" x14ac:dyDescent="0.25">
      <c r="A1075" s="7"/>
      <c r="B1075" s="42" t="s">
        <v>4174</v>
      </c>
      <c r="C1075" s="42" t="s">
        <v>4174</v>
      </c>
      <c r="D1075" s="4"/>
      <c r="E1075" s="4"/>
      <c r="F1075" s="4"/>
      <c r="G1075" s="4"/>
      <c r="H1075" s="4"/>
      <c r="I1075" s="25"/>
    </row>
    <row r="1076" spans="1:9" x14ac:dyDescent="0.25">
      <c r="A1076" s="7"/>
      <c r="B1076" s="42" t="s">
        <v>4176</v>
      </c>
      <c r="C1076" s="42" t="s">
        <v>4176</v>
      </c>
      <c r="D1076" s="4"/>
      <c r="E1076" s="4"/>
      <c r="F1076" s="4"/>
      <c r="G1076" s="4"/>
      <c r="H1076" s="4"/>
      <c r="I1076" s="25"/>
    </row>
    <row r="1077" spans="1:9" x14ac:dyDescent="0.25">
      <c r="A1077" s="7"/>
      <c r="B1077" s="42" t="s">
        <v>4178</v>
      </c>
      <c r="C1077" s="42" t="s">
        <v>4178</v>
      </c>
      <c r="D1077" s="4"/>
      <c r="E1077" s="4"/>
      <c r="F1077" s="4"/>
      <c r="G1077" s="4"/>
      <c r="H1077" s="4"/>
      <c r="I1077" s="25"/>
    </row>
    <row r="1078" spans="1:9" x14ac:dyDescent="0.25">
      <c r="A1078" s="7"/>
      <c r="B1078" s="42" t="s">
        <v>4180</v>
      </c>
      <c r="C1078" s="42" t="s">
        <v>4180</v>
      </c>
      <c r="D1078" s="4"/>
      <c r="E1078" s="4"/>
      <c r="F1078" s="4"/>
      <c r="G1078" s="4"/>
      <c r="H1078" s="4"/>
      <c r="I1078" s="25"/>
    </row>
    <row r="1079" spans="1:9" x14ac:dyDescent="0.25">
      <c r="A1079" s="7"/>
      <c r="B1079" s="42" t="s">
        <v>4182</v>
      </c>
      <c r="C1079" s="42" t="s">
        <v>4182</v>
      </c>
      <c r="D1079" s="4"/>
      <c r="E1079" s="4"/>
      <c r="F1079" s="4"/>
      <c r="G1079" s="4"/>
      <c r="H1079" s="4"/>
      <c r="I1079" s="25"/>
    </row>
    <row r="1080" spans="1:9" x14ac:dyDescent="0.25">
      <c r="A1080" s="7"/>
      <c r="B1080" s="42" t="s">
        <v>4184</v>
      </c>
      <c r="C1080" s="42" t="s">
        <v>4184</v>
      </c>
      <c r="D1080" s="4"/>
      <c r="E1080" s="4"/>
      <c r="F1080" s="4"/>
      <c r="G1080" s="4"/>
      <c r="H1080" s="4"/>
      <c r="I1080" s="25"/>
    </row>
    <row r="1081" spans="1:9" x14ac:dyDescent="0.25">
      <c r="A1081" s="7"/>
      <c r="B1081" s="42" t="s">
        <v>4186</v>
      </c>
      <c r="C1081" s="42" t="s">
        <v>4186</v>
      </c>
      <c r="D1081" s="4"/>
      <c r="E1081" s="4"/>
      <c r="F1081" s="4"/>
      <c r="G1081" s="4"/>
      <c r="H1081" s="4"/>
      <c r="I1081" s="25"/>
    </row>
    <row r="1082" spans="1:9" x14ac:dyDescent="0.25">
      <c r="A1082" s="7"/>
      <c r="B1082" s="42" t="s">
        <v>4188</v>
      </c>
      <c r="C1082" s="42" t="s">
        <v>4188</v>
      </c>
      <c r="D1082" s="4"/>
      <c r="E1082" s="4"/>
      <c r="F1082" s="4"/>
      <c r="G1082" s="4"/>
      <c r="H1082" s="4"/>
      <c r="I1082" s="25"/>
    </row>
    <row r="1083" spans="1:9" x14ac:dyDescent="0.25">
      <c r="A1083" s="7"/>
      <c r="B1083" s="42" t="s">
        <v>4190</v>
      </c>
      <c r="C1083" s="42" t="s">
        <v>4190</v>
      </c>
      <c r="D1083" s="4"/>
      <c r="E1083" s="4"/>
      <c r="F1083" s="4"/>
      <c r="G1083" s="4"/>
      <c r="H1083" s="4"/>
      <c r="I1083" s="25"/>
    </row>
    <row r="1084" spans="1:9" x14ac:dyDescent="0.25">
      <c r="A1084" s="7"/>
      <c r="B1084" s="42" t="s">
        <v>4192</v>
      </c>
      <c r="C1084" s="42" t="s">
        <v>4192</v>
      </c>
      <c r="D1084" s="4"/>
      <c r="E1084" s="4"/>
      <c r="F1084" s="4"/>
      <c r="G1084" s="4"/>
      <c r="H1084" s="4"/>
      <c r="I1084" s="25"/>
    </row>
    <row r="1085" spans="1:9" x14ac:dyDescent="0.25">
      <c r="A1085" s="7"/>
      <c r="B1085" s="42" t="s">
        <v>4194</v>
      </c>
      <c r="C1085" s="42" t="s">
        <v>4194</v>
      </c>
      <c r="D1085" s="4"/>
      <c r="E1085" s="4"/>
      <c r="F1085" s="4"/>
      <c r="G1085" s="4"/>
      <c r="H1085" s="4"/>
      <c r="I1085" s="25"/>
    </row>
    <row r="1086" spans="1:9" x14ac:dyDescent="0.25">
      <c r="A1086" s="7"/>
      <c r="B1086" s="42" t="s">
        <v>4196</v>
      </c>
      <c r="C1086" s="42" t="s">
        <v>4196</v>
      </c>
      <c r="D1086" s="4"/>
      <c r="E1086" s="4"/>
      <c r="F1086" s="4"/>
      <c r="G1086" s="4"/>
      <c r="H1086" s="4"/>
      <c r="I1086" s="25"/>
    </row>
    <row r="1087" spans="1:9" x14ac:dyDescent="0.25">
      <c r="A1087" s="7"/>
      <c r="B1087" s="42" t="s">
        <v>3894</v>
      </c>
      <c r="C1087" s="42" t="s">
        <v>3894</v>
      </c>
      <c r="D1087" s="4"/>
      <c r="E1087" s="4"/>
      <c r="F1087" s="4"/>
      <c r="G1087" s="4"/>
      <c r="H1087" s="4"/>
      <c r="I1087" s="25"/>
    </row>
    <row r="1088" spans="1:9" x14ac:dyDescent="0.25">
      <c r="A1088" s="7"/>
      <c r="B1088" s="42" t="s">
        <v>3896</v>
      </c>
      <c r="C1088" s="42" t="s">
        <v>3896</v>
      </c>
      <c r="D1088" s="4"/>
      <c r="E1088" s="4"/>
      <c r="F1088" s="4"/>
      <c r="G1088" s="4"/>
      <c r="H1088" s="4"/>
      <c r="I1088" s="25"/>
    </row>
    <row r="1089" spans="1:9" x14ac:dyDescent="0.25">
      <c r="A1089" s="7"/>
      <c r="B1089" s="42" t="s">
        <v>3898</v>
      </c>
      <c r="C1089" s="42" t="s">
        <v>3898</v>
      </c>
      <c r="D1089" s="4"/>
      <c r="E1089" s="4"/>
      <c r="F1089" s="4"/>
      <c r="G1089" s="4"/>
      <c r="H1089" s="4"/>
      <c r="I1089" s="25"/>
    </row>
    <row r="1090" spans="1:9" x14ac:dyDescent="0.25">
      <c r="A1090" s="7"/>
      <c r="B1090" s="42" t="s">
        <v>3900</v>
      </c>
      <c r="C1090" s="42" t="s">
        <v>3900</v>
      </c>
      <c r="D1090" s="4"/>
      <c r="E1090" s="4"/>
      <c r="F1090" s="4"/>
      <c r="G1090" s="4"/>
      <c r="H1090" s="4"/>
      <c r="I1090" s="25"/>
    </row>
    <row r="1091" spans="1:9" x14ac:dyDescent="0.25">
      <c r="A1091" s="7"/>
      <c r="B1091" s="42" t="s">
        <v>3902</v>
      </c>
      <c r="C1091" s="42" t="s">
        <v>3902</v>
      </c>
      <c r="D1091" s="4"/>
      <c r="E1091" s="4"/>
      <c r="F1091" s="4"/>
      <c r="G1091" s="4"/>
      <c r="H1091" s="4"/>
      <c r="I1091" s="25"/>
    </row>
    <row r="1092" spans="1:9" x14ac:dyDescent="0.25">
      <c r="A1092" s="7"/>
      <c r="B1092" s="42" t="s">
        <v>3904</v>
      </c>
      <c r="C1092" s="42" t="s">
        <v>3904</v>
      </c>
      <c r="D1092" s="4"/>
      <c r="E1092" s="4"/>
      <c r="F1092" s="4"/>
      <c r="G1092" s="4"/>
      <c r="H1092" s="4"/>
      <c r="I1092" s="25"/>
    </row>
    <row r="1093" spans="1:9" x14ac:dyDescent="0.25">
      <c r="A1093" s="7"/>
      <c r="B1093" s="42" t="s">
        <v>3906</v>
      </c>
      <c r="C1093" s="42" t="s">
        <v>3906</v>
      </c>
      <c r="D1093" s="4"/>
      <c r="E1093" s="4"/>
      <c r="F1093" s="4"/>
      <c r="G1093" s="4"/>
      <c r="H1093" s="4"/>
      <c r="I1093" s="25"/>
    </row>
    <row r="1094" spans="1:9" x14ac:dyDescent="0.25">
      <c r="A1094" s="7"/>
      <c r="B1094" s="42" t="s">
        <v>3908</v>
      </c>
      <c r="C1094" s="42" t="s">
        <v>3908</v>
      </c>
      <c r="D1094" s="4"/>
      <c r="E1094" s="4"/>
      <c r="F1094" s="4"/>
      <c r="G1094" s="4"/>
      <c r="H1094" s="4"/>
      <c r="I1094" s="25"/>
    </row>
    <row r="1095" spans="1:9" x14ac:dyDescent="0.25">
      <c r="A1095" s="7"/>
      <c r="B1095" s="42" t="s">
        <v>3910</v>
      </c>
      <c r="C1095" s="42" t="s">
        <v>3910</v>
      </c>
      <c r="D1095" s="4"/>
      <c r="E1095" s="4"/>
      <c r="F1095" s="4"/>
      <c r="G1095" s="4"/>
      <c r="H1095" s="4"/>
      <c r="I1095" s="25"/>
    </row>
    <row r="1096" spans="1:9" x14ac:dyDescent="0.25">
      <c r="A1096" s="7"/>
      <c r="B1096" s="42" t="s">
        <v>3912</v>
      </c>
      <c r="C1096" s="42" t="s">
        <v>3912</v>
      </c>
      <c r="D1096" s="4"/>
      <c r="E1096" s="4"/>
      <c r="F1096" s="4"/>
      <c r="G1096" s="4"/>
      <c r="H1096" s="4"/>
      <c r="I1096" s="25"/>
    </row>
    <row r="1097" spans="1:9" x14ac:dyDescent="0.25">
      <c r="A1097" s="7"/>
      <c r="B1097" s="42" t="s">
        <v>3914</v>
      </c>
      <c r="C1097" s="42" t="s">
        <v>3914</v>
      </c>
      <c r="D1097" s="4"/>
      <c r="E1097" s="4"/>
      <c r="F1097" s="4"/>
      <c r="G1097" s="4"/>
      <c r="H1097" s="4"/>
      <c r="I1097" s="25"/>
    </row>
    <row r="1098" spans="1:9" x14ac:dyDescent="0.25">
      <c r="A1098" s="7"/>
      <c r="B1098" s="42" t="s">
        <v>2478</v>
      </c>
      <c r="C1098" s="42" t="s">
        <v>3916</v>
      </c>
      <c r="D1098" s="4"/>
      <c r="E1098" s="4"/>
      <c r="F1098" s="4"/>
      <c r="G1098" s="4"/>
      <c r="H1098" s="4"/>
      <c r="I1098" s="25"/>
    </row>
    <row r="1099" spans="1:9" x14ac:dyDescent="0.25">
      <c r="A1099" s="7"/>
      <c r="B1099" s="42" t="s">
        <v>2480</v>
      </c>
      <c r="C1099" s="42" t="s">
        <v>3917</v>
      </c>
      <c r="D1099" s="4"/>
      <c r="E1099" s="4"/>
      <c r="F1099" s="4"/>
      <c r="G1099" s="4"/>
      <c r="H1099" s="4"/>
      <c r="I1099" s="25"/>
    </row>
    <row r="1100" spans="1:9" x14ac:dyDescent="0.25">
      <c r="A1100" s="7"/>
      <c r="B1100" s="42" t="s">
        <v>2532</v>
      </c>
      <c r="C1100" s="42" t="s">
        <v>3920</v>
      </c>
      <c r="D1100" s="4"/>
      <c r="E1100" s="4"/>
      <c r="F1100" s="4"/>
      <c r="G1100" s="4"/>
      <c r="H1100" s="4"/>
      <c r="I1100" s="25"/>
    </row>
    <row r="1101" spans="1:9" x14ac:dyDescent="0.25">
      <c r="A1101" s="7"/>
      <c r="B1101" s="42" t="s">
        <v>3922</v>
      </c>
      <c r="C1101" s="42" t="s">
        <v>3922</v>
      </c>
      <c r="D1101" s="4"/>
      <c r="E1101" s="4"/>
      <c r="F1101" s="4"/>
      <c r="G1101" s="4"/>
      <c r="H1101" s="4"/>
      <c r="I1101" s="25"/>
    </row>
    <row r="1102" spans="1:9" x14ac:dyDescent="0.25">
      <c r="A1102" s="7"/>
      <c r="B1102" s="42" t="s">
        <v>2540</v>
      </c>
      <c r="C1102" s="42" t="s">
        <v>3925</v>
      </c>
      <c r="D1102" s="4"/>
      <c r="E1102" s="4"/>
      <c r="F1102" s="4"/>
      <c r="G1102" s="4"/>
      <c r="H1102" s="4"/>
      <c r="I1102" s="25"/>
    </row>
    <row r="1103" spans="1:9" x14ac:dyDescent="0.25">
      <c r="A1103" s="7"/>
      <c r="B1103" s="42" t="s">
        <v>3931</v>
      </c>
      <c r="C1103" s="42" t="s">
        <v>3931</v>
      </c>
      <c r="D1103" s="4"/>
      <c r="E1103" s="4"/>
      <c r="F1103" s="4"/>
      <c r="G1103" s="4"/>
      <c r="H1103" s="4"/>
      <c r="I1103" s="25"/>
    </row>
    <row r="1104" spans="1:9" x14ac:dyDescent="0.25">
      <c r="A1104" s="7"/>
      <c r="B1104" s="42" t="s">
        <v>3933</v>
      </c>
      <c r="C1104" s="42" t="s">
        <v>3933</v>
      </c>
      <c r="D1104" s="4"/>
      <c r="E1104" s="4"/>
      <c r="F1104" s="4"/>
      <c r="G1104" s="4"/>
      <c r="H1104" s="4"/>
      <c r="I1104" s="25"/>
    </row>
    <row r="1105" spans="1:9" x14ac:dyDescent="0.25">
      <c r="A1105" s="7"/>
      <c r="B1105" s="42" t="s">
        <v>3935</v>
      </c>
      <c r="C1105" s="42" t="s">
        <v>3935</v>
      </c>
      <c r="D1105" s="4"/>
      <c r="E1105" s="4"/>
      <c r="F1105" s="4"/>
      <c r="G1105" s="4"/>
      <c r="H1105" s="4"/>
      <c r="I1105" s="25"/>
    </row>
    <row r="1106" spans="1:9" x14ac:dyDescent="0.25">
      <c r="A1106" s="7"/>
      <c r="B1106" s="42" t="s">
        <v>3937</v>
      </c>
      <c r="C1106" s="42" t="s">
        <v>3937</v>
      </c>
      <c r="D1106" s="4"/>
      <c r="E1106" s="4"/>
      <c r="F1106" s="4"/>
      <c r="G1106" s="4"/>
      <c r="H1106" s="4"/>
      <c r="I1106" s="25"/>
    </row>
    <row r="1107" spans="1:9" x14ac:dyDescent="0.25">
      <c r="A1107" s="7"/>
      <c r="B1107" s="42" t="s">
        <v>3939</v>
      </c>
      <c r="C1107" s="42" t="s">
        <v>3939</v>
      </c>
      <c r="D1107" s="4"/>
      <c r="E1107" s="4"/>
      <c r="F1107" s="4"/>
      <c r="G1107" s="4"/>
      <c r="H1107" s="4"/>
      <c r="I1107" s="25"/>
    </row>
    <row r="1108" spans="1:9" x14ac:dyDescent="0.25">
      <c r="A1108" s="7"/>
      <c r="B1108" s="42" t="s">
        <v>3941</v>
      </c>
      <c r="C1108" s="42" t="s">
        <v>3941</v>
      </c>
      <c r="D1108" s="4"/>
      <c r="E1108" s="4"/>
      <c r="F1108" s="4"/>
      <c r="G1108" s="4"/>
      <c r="H1108" s="4"/>
      <c r="I1108" s="25"/>
    </row>
    <row r="1109" spans="1:9" x14ac:dyDescent="0.25">
      <c r="A1109" s="7"/>
      <c r="B1109" s="42" t="s">
        <v>3943</v>
      </c>
      <c r="C1109" s="42" t="s">
        <v>3943</v>
      </c>
      <c r="D1109" s="4"/>
      <c r="E1109" s="4"/>
      <c r="F1109" s="4"/>
      <c r="G1109" s="4"/>
      <c r="H1109" s="4"/>
      <c r="I1109" s="25"/>
    </row>
    <row r="1110" spans="1:9" x14ac:dyDescent="0.25">
      <c r="A1110" s="7"/>
      <c r="B1110" s="42" t="s">
        <v>3945</v>
      </c>
      <c r="C1110" s="42" t="s">
        <v>3945</v>
      </c>
      <c r="D1110" s="4"/>
      <c r="E1110" s="4"/>
      <c r="F1110" s="4"/>
      <c r="G1110" s="4"/>
      <c r="H1110" s="4"/>
      <c r="I1110" s="25"/>
    </row>
    <row r="1111" spans="1:9" x14ac:dyDescent="0.25">
      <c r="A1111" s="7"/>
      <c r="B1111" s="42" t="s">
        <v>3947</v>
      </c>
      <c r="C1111" s="42" t="s">
        <v>3947</v>
      </c>
      <c r="D1111" s="4"/>
      <c r="E1111" s="4"/>
      <c r="F1111" s="4"/>
      <c r="G1111" s="4"/>
      <c r="H1111" s="4"/>
      <c r="I1111" s="25"/>
    </row>
    <row r="1112" spans="1:9" x14ac:dyDescent="0.25">
      <c r="A1112" s="7"/>
      <c r="B1112" s="42" t="s">
        <v>3949</v>
      </c>
      <c r="C1112" s="42" t="s">
        <v>3949</v>
      </c>
      <c r="D1112" s="4"/>
      <c r="E1112" s="4"/>
      <c r="F1112" s="4"/>
      <c r="G1112" s="4"/>
      <c r="H1112" s="4"/>
      <c r="I1112" s="25"/>
    </row>
    <row r="1113" spans="1:9" x14ac:dyDescent="0.25">
      <c r="A1113" s="7"/>
      <c r="B1113" s="42" t="s">
        <v>3951</v>
      </c>
      <c r="C1113" s="42" t="s">
        <v>3951</v>
      </c>
      <c r="D1113" s="4"/>
      <c r="E1113" s="4"/>
      <c r="F1113" s="4"/>
      <c r="G1113" s="4"/>
      <c r="H1113" s="4"/>
      <c r="I1113" s="25"/>
    </row>
    <row r="1114" spans="1:9" x14ac:dyDescent="0.25">
      <c r="A1114" s="7"/>
      <c r="B1114" s="42" t="s">
        <v>3953</v>
      </c>
      <c r="C1114" s="42" t="s">
        <v>3953</v>
      </c>
      <c r="D1114" s="4"/>
      <c r="E1114" s="4"/>
      <c r="F1114" s="4"/>
      <c r="G1114" s="4"/>
      <c r="H1114" s="4"/>
      <c r="I1114" s="25"/>
    </row>
    <row r="1115" spans="1:9" x14ac:dyDescent="0.25">
      <c r="A1115" s="7"/>
      <c r="B1115" s="42" t="s">
        <v>3962</v>
      </c>
      <c r="C1115" s="42" t="s">
        <v>3962</v>
      </c>
      <c r="D1115" s="4"/>
      <c r="E1115" s="4"/>
      <c r="F1115" s="4"/>
      <c r="G1115" s="4"/>
      <c r="H1115" s="4"/>
      <c r="I1115" s="25"/>
    </row>
    <row r="1116" spans="1:9" x14ac:dyDescent="0.25">
      <c r="A1116" s="7"/>
      <c r="B1116" s="42" t="s">
        <v>3964</v>
      </c>
      <c r="C1116" s="42" t="s">
        <v>3964</v>
      </c>
      <c r="D1116" s="4"/>
      <c r="E1116" s="4"/>
      <c r="F1116" s="4"/>
      <c r="G1116" s="4"/>
      <c r="H1116" s="4"/>
      <c r="I1116" s="25"/>
    </row>
    <row r="1117" spans="1:9" x14ac:dyDescent="0.25">
      <c r="A1117" s="7"/>
      <c r="B1117" s="42" t="s">
        <v>3966</v>
      </c>
      <c r="C1117" s="42" t="s">
        <v>3966</v>
      </c>
      <c r="D1117" s="4"/>
      <c r="E1117" s="4"/>
      <c r="F1117" s="4"/>
      <c r="G1117" s="4"/>
      <c r="H1117" s="4"/>
      <c r="I1117" s="25"/>
    </row>
    <row r="1118" spans="1:9" x14ac:dyDescent="0.25">
      <c r="A1118" s="7"/>
      <c r="B1118" s="42" t="s">
        <v>2693</v>
      </c>
      <c r="C1118" s="42" t="s">
        <v>3968</v>
      </c>
      <c r="D1118" s="4"/>
      <c r="E1118" s="4"/>
      <c r="F1118" s="4"/>
      <c r="G1118" s="4"/>
      <c r="H1118" s="4"/>
      <c r="I1118" s="25"/>
    </row>
    <row r="1119" spans="1:9" x14ac:dyDescent="0.25">
      <c r="A1119" s="7"/>
      <c r="B1119" s="42" t="s">
        <v>2707</v>
      </c>
      <c r="C1119" s="42" t="s">
        <v>3970</v>
      </c>
      <c r="D1119" s="4"/>
      <c r="E1119" s="4"/>
      <c r="F1119" s="4"/>
      <c r="G1119" s="4"/>
      <c r="H1119" s="4"/>
      <c r="I1119" s="25"/>
    </row>
    <row r="1120" spans="1:9" x14ac:dyDescent="0.25">
      <c r="A1120" s="7"/>
      <c r="B1120" s="42" t="s">
        <v>3972</v>
      </c>
      <c r="C1120" s="42" t="s">
        <v>3972</v>
      </c>
      <c r="D1120" s="4"/>
      <c r="E1120" s="4"/>
      <c r="F1120" s="4"/>
      <c r="G1120" s="4"/>
      <c r="H1120" s="4"/>
      <c r="I1120" s="25"/>
    </row>
    <row r="1121" spans="1:9" x14ac:dyDescent="0.25">
      <c r="A1121" s="7"/>
      <c r="B1121" s="42" t="s">
        <v>3974</v>
      </c>
      <c r="C1121" s="42" t="s">
        <v>3974</v>
      </c>
      <c r="D1121" s="4"/>
      <c r="E1121" s="4"/>
      <c r="F1121" s="4"/>
      <c r="G1121" s="4"/>
      <c r="H1121" s="4"/>
      <c r="I1121" s="25"/>
    </row>
    <row r="1122" spans="1:9" x14ac:dyDescent="0.25">
      <c r="A1122" s="7"/>
      <c r="B1122" s="42" t="s">
        <v>3977</v>
      </c>
      <c r="C1122" s="42" t="s">
        <v>3977</v>
      </c>
      <c r="D1122" s="4"/>
      <c r="E1122" s="4"/>
      <c r="F1122" s="4"/>
      <c r="G1122" s="4"/>
      <c r="H1122" s="4"/>
      <c r="I1122" s="25"/>
    </row>
    <row r="1123" spans="1:9" x14ac:dyDescent="0.25">
      <c r="A1123" s="7"/>
      <c r="B1123" s="42" t="s">
        <v>3986</v>
      </c>
      <c r="C1123" s="42" t="s">
        <v>3986</v>
      </c>
      <c r="D1123" s="4"/>
      <c r="E1123" s="4"/>
      <c r="F1123" s="4"/>
      <c r="G1123" s="4"/>
      <c r="H1123" s="4"/>
      <c r="I1123" s="25"/>
    </row>
    <row r="1124" spans="1:9" x14ac:dyDescent="0.25">
      <c r="A1124" s="7"/>
      <c r="B1124" s="42" t="s">
        <v>2903</v>
      </c>
      <c r="C1124" s="42" t="s">
        <v>3989</v>
      </c>
      <c r="D1124" s="4"/>
      <c r="E1124" s="4"/>
      <c r="F1124" s="4"/>
      <c r="G1124" s="4"/>
      <c r="H1124" s="4"/>
      <c r="I1124" s="25"/>
    </row>
    <row r="1125" spans="1:9" x14ac:dyDescent="0.25">
      <c r="A1125" s="7"/>
      <c r="B1125" s="42" t="s">
        <v>2907</v>
      </c>
      <c r="C1125" s="42" t="s">
        <v>3991</v>
      </c>
      <c r="D1125" s="4"/>
      <c r="E1125" s="4"/>
      <c r="F1125" s="4"/>
      <c r="G1125" s="4"/>
      <c r="H1125" s="4"/>
      <c r="I1125" s="25"/>
    </row>
    <row r="1126" spans="1:9" x14ac:dyDescent="0.25">
      <c r="A1126" s="7"/>
      <c r="B1126" s="42" t="s">
        <v>3777</v>
      </c>
      <c r="C1126" s="42" t="s">
        <v>3993</v>
      </c>
      <c r="D1126" s="4"/>
      <c r="E1126" s="4"/>
      <c r="F1126" s="4"/>
      <c r="G1126" s="4"/>
      <c r="H1126" s="4"/>
      <c r="I1126" s="25"/>
    </row>
    <row r="1127" spans="1:9" x14ac:dyDescent="0.25">
      <c r="A1127" s="7"/>
      <c r="B1127" s="42" t="s">
        <v>2913</v>
      </c>
      <c r="C1127" s="42" t="s">
        <v>3995</v>
      </c>
      <c r="D1127" s="4"/>
      <c r="E1127" s="4"/>
      <c r="F1127" s="4"/>
      <c r="G1127" s="4"/>
      <c r="H1127" s="4"/>
      <c r="I1127" s="25"/>
    </row>
    <row r="1128" spans="1:9" x14ac:dyDescent="0.25">
      <c r="A1128" s="7"/>
      <c r="B1128" s="42" t="s">
        <v>2919</v>
      </c>
      <c r="C1128" s="42" t="s">
        <v>3998</v>
      </c>
      <c r="D1128" s="4"/>
      <c r="E1128" s="4"/>
      <c r="F1128" s="4"/>
      <c r="G1128" s="4"/>
      <c r="H1128" s="4"/>
      <c r="I1128" s="25"/>
    </row>
    <row r="1129" spans="1:9" x14ac:dyDescent="0.25">
      <c r="A1129" s="7"/>
      <c r="B1129" s="42" t="s">
        <v>2925</v>
      </c>
      <c r="C1129" s="42" t="s">
        <v>4001</v>
      </c>
      <c r="D1129" s="4"/>
      <c r="E1129" s="4"/>
      <c r="F1129" s="4"/>
      <c r="G1129" s="4"/>
      <c r="H1129" s="4"/>
      <c r="I1129" s="25"/>
    </row>
    <row r="1130" spans="1:9" x14ac:dyDescent="0.25">
      <c r="A1130" s="7"/>
      <c r="B1130" s="42" t="s">
        <v>2935</v>
      </c>
      <c r="C1130" s="42" t="s">
        <v>4006</v>
      </c>
      <c r="D1130" s="4"/>
      <c r="E1130" s="4"/>
      <c r="F1130" s="4"/>
      <c r="G1130" s="4"/>
      <c r="H1130" s="4"/>
      <c r="I1130" s="25"/>
    </row>
    <row r="1131" spans="1:9" x14ac:dyDescent="0.25">
      <c r="A1131" s="7"/>
      <c r="B1131" s="42" t="s">
        <v>2943</v>
      </c>
      <c r="C1131" s="42" t="s">
        <v>4010</v>
      </c>
      <c r="D1131" s="4"/>
      <c r="E1131" s="4"/>
      <c r="F1131" s="4"/>
      <c r="G1131" s="4"/>
      <c r="H1131" s="4"/>
      <c r="I1131" s="25"/>
    </row>
    <row r="1132" spans="1:9" x14ac:dyDescent="0.25">
      <c r="A1132" s="7"/>
      <c r="B1132" s="42" t="s">
        <v>2955</v>
      </c>
      <c r="C1132" s="42" t="s">
        <v>2956</v>
      </c>
      <c r="D1132" s="4"/>
      <c r="E1132" s="4"/>
      <c r="F1132" s="4"/>
      <c r="G1132" s="4"/>
      <c r="H1132" s="4"/>
      <c r="I1132" s="25"/>
    </row>
    <row r="1133" spans="1:9" x14ac:dyDescent="0.25">
      <c r="A1133" s="7"/>
      <c r="B1133" s="42" t="s">
        <v>2960</v>
      </c>
      <c r="C1133" s="42" t="s">
        <v>2961</v>
      </c>
      <c r="D1133" s="4"/>
      <c r="E1133" s="4"/>
      <c r="F1133" s="4"/>
      <c r="G1133" s="4"/>
      <c r="H1133" s="4"/>
      <c r="I1133" s="25"/>
    </row>
    <row r="1134" spans="1:9" x14ac:dyDescent="0.25">
      <c r="A1134" s="7"/>
      <c r="B1134" s="42" t="s">
        <v>2999</v>
      </c>
      <c r="C1134" s="42" t="s">
        <v>3000</v>
      </c>
      <c r="D1134" s="4"/>
      <c r="E1134" s="4"/>
      <c r="F1134" s="4"/>
      <c r="G1134" s="4"/>
      <c r="H1134" s="4"/>
      <c r="I1134" s="25"/>
    </row>
    <row r="1135" spans="1:9" x14ac:dyDescent="0.25">
      <c r="A1135" s="7"/>
      <c r="B1135" s="42" t="s">
        <v>4016</v>
      </c>
      <c r="C1135" s="42" t="s">
        <v>4016</v>
      </c>
      <c r="D1135" s="4"/>
      <c r="E1135" s="4"/>
      <c r="F1135" s="4"/>
      <c r="G1135" s="4"/>
      <c r="H1135" s="4"/>
      <c r="I1135" s="25"/>
    </row>
    <row r="1136" spans="1:9" x14ac:dyDescent="0.25">
      <c r="A1136" s="7"/>
      <c r="B1136" s="42" t="s">
        <v>4018</v>
      </c>
      <c r="C1136" s="42" t="s">
        <v>4018</v>
      </c>
      <c r="D1136" s="4"/>
      <c r="E1136" s="4"/>
      <c r="F1136" s="4"/>
      <c r="G1136" s="4"/>
      <c r="H1136" s="4"/>
      <c r="I1136" s="25"/>
    </row>
    <row r="1137" spans="1:9" x14ac:dyDescent="0.25">
      <c r="A1137" s="7"/>
      <c r="B1137" s="42" t="s">
        <v>4020</v>
      </c>
      <c r="C1137" s="42" t="s">
        <v>4020</v>
      </c>
      <c r="D1137" s="4"/>
      <c r="E1137" s="4"/>
      <c r="F1137" s="4"/>
      <c r="G1137" s="4"/>
      <c r="H1137" s="4"/>
      <c r="I1137" s="25"/>
    </row>
    <row r="1138" spans="1:9" x14ac:dyDescent="0.25">
      <c r="A1138" s="7"/>
      <c r="B1138" s="42" t="s">
        <v>4022</v>
      </c>
      <c r="C1138" s="42" t="s">
        <v>4022</v>
      </c>
      <c r="D1138" s="4"/>
      <c r="E1138" s="4"/>
      <c r="F1138" s="4"/>
      <c r="G1138" s="4"/>
      <c r="H1138" s="4"/>
      <c r="I1138" s="25"/>
    </row>
    <row r="1139" spans="1:9" x14ac:dyDescent="0.25">
      <c r="A1139" s="7"/>
      <c r="B1139" s="42" t="s">
        <v>4024</v>
      </c>
      <c r="C1139" s="42" t="s">
        <v>4024</v>
      </c>
      <c r="D1139" s="4"/>
      <c r="E1139" s="4"/>
      <c r="F1139" s="4"/>
      <c r="G1139" s="4"/>
      <c r="H1139" s="4"/>
      <c r="I1139" s="25"/>
    </row>
    <row r="1140" spans="1:9" x14ac:dyDescent="0.25">
      <c r="A1140" s="7"/>
      <c r="B1140" s="42" t="s">
        <v>4026</v>
      </c>
      <c r="C1140" s="42" t="s">
        <v>4026</v>
      </c>
      <c r="D1140" s="4"/>
      <c r="E1140" s="4"/>
      <c r="F1140" s="4"/>
      <c r="G1140" s="4"/>
      <c r="H1140" s="4"/>
      <c r="I1140" s="25"/>
    </row>
    <row r="1141" spans="1:9" x14ac:dyDescent="0.25">
      <c r="A1141" s="7"/>
      <c r="B1141" s="42" t="s">
        <v>4028</v>
      </c>
      <c r="C1141" s="42" t="s">
        <v>4028</v>
      </c>
      <c r="D1141" s="4"/>
      <c r="E1141" s="4"/>
      <c r="F1141" s="4"/>
      <c r="G1141" s="4"/>
      <c r="H1141" s="4"/>
      <c r="I1141" s="25"/>
    </row>
    <row r="1142" spans="1:9" x14ac:dyDescent="0.25">
      <c r="A1142" s="7"/>
      <c r="B1142" s="42" t="s">
        <v>3213</v>
      </c>
      <c r="C1142" s="42" t="s">
        <v>3214</v>
      </c>
      <c r="D1142" s="4"/>
      <c r="E1142" s="4"/>
      <c r="F1142" s="4"/>
      <c r="G1142" s="4"/>
      <c r="H1142" s="4"/>
      <c r="I1142" s="25"/>
    </row>
    <row r="1143" spans="1:9" x14ac:dyDescent="0.25">
      <c r="A1143" s="9"/>
      <c r="B1143" s="50" t="s">
        <v>3662</v>
      </c>
      <c r="C1143" s="50" t="s">
        <v>3662</v>
      </c>
      <c r="D1143" s="21"/>
      <c r="E1143" s="21"/>
      <c r="F1143" s="21"/>
      <c r="G1143" s="21"/>
      <c r="H1143" s="21"/>
      <c r="I1143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103"/>
  <sheetViews>
    <sheetView topLeftCell="A1010" zoomScaleNormal="100" workbookViewId="0">
      <selection activeCell="B1029" sqref="B1029:C1103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2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2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2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2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19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/>
      <c r="B1029" s="42" t="s">
        <v>3888</v>
      </c>
      <c r="C1029" s="42" t="s">
        <v>3888</v>
      </c>
      <c r="D1029" s="4"/>
      <c r="E1029" s="4"/>
      <c r="F1029" s="4"/>
      <c r="G1029" s="4"/>
      <c r="H1029" s="4"/>
      <c r="I1029" s="25"/>
    </row>
    <row r="1030" spans="1:9" x14ac:dyDescent="0.25">
      <c r="A1030" s="7"/>
      <c r="B1030" s="42" t="s">
        <v>3890</v>
      </c>
      <c r="C1030" s="42" t="s">
        <v>3890</v>
      </c>
      <c r="D1030" s="4"/>
      <c r="E1030" s="4"/>
      <c r="F1030" s="4"/>
      <c r="G1030" s="4"/>
      <c r="H1030" s="4"/>
      <c r="I1030" s="25"/>
    </row>
    <row r="1031" spans="1:9" x14ac:dyDescent="0.25">
      <c r="A1031" s="7"/>
      <c r="B1031" s="42" t="s">
        <v>3892</v>
      </c>
      <c r="C1031" s="42" t="s">
        <v>3892</v>
      </c>
      <c r="D1031" s="4"/>
      <c r="E1031" s="4"/>
      <c r="F1031" s="4"/>
      <c r="G1031" s="4"/>
      <c r="H1031" s="4"/>
      <c r="I1031" s="25"/>
    </row>
    <row r="1032" spans="1:9" x14ac:dyDescent="0.25">
      <c r="A1032" s="7"/>
      <c r="B1032" s="42" t="s">
        <v>4168</v>
      </c>
      <c r="C1032" s="42" t="s">
        <v>4168</v>
      </c>
      <c r="D1032" s="4"/>
      <c r="E1032" s="4"/>
      <c r="F1032" s="4"/>
      <c r="G1032" s="4"/>
      <c r="H1032" s="4"/>
      <c r="I1032" s="25"/>
    </row>
    <row r="1033" spans="1:9" x14ac:dyDescent="0.25">
      <c r="A1033" s="7"/>
      <c r="B1033" s="42" t="s">
        <v>4170</v>
      </c>
      <c r="C1033" s="42" t="s">
        <v>4170</v>
      </c>
      <c r="D1033" s="4"/>
      <c r="E1033" s="4"/>
      <c r="F1033" s="4"/>
      <c r="G1033" s="4"/>
      <c r="H1033" s="4"/>
      <c r="I1033" s="25"/>
    </row>
    <row r="1034" spans="1:9" x14ac:dyDescent="0.25">
      <c r="A1034" s="7"/>
      <c r="B1034" s="42" t="s">
        <v>4172</v>
      </c>
      <c r="C1034" s="42" t="s">
        <v>4172</v>
      </c>
      <c r="D1034" s="4"/>
      <c r="E1034" s="4"/>
      <c r="F1034" s="4"/>
      <c r="G1034" s="4"/>
      <c r="H1034" s="4"/>
      <c r="I1034" s="25"/>
    </row>
    <row r="1035" spans="1:9" x14ac:dyDescent="0.25">
      <c r="A1035" s="7"/>
      <c r="B1035" s="42" t="s">
        <v>4174</v>
      </c>
      <c r="C1035" s="42" t="s">
        <v>4174</v>
      </c>
      <c r="D1035" s="4"/>
      <c r="E1035" s="4"/>
      <c r="F1035" s="4"/>
      <c r="G1035" s="4"/>
      <c r="H1035" s="4"/>
      <c r="I1035" s="25"/>
    </row>
    <row r="1036" spans="1:9" x14ac:dyDescent="0.25">
      <c r="A1036" s="7"/>
      <c r="B1036" s="42" t="s">
        <v>4176</v>
      </c>
      <c r="C1036" s="42" t="s">
        <v>4176</v>
      </c>
      <c r="D1036" s="4"/>
      <c r="E1036" s="4"/>
      <c r="F1036" s="4"/>
      <c r="G1036" s="4"/>
      <c r="H1036" s="4"/>
      <c r="I1036" s="25"/>
    </row>
    <row r="1037" spans="1:9" x14ac:dyDescent="0.25">
      <c r="A1037" s="7"/>
      <c r="B1037" s="42" t="s">
        <v>4178</v>
      </c>
      <c r="C1037" s="42" t="s">
        <v>4178</v>
      </c>
      <c r="D1037" s="4"/>
      <c r="E1037" s="4"/>
      <c r="F1037" s="4"/>
      <c r="G1037" s="4"/>
      <c r="H1037" s="4"/>
      <c r="I1037" s="25"/>
    </row>
    <row r="1038" spans="1:9" x14ac:dyDescent="0.25">
      <c r="A1038" s="7"/>
      <c r="B1038" s="42" t="s">
        <v>4180</v>
      </c>
      <c r="C1038" s="42" t="s">
        <v>4180</v>
      </c>
      <c r="D1038" s="4"/>
      <c r="E1038" s="4"/>
      <c r="F1038" s="4"/>
      <c r="G1038" s="4"/>
      <c r="H1038" s="4"/>
      <c r="I1038" s="25"/>
    </row>
    <row r="1039" spans="1:9" x14ac:dyDescent="0.25">
      <c r="A1039" s="7"/>
      <c r="B1039" s="42" t="s">
        <v>4182</v>
      </c>
      <c r="C1039" s="42" t="s">
        <v>4182</v>
      </c>
      <c r="D1039" s="4"/>
      <c r="E1039" s="4"/>
      <c r="F1039" s="4"/>
      <c r="G1039" s="4"/>
      <c r="H1039" s="4"/>
      <c r="I1039" s="25"/>
    </row>
    <row r="1040" spans="1:9" x14ac:dyDescent="0.25">
      <c r="A1040" s="7"/>
      <c r="B1040" s="42" t="s">
        <v>4184</v>
      </c>
      <c r="C1040" s="42" t="s">
        <v>4184</v>
      </c>
      <c r="D1040" s="4"/>
      <c r="E1040" s="4"/>
      <c r="F1040" s="4"/>
      <c r="G1040" s="4"/>
      <c r="H1040" s="4"/>
      <c r="I1040" s="25"/>
    </row>
    <row r="1041" spans="1:9" x14ac:dyDescent="0.25">
      <c r="A1041" s="7"/>
      <c r="B1041" s="42" t="s">
        <v>4186</v>
      </c>
      <c r="C1041" s="42" t="s">
        <v>4186</v>
      </c>
      <c r="D1041" s="4"/>
      <c r="E1041" s="4"/>
      <c r="F1041" s="4"/>
      <c r="G1041" s="4"/>
      <c r="H1041" s="4"/>
      <c r="I1041" s="25"/>
    </row>
    <row r="1042" spans="1:9" x14ac:dyDescent="0.25">
      <c r="A1042" s="7"/>
      <c r="B1042" s="42" t="s">
        <v>4188</v>
      </c>
      <c r="C1042" s="42" t="s">
        <v>4188</v>
      </c>
      <c r="D1042" s="4"/>
      <c r="E1042" s="4"/>
      <c r="F1042" s="4"/>
      <c r="G1042" s="4"/>
      <c r="H1042" s="4"/>
      <c r="I1042" s="25"/>
    </row>
    <row r="1043" spans="1:9" x14ac:dyDescent="0.25">
      <c r="A1043" s="7"/>
      <c r="B1043" s="42" t="s">
        <v>4190</v>
      </c>
      <c r="C1043" s="42" t="s">
        <v>4190</v>
      </c>
      <c r="D1043" s="4"/>
      <c r="E1043" s="4"/>
      <c r="F1043" s="4"/>
      <c r="G1043" s="4"/>
      <c r="H1043" s="4"/>
      <c r="I1043" s="25"/>
    </row>
    <row r="1044" spans="1:9" x14ac:dyDescent="0.25">
      <c r="A1044" s="7"/>
      <c r="B1044" s="42" t="s">
        <v>4192</v>
      </c>
      <c r="C1044" s="42" t="s">
        <v>4192</v>
      </c>
      <c r="D1044" s="4"/>
      <c r="E1044" s="4"/>
      <c r="F1044" s="4"/>
      <c r="G1044" s="4"/>
      <c r="H1044" s="4"/>
      <c r="I1044" s="25"/>
    </row>
    <row r="1045" spans="1:9" x14ac:dyDescent="0.25">
      <c r="A1045" s="7"/>
      <c r="B1045" s="42" t="s">
        <v>4194</v>
      </c>
      <c r="C1045" s="42" t="s">
        <v>4194</v>
      </c>
      <c r="D1045" s="4"/>
      <c r="E1045" s="4"/>
      <c r="F1045" s="4"/>
      <c r="G1045" s="4"/>
      <c r="H1045" s="4"/>
      <c r="I1045" s="25"/>
    </row>
    <row r="1046" spans="1:9" x14ac:dyDescent="0.25">
      <c r="A1046" s="7"/>
      <c r="B1046" s="42" t="s">
        <v>4196</v>
      </c>
      <c r="C1046" s="42" t="s">
        <v>4196</v>
      </c>
      <c r="D1046" s="4"/>
      <c r="E1046" s="4"/>
      <c r="F1046" s="4"/>
      <c r="G1046" s="4"/>
      <c r="H1046" s="4"/>
      <c r="I1046" s="25"/>
    </row>
    <row r="1047" spans="1:9" x14ac:dyDescent="0.25">
      <c r="A1047" s="7"/>
      <c r="B1047" s="42" t="s">
        <v>3894</v>
      </c>
      <c r="C1047" s="42" t="s">
        <v>3894</v>
      </c>
      <c r="D1047" s="4"/>
      <c r="E1047" s="4"/>
      <c r="F1047" s="4"/>
      <c r="G1047" s="4"/>
      <c r="H1047" s="4"/>
      <c r="I1047" s="25"/>
    </row>
    <row r="1048" spans="1:9" x14ac:dyDescent="0.25">
      <c r="A1048" s="7"/>
      <c r="B1048" s="42" t="s">
        <v>3896</v>
      </c>
      <c r="C1048" s="42" t="s">
        <v>3896</v>
      </c>
      <c r="D1048" s="4"/>
      <c r="E1048" s="4"/>
      <c r="F1048" s="4"/>
      <c r="G1048" s="4"/>
      <c r="H1048" s="4"/>
      <c r="I1048" s="25"/>
    </row>
    <row r="1049" spans="1:9" x14ac:dyDescent="0.25">
      <c r="A1049" s="7"/>
      <c r="B1049" s="42" t="s">
        <v>3898</v>
      </c>
      <c r="C1049" s="42" t="s">
        <v>3898</v>
      </c>
      <c r="D1049" s="4"/>
      <c r="E1049" s="4"/>
      <c r="F1049" s="4"/>
      <c r="G1049" s="4"/>
      <c r="H1049" s="4"/>
      <c r="I1049" s="25"/>
    </row>
    <row r="1050" spans="1:9" x14ac:dyDescent="0.25">
      <c r="A1050" s="7"/>
      <c r="B1050" s="42" t="s">
        <v>3900</v>
      </c>
      <c r="C1050" s="42" t="s">
        <v>3900</v>
      </c>
      <c r="D1050" s="4"/>
      <c r="E1050" s="4"/>
      <c r="F1050" s="4"/>
      <c r="G1050" s="4"/>
      <c r="H1050" s="4"/>
      <c r="I1050" s="25"/>
    </row>
    <row r="1051" spans="1:9" x14ac:dyDescent="0.25">
      <c r="A1051" s="7"/>
      <c r="B1051" s="42" t="s">
        <v>3902</v>
      </c>
      <c r="C1051" s="42" t="s">
        <v>3902</v>
      </c>
      <c r="D1051" s="4"/>
      <c r="E1051" s="4"/>
      <c r="F1051" s="4"/>
      <c r="G1051" s="4"/>
      <c r="H1051" s="4"/>
      <c r="I1051" s="25"/>
    </row>
    <row r="1052" spans="1:9" x14ac:dyDescent="0.25">
      <c r="A1052" s="7"/>
      <c r="B1052" s="42" t="s">
        <v>3904</v>
      </c>
      <c r="C1052" s="42" t="s">
        <v>3904</v>
      </c>
      <c r="D1052" s="4"/>
      <c r="E1052" s="4"/>
      <c r="F1052" s="4"/>
      <c r="G1052" s="4"/>
      <c r="H1052" s="4"/>
      <c r="I1052" s="25"/>
    </row>
    <row r="1053" spans="1:9" x14ac:dyDescent="0.25">
      <c r="A1053" s="7"/>
      <c r="B1053" s="42" t="s">
        <v>3906</v>
      </c>
      <c r="C1053" s="42" t="s">
        <v>3906</v>
      </c>
      <c r="D1053" s="4"/>
      <c r="E1053" s="4"/>
      <c r="F1053" s="4"/>
      <c r="G1053" s="4"/>
      <c r="H1053" s="4"/>
      <c r="I1053" s="25"/>
    </row>
    <row r="1054" spans="1:9" x14ac:dyDescent="0.25">
      <c r="A1054" s="7"/>
      <c r="B1054" s="42" t="s">
        <v>3908</v>
      </c>
      <c r="C1054" s="42" t="s">
        <v>3908</v>
      </c>
      <c r="D1054" s="4"/>
      <c r="E1054" s="4"/>
      <c r="F1054" s="4"/>
      <c r="G1054" s="4"/>
      <c r="H1054" s="4"/>
      <c r="I1054" s="25"/>
    </row>
    <row r="1055" spans="1:9" x14ac:dyDescent="0.25">
      <c r="A1055" s="7"/>
      <c r="B1055" s="42" t="s">
        <v>3910</v>
      </c>
      <c r="C1055" s="42" t="s">
        <v>3910</v>
      </c>
      <c r="D1055" s="4"/>
      <c r="E1055" s="4"/>
      <c r="F1055" s="4"/>
      <c r="G1055" s="4"/>
      <c r="H1055" s="4"/>
      <c r="I1055" s="25"/>
    </row>
    <row r="1056" spans="1:9" x14ac:dyDescent="0.25">
      <c r="A1056" s="7"/>
      <c r="B1056" s="42" t="s">
        <v>3912</v>
      </c>
      <c r="C1056" s="42" t="s">
        <v>3912</v>
      </c>
      <c r="D1056" s="4"/>
      <c r="E1056" s="4"/>
      <c r="F1056" s="4"/>
      <c r="G1056" s="4"/>
      <c r="H1056" s="4"/>
      <c r="I1056" s="25"/>
    </row>
    <row r="1057" spans="1:9" x14ac:dyDescent="0.25">
      <c r="A1057" s="7"/>
      <c r="B1057" s="42" t="s">
        <v>3914</v>
      </c>
      <c r="C1057" s="42" t="s">
        <v>3914</v>
      </c>
      <c r="D1057" s="4"/>
      <c r="E1057" s="4"/>
      <c r="F1057" s="4"/>
      <c r="G1057" s="4"/>
      <c r="H1057" s="4"/>
      <c r="I1057" s="25"/>
    </row>
    <row r="1058" spans="1:9" x14ac:dyDescent="0.25">
      <c r="A1058" s="7"/>
      <c r="B1058" s="42" t="s">
        <v>2478</v>
      </c>
      <c r="C1058" s="42" t="s">
        <v>3916</v>
      </c>
      <c r="D1058" s="4"/>
      <c r="E1058" s="4"/>
      <c r="F1058" s="4"/>
      <c r="G1058" s="4"/>
      <c r="H1058" s="4"/>
      <c r="I1058" s="25"/>
    </row>
    <row r="1059" spans="1:9" x14ac:dyDescent="0.25">
      <c r="A1059" s="7"/>
      <c r="B1059" s="42" t="s">
        <v>2480</v>
      </c>
      <c r="C1059" s="42" t="s">
        <v>3917</v>
      </c>
      <c r="D1059" s="4"/>
      <c r="E1059" s="4"/>
      <c r="F1059" s="4"/>
      <c r="G1059" s="4"/>
      <c r="H1059" s="4"/>
      <c r="I1059" s="25"/>
    </row>
    <row r="1060" spans="1:9" x14ac:dyDescent="0.25">
      <c r="A1060" s="7"/>
      <c r="B1060" s="42" t="s">
        <v>2532</v>
      </c>
      <c r="C1060" s="42" t="s">
        <v>3920</v>
      </c>
      <c r="D1060" s="4"/>
      <c r="E1060" s="4"/>
      <c r="F1060" s="4"/>
      <c r="G1060" s="4"/>
      <c r="H1060" s="4"/>
      <c r="I1060" s="25"/>
    </row>
    <row r="1061" spans="1:9" x14ac:dyDescent="0.25">
      <c r="A1061" s="7"/>
      <c r="B1061" s="42" t="s">
        <v>3922</v>
      </c>
      <c r="C1061" s="42" t="s">
        <v>3922</v>
      </c>
      <c r="D1061" s="4"/>
      <c r="E1061" s="4"/>
      <c r="F1061" s="4"/>
      <c r="G1061" s="4"/>
      <c r="H1061" s="4"/>
      <c r="I1061" s="25"/>
    </row>
    <row r="1062" spans="1:9" x14ac:dyDescent="0.25">
      <c r="A1062" s="7"/>
      <c r="B1062" s="42" t="s">
        <v>2540</v>
      </c>
      <c r="C1062" s="42" t="s">
        <v>3925</v>
      </c>
      <c r="D1062" s="4"/>
      <c r="E1062" s="4"/>
      <c r="F1062" s="4"/>
      <c r="G1062" s="4"/>
      <c r="H1062" s="4"/>
      <c r="I1062" s="25"/>
    </row>
    <row r="1063" spans="1:9" x14ac:dyDescent="0.25">
      <c r="A1063" s="7"/>
      <c r="B1063" s="42" t="s">
        <v>3931</v>
      </c>
      <c r="C1063" s="42" t="s">
        <v>3931</v>
      </c>
      <c r="D1063" s="4"/>
      <c r="E1063" s="4"/>
      <c r="F1063" s="4"/>
      <c r="G1063" s="4"/>
      <c r="H1063" s="4"/>
      <c r="I1063" s="25"/>
    </row>
    <row r="1064" spans="1:9" x14ac:dyDescent="0.25">
      <c r="A1064" s="7"/>
      <c r="B1064" s="42" t="s">
        <v>3933</v>
      </c>
      <c r="C1064" s="42" t="s">
        <v>3933</v>
      </c>
      <c r="D1064" s="4"/>
      <c r="E1064" s="4"/>
      <c r="F1064" s="4"/>
      <c r="G1064" s="4"/>
      <c r="H1064" s="4"/>
      <c r="I1064" s="25"/>
    </row>
    <row r="1065" spans="1:9" x14ac:dyDescent="0.25">
      <c r="A1065" s="7"/>
      <c r="B1065" s="42" t="s">
        <v>3935</v>
      </c>
      <c r="C1065" s="42" t="s">
        <v>3935</v>
      </c>
      <c r="D1065" s="4"/>
      <c r="E1065" s="4"/>
      <c r="F1065" s="4"/>
      <c r="G1065" s="4"/>
      <c r="H1065" s="4"/>
      <c r="I1065" s="25"/>
    </row>
    <row r="1066" spans="1:9" x14ac:dyDescent="0.25">
      <c r="A1066" s="7"/>
      <c r="B1066" s="42" t="s">
        <v>3937</v>
      </c>
      <c r="C1066" s="42" t="s">
        <v>3937</v>
      </c>
      <c r="D1066" s="4"/>
      <c r="E1066" s="4"/>
      <c r="F1066" s="4"/>
      <c r="G1066" s="4"/>
      <c r="H1066" s="4"/>
      <c r="I1066" s="25"/>
    </row>
    <row r="1067" spans="1:9" x14ac:dyDescent="0.25">
      <c r="A1067" s="7"/>
      <c r="B1067" s="42" t="s">
        <v>3939</v>
      </c>
      <c r="C1067" s="42" t="s">
        <v>3939</v>
      </c>
      <c r="D1067" s="4"/>
      <c r="E1067" s="4"/>
      <c r="F1067" s="4"/>
      <c r="G1067" s="4"/>
      <c r="H1067" s="4"/>
      <c r="I1067" s="25"/>
    </row>
    <row r="1068" spans="1:9" x14ac:dyDescent="0.25">
      <c r="A1068" s="7"/>
      <c r="B1068" s="42" t="s">
        <v>3941</v>
      </c>
      <c r="C1068" s="42" t="s">
        <v>3941</v>
      </c>
      <c r="D1068" s="4"/>
      <c r="E1068" s="4"/>
      <c r="F1068" s="4"/>
      <c r="G1068" s="4"/>
      <c r="H1068" s="4"/>
      <c r="I1068" s="25"/>
    </row>
    <row r="1069" spans="1:9" x14ac:dyDescent="0.25">
      <c r="A1069" s="7"/>
      <c r="B1069" s="42" t="s">
        <v>3943</v>
      </c>
      <c r="C1069" s="42" t="s">
        <v>3943</v>
      </c>
      <c r="D1069" s="4"/>
      <c r="E1069" s="4"/>
      <c r="F1069" s="4"/>
      <c r="G1069" s="4"/>
      <c r="H1069" s="4"/>
      <c r="I1069" s="25"/>
    </row>
    <row r="1070" spans="1:9" x14ac:dyDescent="0.25">
      <c r="A1070" s="7"/>
      <c r="B1070" s="42" t="s">
        <v>3945</v>
      </c>
      <c r="C1070" s="42" t="s">
        <v>3945</v>
      </c>
      <c r="D1070" s="4"/>
      <c r="E1070" s="4"/>
      <c r="F1070" s="4"/>
      <c r="G1070" s="4"/>
      <c r="H1070" s="4"/>
      <c r="I1070" s="25"/>
    </row>
    <row r="1071" spans="1:9" x14ac:dyDescent="0.25">
      <c r="A1071" s="7"/>
      <c r="B1071" s="42" t="s">
        <v>3947</v>
      </c>
      <c r="C1071" s="42" t="s">
        <v>3947</v>
      </c>
      <c r="D1071" s="4"/>
      <c r="E1071" s="4"/>
      <c r="F1071" s="4"/>
      <c r="G1071" s="4"/>
      <c r="H1071" s="4"/>
      <c r="I1071" s="25"/>
    </row>
    <row r="1072" spans="1:9" x14ac:dyDescent="0.25">
      <c r="A1072" s="7"/>
      <c r="B1072" s="42" t="s">
        <v>3949</v>
      </c>
      <c r="C1072" s="42" t="s">
        <v>3949</v>
      </c>
      <c r="D1072" s="4"/>
      <c r="E1072" s="4"/>
      <c r="F1072" s="4"/>
      <c r="G1072" s="4"/>
      <c r="H1072" s="4"/>
      <c r="I1072" s="25"/>
    </row>
    <row r="1073" spans="1:9" x14ac:dyDescent="0.25">
      <c r="A1073" s="7"/>
      <c r="B1073" s="42" t="s">
        <v>3951</v>
      </c>
      <c r="C1073" s="42" t="s">
        <v>3951</v>
      </c>
      <c r="D1073" s="4"/>
      <c r="E1073" s="4"/>
      <c r="F1073" s="4"/>
      <c r="G1073" s="4"/>
      <c r="H1073" s="4"/>
      <c r="I1073" s="25"/>
    </row>
    <row r="1074" spans="1:9" x14ac:dyDescent="0.25">
      <c r="A1074" s="7"/>
      <c r="B1074" s="42" t="s">
        <v>3953</v>
      </c>
      <c r="C1074" s="42" t="s">
        <v>3953</v>
      </c>
      <c r="D1074" s="4"/>
      <c r="E1074" s="4"/>
      <c r="F1074" s="4"/>
      <c r="G1074" s="4"/>
      <c r="H1074" s="4"/>
      <c r="I1074" s="25"/>
    </row>
    <row r="1075" spans="1:9" x14ac:dyDescent="0.25">
      <c r="A1075" s="7"/>
      <c r="B1075" s="42" t="s">
        <v>3962</v>
      </c>
      <c r="C1075" s="42" t="s">
        <v>3962</v>
      </c>
      <c r="D1075" s="4"/>
      <c r="E1075" s="4"/>
      <c r="F1075" s="4"/>
      <c r="G1075" s="4"/>
      <c r="H1075" s="4"/>
      <c r="I1075" s="25"/>
    </row>
    <row r="1076" spans="1:9" x14ac:dyDescent="0.25">
      <c r="A1076" s="7"/>
      <c r="B1076" s="42" t="s">
        <v>3964</v>
      </c>
      <c r="C1076" s="42" t="s">
        <v>3964</v>
      </c>
      <c r="D1076" s="4"/>
      <c r="E1076" s="4"/>
      <c r="F1076" s="4"/>
      <c r="G1076" s="4"/>
      <c r="H1076" s="4"/>
      <c r="I1076" s="25"/>
    </row>
    <row r="1077" spans="1:9" x14ac:dyDescent="0.25">
      <c r="A1077" s="7"/>
      <c r="B1077" s="42" t="s">
        <v>3966</v>
      </c>
      <c r="C1077" s="42" t="s">
        <v>3966</v>
      </c>
      <c r="D1077" s="4"/>
      <c r="E1077" s="4"/>
      <c r="F1077" s="4"/>
      <c r="G1077" s="4"/>
      <c r="H1077" s="4"/>
      <c r="I1077" s="25"/>
    </row>
    <row r="1078" spans="1:9" x14ac:dyDescent="0.25">
      <c r="A1078" s="7"/>
      <c r="B1078" s="42" t="s">
        <v>2693</v>
      </c>
      <c r="C1078" s="42" t="s">
        <v>3968</v>
      </c>
      <c r="D1078" s="4"/>
      <c r="E1078" s="4"/>
      <c r="F1078" s="4"/>
      <c r="G1078" s="4"/>
      <c r="H1078" s="4"/>
      <c r="I1078" s="25"/>
    </row>
    <row r="1079" spans="1:9" x14ac:dyDescent="0.25">
      <c r="A1079" s="7"/>
      <c r="B1079" s="42" t="s">
        <v>2707</v>
      </c>
      <c r="C1079" s="42" t="s">
        <v>3970</v>
      </c>
      <c r="D1079" s="4"/>
      <c r="E1079" s="4"/>
      <c r="F1079" s="4"/>
      <c r="G1079" s="4"/>
      <c r="H1079" s="4"/>
      <c r="I1079" s="25"/>
    </row>
    <row r="1080" spans="1:9" x14ac:dyDescent="0.25">
      <c r="A1080" s="7"/>
      <c r="B1080" s="42" t="s">
        <v>3972</v>
      </c>
      <c r="C1080" s="42" t="s">
        <v>3972</v>
      </c>
      <c r="D1080" s="4"/>
      <c r="E1080" s="4"/>
      <c r="F1080" s="4"/>
      <c r="G1080" s="4"/>
      <c r="H1080" s="4"/>
      <c r="I1080" s="25"/>
    </row>
    <row r="1081" spans="1:9" x14ac:dyDescent="0.25">
      <c r="A1081" s="7"/>
      <c r="B1081" s="42" t="s">
        <v>3974</v>
      </c>
      <c r="C1081" s="42" t="s">
        <v>3974</v>
      </c>
      <c r="D1081" s="4"/>
      <c r="E1081" s="4"/>
      <c r="F1081" s="4"/>
      <c r="G1081" s="4"/>
      <c r="H1081" s="4"/>
      <c r="I1081" s="25"/>
    </row>
    <row r="1082" spans="1:9" x14ac:dyDescent="0.25">
      <c r="A1082" s="7"/>
      <c r="B1082" s="42" t="s">
        <v>3977</v>
      </c>
      <c r="C1082" s="42" t="s">
        <v>3977</v>
      </c>
      <c r="D1082" s="4"/>
      <c r="E1082" s="4"/>
      <c r="F1082" s="4"/>
      <c r="G1082" s="4"/>
      <c r="H1082" s="4"/>
      <c r="I1082" s="25"/>
    </row>
    <row r="1083" spans="1:9" x14ac:dyDescent="0.25">
      <c r="A1083" s="7"/>
      <c r="B1083" s="42" t="s">
        <v>3986</v>
      </c>
      <c r="C1083" s="42" t="s">
        <v>3986</v>
      </c>
      <c r="D1083" s="4"/>
      <c r="E1083" s="4"/>
      <c r="F1083" s="4"/>
      <c r="G1083" s="4"/>
      <c r="H1083" s="4"/>
      <c r="I1083" s="25"/>
    </row>
    <row r="1084" spans="1:9" x14ac:dyDescent="0.25">
      <c r="A1084" s="7"/>
      <c r="B1084" s="42" t="s">
        <v>2903</v>
      </c>
      <c r="C1084" s="42" t="s">
        <v>3989</v>
      </c>
      <c r="D1084" s="4"/>
      <c r="E1084" s="4"/>
      <c r="F1084" s="4"/>
      <c r="G1084" s="4"/>
      <c r="H1084" s="4"/>
      <c r="I1084" s="25"/>
    </row>
    <row r="1085" spans="1:9" x14ac:dyDescent="0.25">
      <c r="A1085" s="7"/>
      <c r="B1085" s="42" t="s">
        <v>2907</v>
      </c>
      <c r="C1085" s="42" t="s">
        <v>3991</v>
      </c>
      <c r="D1085" s="4"/>
      <c r="E1085" s="4"/>
      <c r="F1085" s="4"/>
      <c r="G1085" s="4"/>
      <c r="H1085" s="4"/>
      <c r="I1085" s="25"/>
    </row>
    <row r="1086" spans="1:9" x14ac:dyDescent="0.25">
      <c r="A1086" s="7"/>
      <c r="B1086" s="42" t="s">
        <v>3777</v>
      </c>
      <c r="C1086" s="42" t="s">
        <v>3993</v>
      </c>
      <c r="D1086" s="4"/>
      <c r="E1086" s="4"/>
      <c r="F1086" s="4"/>
      <c r="G1086" s="4"/>
      <c r="H1086" s="4"/>
      <c r="I1086" s="25"/>
    </row>
    <row r="1087" spans="1:9" x14ac:dyDescent="0.25">
      <c r="A1087" s="7"/>
      <c r="B1087" s="42" t="s">
        <v>2913</v>
      </c>
      <c r="C1087" s="42" t="s">
        <v>3995</v>
      </c>
      <c r="D1087" s="4"/>
      <c r="E1087" s="4"/>
      <c r="F1087" s="4"/>
      <c r="G1087" s="4"/>
      <c r="H1087" s="4"/>
      <c r="I1087" s="25"/>
    </row>
    <row r="1088" spans="1:9" x14ac:dyDescent="0.25">
      <c r="A1088" s="7"/>
      <c r="B1088" s="42" t="s">
        <v>2919</v>
      </c>
      <c r="C1088" s="42" t="s">
        <v>3998</v>
      </c>
      <c r="D1088" s="4"/>
      <c r="E1088" s="4"/>
      <c r="F1088" s="4"/>
      <c r="G1088" s="4"/>
      <c r="H1088" s="4"/>
      <c r="I1088" s="25"/>
    </row>
    <row r="1089" spans="1:9" x14ac:dyDescent="0.25">
      <c r="A1089" s="7"/>
      <c r="B1089" s="42" t="s">
        <v>2925</v>
      </c>
      <c r="C1089" s="42" t="s">
        <v>4001</v>
      </c>
      <c r="D1089" s="4"/>
      <c r="E1089" s="4"/>
      <c r="F1089" s="4"/>
      <c r="G1089" s="4"/>
      <c r="H1089" s="4"/>
      <c r="I1089" s="25"/>
    </row>
    <row r="1090" spans="1:9" x14ac:dyDescent="0.25">
      <c r="A1090" s="7"/>
      <c r="B1090" s="42" t="s">
        <v>2935</v>
      </c>
      <c r="C1090" s="42" t="s">
        <v>4006</v>
      </c>
      <c r="D1090" s="4"/>
      <c r="E1090" s="4"/>
      <c r="F1090" s="4"/>
      <c r="G1090" s="4"/>
      <c r="H1090" s="4"/>
      <c r="I1090" s="25"/>
    </row>
    <row r="1091" spans="1:9" x14ac:dyDescent="0.25">
      <c r="A1091" s="7"/>
      <c r="B1091" s="42" t="s">
        <v>2943</v>
      </c>
      <c r="C1091" s="42" t="s">
        <v>4010</v>
      </c>
      <c r="D1091" s="4"/>
      <c r="E1091" s="4"/>
      <c r="F1091" s="4"/>
      <c r="G1091" s="4"/>
      <c r="H1091" s="4"/>
      <c r="I1091" s="25"/>
    </row>
    <row r="1092" spans="1:9" x14ac:dyDescent="0.25">
      <c r="A1092" s="7"/>
      <c r="B1092" s="42" t="s">
        <v>2955</v>
      </c>
      <c r="C1092" s="42" t="s">
        <v>2956</v>
      </c>
      <c r="D1092" s="4"/>
      <c r="E1092" s="4"/>
      <c r="F1092" s="4"/>
      <c r="G1092" s="4"/>
      <c r="H1092" s="4"/>
      <c r="I1092" s="25"/>
    </row>
    <row r="1093" spans="1:9" x14ac:dyDescent="0.25">
      <c r="A1093" s="7"/>
      <c r="B1093" s="42" t="s">
        <v>2960</v>
      </c>
      <c r="C1093" s="42" t="s">
        <v>2961</v>
      </c>
      <c r="D1093" s="4"/>
      <c r="E1093" s="4"/>
      <c r="F1093" s="4"/>
      <c r="G1093" s="4"/>
      <c r="H1093" s="4"/>
      <c r="I1093" s="25"/>
    </row>
    <row r="1094" spans="1:9" x14ac:dyDescent="0.25">
      <c r="A1094" s="7"/>
      <c r="B1094" s="42" t="s">
        <v>2999</v>
      </c>
      <c r="C1094" s="42" t="s">
        <v>3000</v>
      </c>
      <c r="D1094" s="4"/>
      <c r="E1094" s="4"/>
      <c r="F1094" s="4"/>
      <c r="G1094" s="4"/>
      <c r="H1094" s="4"/>
      <c r="I1094" s="25"/>
    </row>
    <row r="1095" spans="1:9" x14ac:dyDescent="0.25">
      <c r="A1095" s="7"/>
      <c r="B1095" s="42" t="s">
        <v>4016</v>
      </c>
      <c r="C1095" s="42" t="s">
        <v>4016</v>
      </c>
      <c r="D1095" s="4"/>
      <c r="E1095" s="4"/>
      <c r="F1095" s="4"/>
      <c r="G1095" s="4"/>
      <c r="H1095" s="4"/>
      <c r="I1095" s="25"/>
    </row>
    <row r="1096" spans="1:9" x14ac:dyDescent="0.25">
      <c r="A1096" s="7"/>
      <c r="B1096" s="42" t="s">
        <v>4018</v>
      </c>
      <c r="C1096" s="42" t="s">
        <v>4018</v>
      </c>
      <c r="D1096" s="4"/>
      <c r="E1096" s="4"/>
      <c r="F1096" s="4"/>
      <c r="G1096" s="4"/>
      <c r="H1096" s="4"/>
      <c r="I1096" s="25"/>
    </row>
    <row r="1097" spans="1:9" x14ac:dyDescent="0.25">
      <c r="A1097" s="7"/>
      <c r="B1097" s="42" t="s">
        <v>4020</v>
      </c>
      <c r="C1097" s="42" t="s">
        <v>4020</v>
      </c>
      <c r="D1097" s="4"/>
      <c r="E1097" s="4"/>
      <c r="F1097" s="4"/>
      <c r="G1097" s="4"/>
      <c r="H1097" s="4"/>
      <c r="I1097" s="25"/>
    </row>
    <row r="1098" spans="1:9" x14ac:dyDescent="0.25">
      <c r="A1098" s="7"/>
      <c r="B1098" s="42" t="s">
        <v>4022</v>
      </c>
      <c r="C1098" s="42" t="s">
        <v>4022</v>
      </c>
      <c r="D1098" s="4"/>
      <c r="E1098" s="4"/>
      <c r="F1098" s="4"/>
      <c r="G1098" s="4"/>
      <c r="H1098" s="4"/>
      <c r="I1098" s="25"/>
    </row>
    <row r="1099" spans="1:9" x14ac:dyDescent="0.25">
      <c r="A1099" s="7"/>
      <c r="B1099" s="42" t="s">
        <v>4024</v>
      </c>
      <c r="C1099" s="42" t="s">
        <v>4024</v>
      </c>
      <c r="D1099" s="4"/>
      <c r="E1099" s="4"/>
      <c r="F1099" s="4"/>
      <c r="G1099" s="4"/>
      <c r="H1099" s="4"/>
      <c r="I1099" s="25"/>
    </row>
    <row r="1100" spans="1:9" x14ac:dyDescent="0.25">
      <c r="A1100" s="7"/>
      <c r="B1100" s="42" t="s">
        <v>4026</v>
      </c>
      <c r="C1100" s="42" t="s">
        <v>4026</v>
      </c>
      <c r="D1100" s="4"/>
      <c r="E1100" s="4"/>
      <c r="F1100" s="4"/>
      <c r="G1100" s="4"/>
      <c r="H1100" s="4"/>
      <c r="I1100" s="25"/>
    </row>
    <row r="1101" spans="1:9" x14ac:dyDescent="0.25">
      <c r="A1101" s="7"/>
      <c r="B1101" s="42" t="s">
        <v>4028</v>
      </c>
      <c r="C1101" s="42" t="s">
        <v>4028</v>
      </c>
      <c r="D1101" s="4"/>
      <c r="E1101" s="4"/>
      <c r="F1101" s="4"/>
      <c r="G1101" s="4"/>
      <c r="H1101" s="4"/>
      <c r="I1101" s="25"/>
    </row>
    <row r="1102" spans="1:9" x14ac:dyDescent="0.25">
      <c r="A1102" s="7"/>
      <c r="B1102" s="42" t="s">
        <v>3213</v>
      </c>
      <c r="C1102" s="42" t="s">
        <v>3214</v>
      </c>
      <c r="D1102" s="4"/>
      <c r="E1102" s="4"/>
      <c r="F1102" s="4"/>
      <c r="G1102" s="4"/>
      <c r="H1102" s="4"/>
      <c r="I1102" s="25"/>
    </row>
    <row r="1103" spans="1:9" x14ac:dyDescent="0.25">
      <c r="A1103" s="9"/>
      <c r="B1103" s="50" t="s">
        <v>3662</v>
      </c>
      <c r="C1103" s="50" t="s">
        <v>3662</v>
      </c>
      <c r="D1103" s="21"/>
      <c r="E1103" s="21"/>
      <c r="F1103" s="21"/>
      <c r="G1103" s="21"/>
      <c r="H1103" s="21"/>
      <c r="I1103" s="38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39"/>
  <sheetViews>
    <sheetView tabSelected="1" topLeftCell="A1120" zoomScaleNormal="100" workbookViewId="0">
      <selection activeCell="E1071" sqref="E107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/>
      <c r="B57" s="39" t="s">
        <v>3888</v>
      </c>
      <c r="C57" s="39" t="s">
        <v>3888</v>
      </c>
      <c r="D57" s="2" t="s">
        <v>3697</v>
      </c>
      <c r="E57" s="4"/>
      <c r="F57" s="4"/>
      <c r="G57" s="2"/>
      <c r="H57" s="4"/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1646</v>
      </c>
      <c r="C58" s="11" t="s">
        <v>1646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1648</v>
      </c>
      <c r="C59" s="11" t="s">
        <v>1648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1650</v>
      </c>
      <c r="C60" s="11" t="s">
        <v>1650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1652</v>
      </c>
      <c r="C61" s="11" t="s">
        <v>1652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1654</v>
      </c>
      <c r="C62" s="11" t="s">
        <v>1654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1656</v>
      </c>
      <c r="C63" s="11" t="s">
        <v>1656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1658</v>
      </c>
      <c r="C64" s="11" t="s">
        <v>1658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1660</v>
      </c>
      <c r="C65" s="11" t="s">
        <v>1660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1662</v>
      </c>
      <c r="C66" s="11" t="s">
        <v>1662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/>
      <c r="B67" s="39" t="s">
        <v>3890</v>
      </c>
      <c r="C67" s="39" t="s">
        <v>3890</v>
      </c>
      <c r="D67" s="2" t="s">
        <v>3697</v>
      </c>
      <c r="E67" s="4"/>
      <c r="F67" s="4"/>
      <c r="G67" s="2"/>
      <c r="H67" s="4"/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1664</v>
      </c>
      <c r="C68" s="11" t="s">
        <v>1664</v>
      </c>
      <c r="D68" s="2" t="s">
        <v>3697</v>
      </c>
      <c r="E68" s="2" t="s">
        <v>566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1666</v>
      </c>
      <c r="C69" s="11" t="s">
        <v>1666</v>
      </c>
      <c r="D69" s="2" t="s">
        <v>3697</v>
      </c>
      <c r="E69" s="2" t="s">
        <v>566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1668</v>
      </c>
      <c r="C70" s="11" t="s">
        <v>1668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1670</v>
      </c>
      <c r="C71" s="11" t="s">
        <v>1670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1672</v>
      </c>
      <c r="C72" s="11" t="s">
        <v>1672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1674</v>
      </c>
      <c r="C73" s="11" t="s">
        <v>1674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1676</v>
      </c>
      <c r="C74" s="11" t="s">
        <v>1676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1678</v>
      </c>
      <c r="C75" s="11" t="s">
        <v>1678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1680</v>
      </c>
      <c r="C76" s="11" t="s">
        <v>1680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1682</v>
      </c>
      <c r="C77" s="11" t="s">
        <v>1682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1684</v>
      </c>
      <c r="C78" s="11" t="s">
        <v>1684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1686</v>
      </c>
      <c r="C79" s="11" t="s">
        <v>1686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1688</v>
      </c>
      <c r="C80" s="11" t="s">
        <v>1688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1690</v>
      </c>
      <c r="C81" s="11" t="s">
        <v>1690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1692</v>
      </c>
      <c r="C82" s="11" t="s">
        <v>1692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1694</v>
      </c>
      <c r="C83" s="11" t="s">
        <v>1694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1696</v>
      </c>
      <c r="C84" s="11" t="s">
        <v>1696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1698</v>
      </c>
      <c r="C85" s="11" t="s">
        <v>1698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1700</v>
      </c>
      <c r="C86" s="11" t="s">
        <v>1700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1702</v>
      </c>
      <c r="C87" s="11" t="s">
        <v>1702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1704</v>
      </c>
      <c r="C88" s="11" t="s">
        <v>1704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1706</v>
      </c>
      <c r="C89" s="11" t="s">
        <v>1706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1708</v>
      </c>
      <c r="C90" s="11" t="s">
        <v>1708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/>
      <c r="B91" s="39" t="s">
        <v>3892</v>
      </c>
      <c r="C91" s="39" t="s">
        <v>3892</v>
      </c>
      <c r="D91" s="2" t="s">
        <v>3697</v>
      </c>
      <c r="E91" s="4"/>
      <c r="F91" s="4"/>
      <c r="G91" s="2"/>
      <c r="H91" s="4"/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1710</v>
      </c>
      <c r="C92" s="11" t="s">
        <v>1710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1712</v>
      </c>
      <c r="C93" s="11" t="s">
        <v>1712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1714</v>
      </c>
      <c r="C94" s="11" t="s">
        <v>1714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1716</v>
      </c>
      <c r="C95" s="11" t="s">
        <v>1716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1718</v>
      </c>
      <c r="C96" s="11" t="s">
        <v>1718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1720</v>
      </c>
      <c r="C97" s="11" t="s">
        <v>1720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1722</v>
      </c>
      <c r="C98" s="11" t="s">
        <v>1722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1724</v>
      </c>
      <c r="C99" s="11" t="s">
        <v>1724</v>
      </c>
      <c r="D99" s="2" t="s">
        <v>3697</v>
      </c>
      <c r="E99" s="2" t="s">
        <v>554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998</v>
      </c>
      <c r="H99" s="4" t="str">
        <f>VLOOKUP(Table1113[[#This Row],[نام شخص کارشناس نظارت]],Table1[],3,0)</f>
        <v>کارشناس برق و ابزار دقیق نظارت (2)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1726</v>
      </c>
      <c r="C100" s="11" t="s">
        <v>1726</v>
      </c>
      <c r="D100" s="2" t="s">
        <v>3697</v>
      </c>
      <c r="E100" s="2" t="s">
        <v>554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998</v>
      </c>
      <c r="H100" s="4" t="str">
        <f>VLOOKUP(Table1113[[#This Row],[نام شخص کارشناس نظارت]],Table1[],3,0)</f>
        <v>کارشناس برق و ابزار دقیق نظارت (2)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1728</v>
      </c>
      <c r="C101" s="11" t="s">
        <v>1728</v>
      </c>
      <c r="D101" s="2" t="s">
        <v>3697</v>
      </c>
      <c r="E101" s="2" t="s">
        <v>554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998</v>
      </c>
      <c r="H101" s="4" t="str">
        <f>VLOOKUP(Table1113[[#This Row],[نام شخص کارشناس نظارت]],Table1[],3,0)</f>
        <v>کارشناس برق و ابزار دقیق نظارت (2)</v>
      </c>
      <c r="I101" s="8">
        <f>COUNTIF(Table2[کد سیستم],Table1113[[#This Row],[کد سیستم]])</f>
        <v>1</v>
      </c>
    </row>
    <row r="102" spans="1:9" x14ac:dyDescent="0.25">
      <c r="A102" s="7"/>
      <c r="B102" s="39" t="s">
        <v>4168</v>
      </c>
      <c r="C102" s="39" t="s">
        <v>4168</v>
      </c>
      <c r="D102" s="2" t="s">
        <v>3697</v>
      </c>
      <c r="E102" s="4"/>
      <c r="F102" s="4"/>
      <c r="G102" s="2"/>
      <c r="H102" s="4"/>
      <c r="I102" s="8">
        <f>COUNTIF(Table2[کد سیستم],Table1113[[#This Row],[کد سیستم]])</f>
        <v>1</v>
      </c>
    </row>
    <row r="103" spans="1:9" x14ac:dyDescent="0.25">
      <c r="A103" s="7"/>
      <c r="B103" s="39" t="s">
        <v>4170</v>
      </c>
      <c r="C103" s="39" t="s">
        <v>4170</v>
      </c>
      <c r="D103" s="2" t="s">
        <v>3697</v>
      </c>
      <c r="E103" s="4"/>
      <c r="F103" s="4"/>
      <c r="G103" s="2"/>
      <c r="H103" s="4"/>
      <c r="I103" s="8">
        <f>COUNTIF(Table2[کد سیستم],Table1113[[#This Row],[کد سیستم]])</f>
        <v>1</v>
      </c>
    </row>
    <row r="104" spans="1:9" x14ac:dyDescent="0.25">
      <c r="A104" s="7"/>
      <c r="B104" s="39" t="s">
        <v>4172</v>
      </c>
      <c r="C104" s="39" t="s">
        <v>4172</v>
      </c>
      <c r="D104" s="2" t="s">
        <v>3697</v>
      </c>
      <c r="E104" s="4"/>
      <c r="F104" s="4"/>
      <c r="G104" s="2"/>
      <c r="H104" s="4"/>
      <c r="I104" s="8">
        <f>COUNTIF(Table2[کد سیستم],Table1113[[#This Row],[کد سیستم]])</f>
        <v>1</v>
      </c>
    </row>
    <row r="105" spans="1:9" x14ac:dyDescent="0.25">
      <c r="A105" s="7"/>
      <c r="B105" s="39" t="s">
        <v>4174</v>
      </c>
      <c r="C105" s="39" t="s">
        <v>4174</v>
      </c>
      <c r="D105" s="2" t="s">
        <v>3697</v>
      </c>
      <c r="E105" s="4"/>
      <c r="F105" s="4"/>
      <c r="G105" s="2"/>
      <c r="H105" s="4"/>
      <c r="I105" s="8">
        <f>COUNTIF(Table2[کد سیستم],Table1113[[#This Row],[کد سیستم]])</f>
        <v>1</v>
      </c>
    </row>
    <row r="106" spans="1:9" x14ac:dyDescent="0.25">
      <c r="A106" s="7"/>
      <c r="B106" s="39" t="s">
        <v>4176</v>
      </c>
      <c r="C106" s="39" t="s">
        <v>4176</v>
      </c>
      <c r="D106" s="2" t="s">
        <v>3697</v>
      </c>
      <c r="E106" s="4"/>
      <c r="F106" s="4"/>
      <c r="G106" s="2"/>
      <c r="H106" s="4"/>
      <c r="I106" s="8">
        <f>COUNTIF(Table2[کد سیستم],Table1113[[#This Row],[کد سیستم]])</f>
        <v>1</v>
      </c>
    </row>
    <row r="107" spans="1:9" x14ac:dyDescent="0.25">
      <c r="A107" s="7"/>
      <c r="B107" s="39" t="s">
        <v>4178</v>
      </c>
      <c r="C107" s="39" t="s">
        <v>4178</v>
      </c>
      <c r="D107" s="2" t="s">
        <v>3697</v>
      </c>
      <c r="E107" s="4"/>
      <c r="F107" s="4"/>
      <c r="G107" s="2"/>
      <c r="H107" s="4"/>
      <c r="I107" s="8">
        <f>COUNTIF(Table2[کد سیستم],Table1113[[#This Row],[کد سیستم]])</f>
        <v>1</v>
      </c>
    </row>
    <row r="108" spans="1:9" x14ac:dyDescent="0.25">
      <c r="A108" s="7"/>
      <c r="B108" s="39" t="s">
        <v>4180</v>
      </c>
      <c r="C108" s="39" t="s">
        <v>4180</v>
      </c>
      <c r="D108" s="2" t="s">
        <v>3697</v>
      </c>
      <c r="E108" s="4"/>
      <c r="F108" s="4"/>
      <c r="G108" s="2"/>
      <c r="H108" s="4"/>
      <c r="I108" s="8">
        <f>COUNTIF(Table2[کد سیستم],Table1113[[#This Row],[کد سیستم]])</f>
        <v>1</v>
      </c>
    </row>
    <row r="109" spans="1:9" x14ac:dyDescent="0.25">
      <c r="A109" s="7"/>
      <c r="B109" s="39" t="s">
        <v>4182</v>
      </c>
      <c r="C109" s="39" t="s">
        <v>4182</v>
      </c>
      <c r="D109" s="2" t="s">
        <v>3697</v>
      </c>
      <c r="E109" s="4"/>
      <c r="F109" s="4"/>
      <c r="G109" s="2"/>
      <c r="H109" s="4"/>
      <c r="I109" s="8">
        <f>COUNTIF(Table2[کد سیستم],Table1113[[#This Row],[کد سیستم]])</f>
        <v>1</v>
      </c>
    </row>
    <row r="110" spans="1:9" x14ac:dyDescent="0.25">
      <c r="A110" s="7"/>
      <c r="B110" s="39" t="s">
        <v>4184</v>
      </c>
      <c r="C110" s="39" t="s">
        <v>4184</v>
      </c>
      <c r="D110" s="2" t="s">
        <v>3697</v>
      </c>
      <c r="E110" s="4"/>
      <c r="F110" s="4"/>
      <c r="G110" s="2"/>
      <c r="H110" s="4"/>
      <c r="I110" s="8">
        <f>COUNTIF(Table2[کد سیستم],Table1113[[#This Row],[کد سیستم]])</f>
        <v>1</v>
      </c>
    </row>
    <row r="111" spans="1:9" x14ac:dyDescent="0.25">
      <c r="A111" s="7"/>
      <c r="B111" s="39" t="s">
        <v>4186</v>
      </c>
      <c r="C111" s="39" t="s">
        <v>4186</v>
      </c>
      <c r="D111" s="2" t="s">
        <v>3697</v>
      </c>
      <c r="E111" s="4"/>
      <c r="F111" s="4"/>
      <c r="G111" s="2"/>
      <c r="H111" s="4"/>
      <c r="I111" s="8">
        <f>COUNTIF(Table2[کد سیستم],Table1113[[#This Row],[کد سیستم]])</f>
        <v>1</v>
      </c>
    </row>
    <row r="112" spans="1:9" x14ac:dyDescent="0.25">
      <c r="A112" s="7"/>
      <c r="B112" s="39" t="s">
        <v>4188</v>
      </c>
      <c r="C112" s="39" t="s">
        <v>4188</v>
      </c>
      <c r="D112" s="2" t="s">
        <v>3697</v>
      </c>
      <c r="E112" s="4"/>
      <c r="F112" s="4"/>
      <c r="G112" s="2"/>
      <c r="H112" s="4"/>
      <c r="I112" s="8">
        <f>COUNTIF(Table2[کد سیستم],Table1113[[#This Row],[کد سیستم]])</f>
        <v>1</v>
      </c>
    </row>
    <row r="113" spans="1:9" x14ac:dyDescent="0.25">
      <c r="A113" s="7"/>
      <c r="B113" s="39" t="s">
        <v>4190</v>
      </c>
      <c r="C113" s="39" t="s">
        <v>4190</v>
      </c>
      <c r="D113" s="2" t="s">
        <v>3697</v>
      </c>
      <c r="E113" s="4"/>
      <c r="F113" s="4"/>
      <c r="G113" s="2"/>
      <c r="H113" s="4"/>
      <c r="I113" s="8">
        <f>COUNTIF(Table2[کد سیستم],Table1113[[#This Row],[کد سیستم]])</f>
        <v>1</v>
      </c>
    </row>
    <row r="114" spans="1:9" x14ac:dyDescent="0.25">
      <c r="A114" s="7"/>
      <c r="B114" s="39" t="s">
        <v>4192</v>
      </c>
      <c r="C114" s="39" t="s">
        <v>4192</v>
      </c>
      <c r="D114" s="2" t="s">
        <v>3697</v>
      </c>
      <c r="E114" s="4"/>
      <c r="F114" s="4"/>
      <c r="G114" s="2"/>
      <c r="H114" s="4"/>
      <c r="I114" s="8">
        <f>COUNTIF(Table2[کد سیستم],Table1113[[#This Row],[کد سیستم]])</f>
        <v>1</v>
      </c>
    </row>
    <row r="115" spans="1:9" x14ac:dyDescent="0.25">
      <c r="A115" s="7"/>
      <c r="B115" s="39" t="s">
        <v>4194</v>
      </c>
      <c r="C115" s="39" t="s">
        <v>4194</v>
      </c>
      <c r="D115" s="2" t="s">
        <v>3697</v>
      </c>
      <c r="E115" s="4"/>
      <c r="F115" s="4"/>
      <c r="G115" s="2"/>
      <c r="H115" s="4"/>
      <c r="I115" s="8">
        <f>COUNTIF(Table2[کد سیستم],Table1113[[#This Row],[کد سیستم]])</f>
        <v>1</v>
      </c>
    </row>
    <row r="116" spans="1:9" x14ac:dyDescent="0.25">
      <c r="A116" s="7"/>
      <c r="B116" s="39" t="s">
        <v>4196</v>
      </c>
      <c r="C116" s="39" t="s">
        <v>4196</v>
      </c>
      <c r="D116" s="2" t="s">
        <v>3697</v>
      </c>
      <c r="E116" s="4"/>
      <c r="F116" s="4"/>
      <c r="G116" s="2"/>
      <c r="H116" s="4"/>
      <c r="I116" s="8">
        <f>COUNTIF(Table2[کد سیستم],Table1113[[#This Row],[کد سیستم]])</f>
        <v>1</v>
      </c>
    </row>
    <row r="117" spans="1:9" x14ac:dyDescent="0.25">
      <c r="A117" s="7">
        <v>98</v>
      </c>
      <c r="B117" s="11" t="s">
        <v>1730</v>
      </c>
      <c r="C117" s="11" t="s">
        <v>1730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99</v>
      </c>
      <c r="B118" s="11" t="s">
        <v>1732</v>
      </c>
      <c r="C118" s="11" t="s">
        <v>1732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100</v>
      </c>
      <c r="B119" s="11" t="s">
        <v>1734</v>
      </c>
      <c r="C119" s="11" t="s">
        <v>1734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101</v>
      </c>
      <c r="B120" s="11" t="s">
        <v>1736</v>
      </c>
      <c r="C120" s="11" t="s">
        <v>1736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102</v>
      </c>
      <c r="B121" s="11" t="s">
        <v>1738</v>
      </c>
      <c r="C121" s="11" t="s">
        <v>1738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103</v>
      </c>
      <c r="B122" s="11" t="s">
        <v>1740</v>
      </c>
      <c r="C122" s="11" t="s">
        <v>1740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104</v>
      </c>
      <c r="B123" s="11" t="s">
        <v>1742</v>
      </c>
      <c r="C123" s="11" t="s">
        <v>1742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105</v>
      </c>
      <c r="B124" s="11" t="s">
        <v>1744</v>
      </c>
      <c r="C124" s="11" t="s">
        <v>1744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106</v>
      </c>
      <c r="B125" s="11" t="s">
        <v>1746</v>
      </c>
      <c r="C125" s="11" t="s">
        <v>1746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107</v>
      </c>
      <c r="B126" s="11" t="s">
        <v>1748</v>
      </c>
      <c r="C126" s="11" t="s">
        <v>1748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108</v>
      </c>
      <c r="B127" s="11" t="s">
        <v>1750</v>
      </c>
      <c r="C127" s="11" t="s">
        <v>1750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109</v>
      </c>
      <c r="B128" s="11" t="s">
        <v>1752</v>
      </c>
      <c r="C128" s="11" t="s">
        <v>1752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110</v>
      </c>
      <c r="B129" s="11" t="s">
        <v>1754</v>
      </c>
      <c r="C129" s="11" t="s">
        <v>1754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111</v>
      </c>
      <c r="B130" s="11" t="s">
        <v>1756</v>
      </c>
      <c r="C130" s="11" t="s">
        <v>1756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112</v>
      </c>
      <c r="B131" s="11" t="s">
        <v>1758</v>
      </c>
      <c r="C131" s="11" t="s">
        <v>1758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113</v>
      </c>
      <c r="B132" s="11" t="s">
        <v>1760</v>
      </c>
      <c r="C132" s="11" t="s">
        <v>1760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114</v>
      </c>
      <c r="B133" s="11" t="s">
        <v>1762</v>
      </c>
      <c r="C133" s="11" t="s">
        <v>1762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115</v>
      </c>
      <c r="B134" s="11" t="s">
        <v>1764</v>
      </c>
      <c r="C134" s="11" t="s">
        <v>1764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116</v>
      </c>
      <c r="B135" s="11" t="s">
        <v>1766</v>
      </c>
      <c r="C135" s="11" t="s">
        <v>1766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117</v>
      </c>
      <c r="B136" s="11" t="s">
        <v>1768</v>
      </c>
      <c r="C136" s="11" t="s">
        <v>1768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118</v>
      </c>
      <c r="B137" s="11" t="s">
        <v>1770</v>
      </c>
      <c r="C137" s="11" t="s">
        <v>1770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119</v>
      </c>
      <c r="B138" s="11" t="s">
        <v>1772</v>
      </c>
      <c r="C138" s="11" t="s">
        <v>1772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120</v>
      </c>
      <c r="B139" s="11" t="s">
        <v>1774</v>
      </c>
      <c r="C139" s="11" t="s">
        <v>1774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121</v>
      </c>
      <c r="B140" s="11" t="s">
        <v>1776</v>
      </c>
      <c r="C140" s="11" t="s">
        <v>1776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122</v>
      </c>
      <c r="B141" s="11" t="s">
        <v>1778</v>
      </c>
      <c r="C141" s="11" t="s">
        <v>1778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123</v>
      </c>
      <c r="B142" s="11" t="s">
        <v>1780</v>
      </c>
      <c r="C142" s="11" t="s">
        <v>1780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124</v>
      </c>
      <c r="B143" s="11" t="s">
        <v>1782</v>
      </c>
      <c r="C143" s="11" t="s">
        <v>1782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125</v>
      </c>
      <c r="B144" s="11" t="s">
        <v>1784</v>
      </c>
      <c r="C144" s="11" t="s">
        <v>1784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126</v>
      </c>
      <c r="B145" s="11" t="s">
        <v>1786</v>
      </c>
      <c r="C145" s="11" t="s">
        <v>1786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127</v>
      </c>
      <c r="B146" s="11" t="s">
        <v>1788</v>
      </c>
      <c r="C146" s="11" t="s">
        <v>1788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128</v>
      </c>
      <c r="B147" s="11" t="s">
        <v>1790</v>
      </c>
      <c r="C147" s="11" t="s">
        <v>1790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129</v>
      </c>
      <c r="B148" s="11" t="s">
        <v>1792</v>
      </c>
      <c r="C148" s="11" t="s">
        <v>1792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130</v>
      </c>
      <c r="B149" s="11" t="s">
        <v>1794</v>
      </c>
      <c r="C149" s="11" t="s">
        <v>1794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131</v>
      </c>
      <c r="B150" s="11" t="s">
        <v>1796</v>
      </c>
      <c r="C150" s="11" t="s">
        <v>1796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132</v>
      </c>
      <c r="B151" s="11" t="s">
        <v>1798</v>
      </c>
      <c r="C151" s="11" t="s">
        <v>1798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133</v>
      </c>
      <c r="B152" s="11" t="s">
        <v>1800</v>
      </c>
      <c r="C152" s="11" t="s">
        <v>1800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134</v>
      </c>
      <c r="B153" s="11" t="s">
        <v>1802</v>
      </c>
      <c r="C153" s="11" t="s">
        <v>1802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135</v>
      </c>
      <c r="B154" s="11" t="s">
        <v>1804</v>
      </c>
      <c r="C154" s="11" t="s">
        <v>1804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136</v>
      </c>
      <c r="B155" s="11" t="s">
        <v>1806</v>
      </c>
      <c r="C155" s="11" t="s">
        <v>1806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137</v>
      </c>
      <c r="B156" s="11" t="s">
        <v>1808</v>
      </c>
      <c r="C156" s="11" t="s">
        <v>1808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138</v>
      </c>
      <c r="B157" s="11" t="s">
        <v>1810</v>
      </c>
      <c r="C157" s="11" t="s">
        <v>1810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139</v>
      </c>
      <c r="B158" s="11" t="s">
        <v>1812</v>
      </c>
      <c r="C158" s="11" t="s">
        <v>1812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140</v>
      </c>
      <c r="B159" s="11" t="s">
        <v>1814</v>
      </c>
      <c r="C159" s="11" t="s">
        <v>1814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141</v>
      </c>
      <c r="B160" s="11" t="s">
        <v>1816</v>
      </c>
      <c r="C160" s="11" t="s">
        <v>1816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142</v>
      </c>
      <c r="B161" s="11" t="s">
        <v>1818</v>
      </c>
      <c r="C161" s="11" t="s">
        <v>1818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143</v>
      </c>
      <c r="B162" s="11" t="s">
        <v>1820</v>
      </c>
      <c r="C162" s="11" t="s">
        <v>1820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144</v>
      </c>
      <c r="B163" s="11" t="s">
        <v>1822</v>
      </c>
      <c r="C163" s="11" t="s">
        <v>1822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145</v>
      </c>
      <c r="B164" s="11" t="s">
        <v>1824</v>
      </c>
      <c r="C164" s="11" t="s">
        <v>1824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146</v>
      </c>
      <c r="B165" s="11" t="s">
        <v>1826</v>
      </c>
      <c r="C165" s="11" t="s">
        <v>1826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147</v>
      </c>
      <c r="B166" s="11" t="s">
        <v>1828</v>
      </c>
      <c r="C166" s="11" t="s">
        <v>1828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148</v>
      </c>
      <c r="B167" s="11" t="s">
        <v>1830</v>
      </c>
      <c r="C167" s="11" t="s">
        <v>1830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149</v>
      </c>
      <c r="B168" s="11" t="s">
        <v>1832</v>
      </c>
      <c r="C168" s="11" t="s">
        <v>1832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150</v>
      </c>
      <c r="B169" s="11" t="s">
        <v>1834</v>
      </c>
      <c r="C169" s="11" t="s">
        <v>1834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151</v>
      </c>
      <c r="B170" s="11" t="s">
        <v>1836</v>
      </c>
      <c r="C170" s="11" t="s">
        <v>1836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152</v>
      </c>
      <c r="B171" s="11" t="s">
        <v>1838</v>
      </c>
      <c r="C171" s="11" t="s">
        <v>1838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153</v>
      </c>
      <c r="B172" s="11" t="s">
        <v>1840</v>
      </c>
      <c r="C172" s="11" t="s">
        <v>1840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154</v>
      </c>
      <c r="B173" s="11" t="s">
        <v>1842</v>
      </c>
      <c r="C173" s="11" t="s">
        <v>1842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155</v>
      </c>
      <c r="B174" s="11" t="s">
        <v>1844</v>
      </c>
      <c r="C174" s="11" t="s">
        <v>1844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156</v>
      </c>
      <c r="B175" s="11" t="s">
        <v>1846</v>
      </c>
      <c r="C175" s="11" t="s">
        <v>1846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157</v>
      </c>
      <c r="B176" s="11" t="s">
        <v>1848</v>
      </c>
      <c r="C176" s="11" t="s">
        <v>1848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158</v>
      </c>
      <c r="B177" s="11" t="s">
        <v>1850</v>
      </c>
      <c r="C177" s="11" t="s">
        <v>1850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159</v>
      </c>
      <c r="B178" s="11" t="s">
        <v>1852</v>
      </c>
      <c r="C178" s="11" t="s">
        <v>1852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160</v>
      </c>
      <c r="B179" s="11" t="s">
        <v>1854</v>
      </c>
      <c r="C179" s="11" t="s">
        <v>1854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161</v>
      </c>
      <c r="B180" s="11" t="s">
        <v>1856</v>
      </c>
      <c r="C180" s="11" t="s">
        <v>1856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/>
      <c r="B181" s="39" t="s">
        <v>3894</v>
      </c>
      <c r="C181" s="39" t="s">
        <v>3894</v>
      </c>
      <c r="D181" s="2" t="s">
        <v>3697</v>
      </c>
      <c r="E181" s="4"/>
      <c r="F181" s="4"/>
      <c r="G181" s="2"/>
      <c r="H181" s="4"/>
      <c r="I181" s="8">
        <f>COUNTIF(Table2[کد سیستم],Table1113[[#This Row],[کد سیستم]])</f>
        <v>1</v>
      </c>
    </row>
    <row r="182" spans="1:9" x14ac:dyDescent="0.25">
      <c r="A182" s="7"/>
      <c r="B182" s="39" t="s">
        <v>3896</v>
      </c>
      <c r="C182" s="39" t="s">
        <v>3896</v>
      </c>
      <c r="D182" s="2" t="s">
        <v>3697</v>
      </c>
      <c r="E182" s="4"/>
      <c r="F182" s="4"/>
      <c r="G182" s="2"/>
      <c r="H182" s="4"/>
      <c r="I182" s="8">
        <f>COUNTIF(Table2[کد سیستم],Table1113[[#This Row],[کد سیستم]])</f>
        <v>1</v>
      </c>
    </row>
    <row r="183" spans="1:9" x14ac:dyDescent="0.25">
      <c r="A183" s="7"/>
      <c r="B183" s="39" t="s">
        <v>3898</v>
      </c>
      <c r="C183" s="39" t="s">
        <v>3898</v>
      </c>
      <c r="D183" s="2" t="s">
        <v>3697</v>
      </c>
      <c r="E183" s="4"/>
      <c r="F183" s="4"/>
      <c r="G183" s="2"/>
      <c r="H183" s="4"/>
      <c r="I183" s="8">
        <f>COUNTIF(Table2[کد سیستم],Table1113[[#This Row],[کد سیستم]])</f>
        <v>1</v>
      </c>
    </row>
    <row r="184" spans="1:9" x14ac:dyDescent="0.25">
      <c r="A184" s="7"/>
      <c r="B184" s="39" t="s">
        <v>3900</v>
      </c>
      <c r="C184" s="39" t="s">
        <v>3900</v>
      </c>
      <c r="D184" s="2" t="s">
        <v>3697</v>
      </c>
      <c r="E184" s="4"/>
      <c r="F184" s="4"/>
      <c r="G184" s="2"/>
      <c r="H184" s="4"/>
      <c r="I184" s="8">
        <f>COUNTIF(Table2[کد سیستم],Table1113[[#This Row],[کد سیستم]])</f>
        <v>1</v>
      </c>
    </row>
    <row r="185" spans="1:9" x14ac:dyDescent="0.25">
      <c r="A185" s="7"/>
      <c r="B185" s="39" t="s">
        <v>3902</v>
      </c>
      <c r="C185" s="39" t="s">
        <v>3902</v>
      </c>
      <c r="D185" s="2" t="s">
        <v>3697</v>
      </c>
      <c r="E185" s="4"/>
      <c r="F185" s="4"/>
      <c r="G185" s="2"/>
      <c r="H185" s="4"/>
      <c r="I185" s="8">
        <f>COUNTIF(Table2[کد سیستم],Table1113[[#This Row],[کد سیستم]])</f>
        <v>1</v>
      </c>
    </row>
    <row r="186" spans="1:9" x14ac:dyDescent="0.25">
      <c r="A186" s="7"/>
      <c r="B186" s="39" t="s">
        <v>3904</v>
      </c>
      <c r="C186" s="39" t="s">
        <v>3904</v>
      </c>
      <c r="D186" s="2" t="s">
        <v>3697</v>
      </c>
      <c r="E186" s="4"/>
      <c r="F186" s="4"/>
      <c r="G186" s="2"/>
      <c r="H186" s="4"/>
      <c r="I186" s="8">
        <f>COUNTIF(Table2[کد سیستم],Table1113[[#This Row],[کد سیستم]])</f>
        <v>1</v>
      </c>
    </row>
    <row r="187" spans="1:9" x14ac:dyDescent="0.25">
      <c r="A187" s="7"/>
      <c r="B187" s="39" t="s">
        <v>3906</v>
      </c>
      <c r="C187" s="39" t="s">
        <v>3906</v>
      </c>
      <c r="D187" s="2" t="s">
        <v>3697</v>
      </c>
      <c r="E187" s="4"/>
      <c r="F187" s="4"/>
      <c r="G187" s="2"/>
      <c r="H187" s="4"/>
      <c r="I187" s="8">
        <f>COUNTIF(Table2[کد سیستم],Table1113[[#This Row],[کد سیستم]])</f>
        <v>1</v>
      </c>
    </row>
    <row r="188" spans="1:9" x14ac:dyDescent="0.25">
      <c r="A188" s="7"/>
      <c r="B188" s="39" t="s">
        <v>3908</v>
      </c>
      <c r="C188" s="39" t="s">
        <v>3908</v>
      </c>
      <c r="D188" s="2" t="s">
        <v>3697</v>
      </c>
      <c r="E188" s="4"/>
      <c r="F188" s="4"/>
      <c r="G188" s="2"/>
      <c r="H188" s="4"/>
      <c r="I188" s="8">
        <f>COUNTIF(Table2[کد سیستم],Table1113[[#This Row],[کد سیستم]])</f>
        <v>1</v>
      </c>
    </row>
    <row r="189" spans="1:9" x14ac:dyDescent="0.25">
      <c r="A189" s="7">
        <v>162</v>
      </c>
      <c r="B189" s="11" t="s">
        <v>1858</v>
      </c>
      <c r="C189" s="11" t="s">
        <v>1858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163</v>
      </c>
      <c r="B190" s="11" t="s">
        <v>1860</v>
      </c>
      <c r="C190" s="11" t="s">
        <v>1860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164</v>
      </c>
      <c r="B191" s="11" t="s">
        <v>1862</v>
      </c>
      <c r="C191" s="11" t="s">
        <v>1862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165</v>
      </c>
      <c r="B192" s="11" t="s">
        <v>1864</v>
      </c>
      <c r="C192" s="11" t="s">
        <v>1864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1471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x14ac:dyDescent="0.25">
      <c r="A193" s="7">
        <v>166</v>
      </c>
      <c r="B193" s="11" t="s">
        <v>1866</v>
      </c>
      <c r="C193" s="11" t="s">
        <v>1866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1471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x14ac:dyDescent="0.25">
      <c r="A194" s="7">
        <v>167</v>
      </c>
      <c r="B194" s="11" t="s">
        <v>1868</v>
      </c>
      <c r="C194" s="11" t="s">
        <v>1868</v>
      </c>
      <c r="D194" s="2" t="s">
        <v>3697</v>
      </c>
      <c r="E194" s="2" t="s">
        <v>393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1471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x14ac:dyDescent="0.25">
      <c r="A195" s="7">
        <v>168</v>
      </c>
      <c r="B195" s="11" t="s">
        <v>1870</v>
      </c>
      <c r="C195" s="11" t="s">
        <v>1870</v>
      </c>
      <c r="D195" s="2" t="s">
        <v>3697</v>
      </c>
      <c r="E195" s="2" t="s">
        <v>393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1471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x14ac:dyDescent="0.25">
      <c r="A196" s="7">
        <v>169</v>
      </c>
      <c r="B196" s="11" t="s">
        <v>1872</v>
      </c>
      <c r="C196" s="11" t="s">
        <v>1872</v>
      </c>
      <c r="D196" s="2" t="s">
        <v>3697</v>
      </c>
      <c r="E196" s="2" t="s">
        <v>393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1471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x14ac:dyDescent="0.25">
      <c r="A197" s="7">
        <v>170</v>
      </c>
      <c r="B197" s="11" t="s">
        <v>1874</v>
      </c>
      <c r="C197" s="11" t="s">
        <v>1874</v>
      </c>
      <c r="D197" s="2" t="s">
        <v>3697</v>
      </c>
      <c r="E197" s="2" t="s">
        <v>393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1471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x14ac:dyDescent="0.25">
      <c r="A198" s="7">
        <v>171</v>
      </c>
      <c r="B198" s="11" t="s">
        <v>1876</v>
      </c>
      <c r="C198" s="11" t="s">
        <v>1876</v>
      </c>
      <c r="D198" s="2" t="s">
        <v>3697</v>
      </c>
      <c r="E198" s="2" t="s">
        <v>393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1471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x14ac:dyDescent="0.25">
      <c r="A199" s="7">
        <v>172</v>
      </c>
      <c r="B199" s="11" t="s">
        <v>1878</v>
      </c>
      <c r="C199" s="11" t="s">
        <v>1878</v>
      </c>
      <c r="D199" s="2" t="s">
        <v>3697</v>
      </c>
      <c r="E199" s="2" t="s">
        <v>393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1471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x14ac:dyDescent="0.25">
      <c r="A200" s="7">
        <v>173</v>
      </c>
      <c r="B200" s="11" t="s">
        <v>1880</v>
      </c>
      <c r="C200" s="11" t="s">
        <v>1880</v>
      </c>
      <c r="D200" s="2" t="s">
        <v>3697</v>
      </c>
      <c r="E200" s="2" t="s">
        <v>393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1471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x14ac:dyDescent="0.25">
      <c r="A201" s="7">
        <v>174</v>
      </c>
      <c r="B201" s="11" t="s">
        <v>1882</v>
      </c>
      <c r="C201" s="11" t="s">
        <v>1882</v>
      </c>
      <c r="D201" s="2" t="s">
        <v>3697</v>
      </c>
      <c r="E201" s="2" t="s">
        <v>393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1471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x14ac:dyDescent="0.25">
      <c r="A202" s="7">
        <v>175</v>
      </c>
      <c r="B202" s="11" t="s">
        <v>1884</v>
      </c>
      <c r="C202" s="11" t="s">
        <v>1884</v>
      </c>
      <c r="D202" s="2" t="s">
        <v>3697</v>
      </c>
      <c r="E202" s="2" t="s">
        <v>393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1471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x14ac:dyDescent="0.25">
      <c r="A203" s="7">
        <v>176</v>
      </c>
      <c r="B203" s="11" t="s">
        <v>1886</v>
      </c>
      <c r="C203" s="11" t="s">
        <v>1886</v>
      </c>
      <c r="D203" s="2" t="s">
        <v>3697</v>
      </c>
      <c r="E203" s="2" t="s">
        <v>393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1471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x14ac:dyDescent="0.25">
      <c r="A204" s="7">
        <v>177</v>
      </c>
      <c r="B204" s="11" t="s">
        <v>1888</v>
      </c>
      <c r="C204" s="11" t="s">
        <v>1888</v>
      </c>
      <c r="D204" s="2" t="s">
        <v>3697</v>
      </c>
      <c r="E204" s="2" t="s">
        <v>393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1471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x14ac:dyDescent="0.25">
      <c r="A205" s="7">
        <v>178</v>
      </c>
      <c r="B205" s="11" t="s">
        <v>1890</v>
      </c>
      <c r="C205" s="11" t="s">
        <v>1890</v>
      </c>
      <c r="D205" s="2" t="s">
        <v>3697</v>
      </c>
      <c r="E205" s="2" t="s">
        <v>393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1471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x14ac:dyDescent="0.25">
      <c r="A206" s="7">
        <v>179</v>
      </c>
      <c r="B206" s="11" t="s">
        <v>1892</v>
      </c>
      <c r="C206" s="11" t="s">
        <v>1892</v>
      </c>
      <c r="D206" s="2" t="s">
        <v>3697</v>
      </c>
      <c r="E206" s="2" t="s">
        <v>393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1471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x14ac:dyDescent="0.25">
      <c r="A207" s="7">
        <v>180</v>
      </c>
      <c r="B207" s="11" t="s">
        <v>1894</v>
      </c>
      <c r="C207" s="11" t="s">
        <v>1894</v>
      </c>
      <c r="D207" s="2" t="s">
        <v>3697</v>
      </c>
      <c r="E207" s="2" t="s">
        <v>393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1471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x14ac:dyDescent="0.25">
      <c r="A208" s="7">
        <v>181</v>
      </c>
      <c r="B208" s="11" t="s">
        <v>1896</v>
      </c>
      <c r="C208" s="11" t="s">
        <v>1896</v>
      </c>
      <c r="D208" s="2" t="s">
        <v>3697</v>
      </c>
      <c r="E208" s="2" t="s">
        <v>393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1471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x14ac:dyDescent="0.25">
      <c r="A209" s="7">
        <v>182</v>
      </c>
      <c r="B209" s="11" t="s">
        <v>1898</v>
      </c>
      <c r="C209" s="11" t="s">
        <v>1898</v>
      </c>
      <c r="D209" s="2" t="s">
        <v>3697</v>
      </c>
      <c r="E209" s="2" t="s">
        <v>393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1471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x14ac:dyDescent="0.25">
      <c r="A210" s="7">
        <v>183</v>
      </c>
      <c r="B210" s="11" t="s">
        <v>1900</v>
      </c>
      <c r="C210" s="11" t="s">
        <v>1900</v>
      </c>
      <c r="D210" s="2" t="s">
        <v>3697</v>
      </c>
      <c r="E210" s="2" t="s">
        <v>393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1471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x14ac:dyDescent="0.25">
      <c r="A211" s="7">
        <v>184</v>
      </c>
      <c r="B211" s="11" t="s">
        <v>1902</v>
      </c>
      <c r="C211" s="11" t="s">
        <v>1902</v>
      </c>
      <c r="D211" s="2" t="s">
        <v>3697</v>
      </c>
      <c r="E211" s="2" t="s">
        <v>393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1471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x14ac:dyDescent="0.25">
      <c r="A212" s="7">
        <v>185</v>
      </c>
      <c r="B212" s="11" t="s">
        <v>1904</v>
      </c>
      <c r="C212" s="11" t="s">
        <v>1904</v>
      </c>
      <c r="D212" s="2" t="s">
        <v>3697</v>
      </c>
      <c r="E212" s="2" t="s">
        <v>393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1471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x14ac:dyDescent="0.25">
      <c r="A213" s="7">
        <v>186</v>
      </c>
      <c r="B213" s="11" t="s">
        <v>1906</v>
      </c>
      <c r="C213" s="11" t="s">
        <v>1906</v>
      </c>
      <c r="D213" s="2" t="s">
        <v>3697</v>
      </c>
      <c r="E213" s="2" t="s">
        <v>393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1471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x14ac:dyDescent="0.25">
      <c r="A214" s="7">
        <v>187</v>
      </c>
      <c r="B214" s="11" t="s">
        <v>1908</v>
      </c>
      <c r="C214" s="11" t="s">
        <v>1908</v>
      </c>
      <c r="D214" s="2" t="s">
        <v>3697</v>
      </c>
      <c r="E214" s="2" t="s">
        <v>393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1471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x14ac:dyDescent="0.25">
      <c r="A215" s="7">
        <v>188</v>
      </c>
      <c r="B215" s="11" t="s">
        <v>1910</v>
      </c>
      <c r="C215" s="11" t="s">
        <v>1910</v>
      </c>
      <c r="D215" s="2" t="s">
        <v>3697</v>
      </c>
      <c r="E215" s="2" t="s">
        <v>393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1471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x14ac:dyDescent="0.25">
      <c r="A216" s="7">
        <v>189</v>
      </c>
      <c r="B216" s="11" t="s">
        <v>1912</v>
      </c>
      <c r="C216" s="11" t="s">
        <v>1912</v>
      </c>
      <c r="D216" s="2" t="s">
        <v>3697</v>
      </c>
      <c r="E216" s="2" t="s">
        <v>393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1471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x14ac:dyDescent="0.25">
      <c r="A217" s="7">
        <v>190</v>
      </c>
      <c r="B217" s="11" t="s">
        <v>1914</v>
      </c>
      <c r="C217" s="11" t="s">
        <v>1914</v>
      </c>
      <c r="D217" s="2" t="s">
        <v>3697</v>
      </c>
      <c r="E217" s="2" t="s">
        <v>393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1471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3813</v>
      </c>
      <c r="C218" s="11" t="s">
        <v>3813</v>
      </c>
      <c r="D218" s="2" t="s">
        <v>3697</v>
      </c>
      <c r="E218" s="2" t="s">
        <v>393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1916</v>
      </c>
      <c r="C219" s="11" t="s">
        <v>1916</v>
      </c>
      <c r="D219" s="2" t="s">
        <v>3697</v>
      </c>
      <c r="E219" s="2" t="s">
        <v>393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1918</v>
      </c>
      <c r="C220" s="11" t="s">
        <v>1918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1920</v>
      </c>
      <c r="C221" s="11" t="s">
        <v>1920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1922</v>
      </c>
      <c r="C222" s="11" t="s">
        <v>1922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1924</v>
      </c>
      <c r="C223" s="11" t="s">
        <v>1924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1926</v>
      </c>
      <c r="C224" s="11" t="s">
        <v>1926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1928</v>
      </c>
      <c r="C225" s="11" t="s">
        <v>1928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1930</v>
      </c>
      <c r="C226" s="11" t="s">
        <v>1930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1932</v>
      </c>
      <c r="C227" s="11" t="s">
        <v>1932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1934</v>
      </c>
      <c r="C228" s="11" t="s">
        <v>1934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1936</v>
      </c>
      <c r="C229" s="11" t="s">
        <v>1936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1938</v>
      </c>
      <c r="C230" s="11" t="s">
        <v>1938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1940</v>
      </c>
      <c r="C231" s="11" t="s">
        <v>1940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1942</v>
      </c>
      <c r="C232" s="11" t="s">
        <v>1942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1944</v>
      </c>
      <c r="C233" s="11" t="s">
        <v>1944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1946</v>
      </c>
      <c r="C234" s="11" t="s">
        <v>1946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1948</v>
      </c>
      <c r="C235" s="11" t="s">
        <v>1948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1950</v>
      </c>
      <c r="C236" s="11" t="s">
        <v>1950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1952</v>
      </c>
      <c r="C237" s="11" t="s">
        <v>1952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1954</v>
      </c>
      <c r="C238" s="11" t="s">
        <v>1954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1956</v>
      </c>
      <c r="C239" s="11" t="s">
        <v>1956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1958</v>
      </c>
      <c r="C240" s="11" t="s">
        <v>1958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1960</v>
      </c>
      <c r="C241" s="11" t="s">
        <v>1960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1962</v>
      </c>
      <c r="C242" s="11" t="s">
        <v>1962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1964</v>
      </c>
      <c r="C243" s="11" t="s">
        <v>1964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1966</v>
      </c>
      <c r="C244" s="11" t="s">
        <v>1966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1968</v>
      </c>
      <c r="C245" s="11" t="s">
        <v>1968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1970</v>
      </c>
      <c r="C246" s="11" t="s">
        <v>1970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1972</v>
      </c>
      <c r="C247" s="11" t="s">
        <v>1972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1974</v>
      </c>
      <c r="C248" s="11" t="s">
        <v>1974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1976</v>
      </c>
      <c r="C249" s="11" t="s">
        <v>1976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1978</v>
      </c>
      <c r="C250" s="11" t="s">
        <v>1978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1980</v>
      </c>
      <c r="C251" s="11" t="s">
        <v>1980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/>
      <c r="B252" s="39" t="s">
        <v>3910</v>
      </c>
      <c r="C252" s="39" t="s">
        <v>3910</v>
      </c>
      <c r="D252" s="2" t="s">
        <v>3697</v>
      </c>
      <c r="E252" s="4"/>
      <c r="F252" s="4"/>
      <c r="G252" s="2"/>
      <c r="H252" s="4"/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1982</v>
      </c>
      <c r="C253" s="11" t="s">
        <v>1982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1984</v>
      </c>
      <c r="C254" s="11" t="s">
        <v>1984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1986</v>
      </c>
      <c r="C255" s="11" t="s">
        <v>1986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1988</v>
      </c>
      <c r="C256" s="11" t="s">
        <v>1988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1990</v>
      </c>
      <c r="C257" s="11" t="s">
        <v>1990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1992</v>
      </c>
      <c r="C258" s="11" t="s">
        <v>1992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1994</v>
      </c>
      <c r="C259" s="11" t="s">
        <v>1994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1996</v>
      </c>
      <c r="C260" s="11" t="s">
        <v>1996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1998</v>
      </c>
      <c r="C261" s="11" t="s">
        <v>1998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2000</v>
      </c>
      <c r="C262" s="11" t="s">
        <v>2000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2002</v>
      </c>
      <c r="C263" s="11" t="s">
        <v>2002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2004</v>
      </c>
      <c r="C264" s="11" t="s">
        <v>2004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2006</v>
      </c>
      <c r="C265" s="11" t="s">
        <v>2006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2008</v>
      </c>
      <c r="C266" s="11" t="s">
        <v>2008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2010</v>
      </c>
      <c r="C267" s="11" t="s">
        <v>2010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2012</v>
      </c>
      <c r="C268" s="11" t="s">
        <v>2012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2014</v>
      </c>
      <c r="C269" s="11" t="s">
        <v>2014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2016</v>
      </c>
      <c r="C270" s="11" t="s">
        <v>2016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2018</v>
      </c>
      <c r="C271" s="11" t="s">
        <v>2018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2020</v>
      </c>
      <c r="C272" s="11" t="s">
        <v>2020</v>
      </c>
      <c r="D272" s="2" t="s">
        <v>3697</v>
      </c>
      <c r="E272" s="2" t="s">
        <v>1434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2022</v>
      </c>
      <c r="C273" s="11" t="s">
        <v>2022</v>
      </c>
      <c r="D273" s="2" t="s">
        <v>3697</v>
      </c>
      <c r="E273" s="2" t="s">
        <v>1434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2024</v>
      </c>
      <c r="C274" s="11" t="s">
        <v>2024</v>
      </c>
      <c r="D274" s="2" t="s">
        <v>3697</v>
      </c>
      <c r="E274" s="2" t="s">
        <v>1434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2026</v>
      </c>
      <c r="C275" s="11" t="s">
        <v>2026</v>
      </c>
      <c r="D275" s="2" t="s">
        <v>3697</v>
      </c>
      <c r="E275" s="2" t="s">
        <v>1434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2028</v>
      </c>
      <c r="C276" s="11" t="s">
        <v>2028</v>
      </c>
      <c r="D276" s="2" t="s">
        <v>3697</v>
      </c>
      <c r="E276" s="2" t="s">
        <v>1434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2030</v>
      </c>
      <c r="C277" s="11" t="s">
        <v>2030</v>
      </c>
      <c r="D277" s="2" t="s">
        <v>3697</v>
      </c>
      <c r="E277" s="2" t="s">
        <v>1434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2032</v>
      </c>
      <c r="C278" s="11" t="s">
        <v>2032</v>
      </c>
      <c r="D278" s="2" t="s">
        <v>3697</v>
      </c>
      <c r="E278" s="2" t="s">
        <v>1434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2034</v>
      </c>
      <c r="C279" s="11" t="s">
        <v>2034</v>
      </c>
      <c r="D279" s="2" t="s">
        <v>3697</v>
      </c>
      <c r="E279" s="2" t="s">
        <v>1434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2036</v>
      </c>
      <c r="C280" s="11" t="s">
        <v>2036</v>
      </c>
      <c r="D280" s="2" t="s">
        <v>3697</v>
      </c>
      <c r="E280" s="2" t="s">
        <v>1434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2038</v>
      </c>
      <c r="C281" s="11" t="s">
        <v>2038</v>
      </c>
      <c r="D281" s="2" t="s">
        <v>3697</v>
      </c>
      <c r="E281" s="2" t="s">
        <v>1434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2040</v>
      </c>
      <c r="C282" s="11" t="s">
        <v>2040</v>
      </c>
      <c r="D282" s="2" t="s">
        <v>3697</v>
      </c>
      <c r="E282" s="2" t="s">
        <v>1434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/>
      <c r="B283" s="39" t="s">
        <v>3912</v>
      </c>
      <c r="C283" s="39" t="s">
        <v>3912</v>
      </c>
      <c r="D283" s="2" t="s">
        <v>3697</v>
      </c>
      <c r="E283" s="4"/>
      <c r="F283" s="4"/>
      <c r="G283" s="2"/>
      <c r="H283" s="4"/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2042</v>
      </c>
      <c r="C284" s="11" t="s">
        <v>2042</v>
      </c>
      <c r="D284" s="2" t="s">
        <v>3697</v>
      </c>
      <c r="E284" s="2" t="s">
        <v>1434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2044</v>
      </c>
      <c r="C285" s="11" t="s">
        <v>2044</v>
      </c>
      <c r="D285" s="2" t="s">
        <v>3697</v>
      </c>
      <c r="E285" s="2" t="s">
        <v>1434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2046</v>
      </c>
      <c r="C286" s="11" t="s">
        <v>2046</v>
      </c>
      <c r="D286" s="2" t="s">
        <v>3697</v>
      </c>
      <c r="E286" s="2" t="s">
        <v>1434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2048</v>
      </c>
      <c r="C287" s="11" t="s">
        <v>2048</v>
      </c>
      <c r="D287" s="2" t="s">
        <v>3697</v>
      </c>
      <c r="E287" s="2" t="s">
        <v>1434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2050</v>
      </c>
      <c r="C288" s="11" t="s">
        <v>2050</v>
      </c>
      <c r="D288" s="2" t="s">
        <v>3697</v>
      </c>
      <c r="E288" s="2" t="s">
        <v>1434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2052</v>
      </c>
      <c r="C289" s="11" t="s">
        <v>2052</v>
      </c>
      <c r="D289" s="2" t="s">
        <v>3697</v>
      </c>
      <c r="E289" s="2" t="s">
        <v>1434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2054</v>
      </c>
      <c r="C290" s="11" t="s">
        <v>2054</v>
      </c>
      <c r="D290" s="2" t="s">
        <v>3697</v>
      </c>
      <c r="E290" s="2" t="s">
        <v>1434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2056</v>
      </c>
      <c r="C291" s="11" t="s">
        <v>2056</v>
      </c>
      <c r="D291" s="2" t="s">
        <v>3697</v>
      </c>
      <c r="E291" s="2" t="s">
        <v>1434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2058</v>
      </c>
      <c r="C292" s="11" t="s">
        <v>2058</v>
      </c>
      <c r="D292" s="2" t="s">
        <v>3697</v>
      </c>
      <c r="E292" s="2" t="s">
        <v>1434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2060</v>
      </c>
      <c r="C293" s="11" t="s">
        <v>2060</v>
      </c>
      <c r="D293" s="2" t="s">
        <v>3697</v>
      </c>
      <c r="E293" s="2" t="s">
        <v>1434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2062</v>
      </c>
      <c r="C294" s="11" t="s">
        <v>2062</v>
      </c>
      <c r="D294" s="2" t="s">
        <v>3697</v>
      </c>
      <c r="E294" s="2" t="s">
        <v>1434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2064</v>
      </c>
      <c r="C295" s="11" t="s">
        <v>2064</v>
      </c>
      <c r="D295" s="2" t="s">
        <v>3697</v>
      </c>
      <c r="E295" s="2" t="s">
        <v>1434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2066</v>
      </c>
      <c r="C296" s="11" t="s">
        <v>2066</v>
      </c>
      <c r="D296" s="2" t="s">
        <v>3697</v>
      </c>
      <c r="E296" s="2" t="s">
        <v>1434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2068</v>
      </c>
      <c r="C297" s="11" t="s">
        <v>2068</v>
      </c>
      <c r="D297" s="2" t="s">
        <v>3697</v>
      </c>
      <c r="E297" s="2" t="s">
        <v>1434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2070</v>
      </c>
      <c r="C298" s="11" t="s">
        <v>2070</v>
      </c>
      <c r="D298" s="2" t="s">
        <v>3697</v>
      </c>
      <c r="E298" s="2" t="s">
        <v>1434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2072</v>
      </c>
      <c r="C299" s="11" t="s">
        <v>2072</v>
      </c>
      <c r="D299" s="2" t="s">
        <v>3697</v>
      </c>
      <c r="E299" s="2" t="s">
        <v>1434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2074</v>
      </c>
      <c r="C300" s="11" t="s">
        <v>2074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2076</v>
      </c>
      <c r="C301" s="11" t="s">
        <v>2076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2078</v>
      </c>
      <c r="C302" s="11" t="s">
        <v>2078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2080</v>
      </c>
      <c r="C303" s="11" t="s">
        <v>2080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2082</v>
      </c>
      <c r="C304" s="11" t="s">
        <v>2082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2084</v>
      </c>
      <c r="C305" s="11" t="s">
        <v>2084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2086</v>
      </c>
      <c r="C306" s="11" t="s">
        <v>2086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2088</v>
      </c>
      <c r="C307" s="11" t="s">
        <v>2088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2090</v>
      </c>
      <c r="C308" s="11" t="s">
        <v>2090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2092</v>
      </c>
      <c r="C309" s="11" t="s">
        <v>2092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2094</v>
      </c>
      <c r="C310" s="11" t="s">
        <v>2094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2096</v>
      </c>
      <c r="C311" s="11" t="s">
        <v>2096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2098</v>
      </c>
      <c r="C312" s="11" t="s">
        <v>2098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2100</v>
      </c>
      <c r="C313" s="11" t="s">
        <v>2100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2102</v>
      </c>
      <c r="C314" s="11" t="s">
        <v>2102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2104</v>
      </c>
      <c r="C315" s="11" t="s">
        <v>2104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2106</v>
      </c>
      <c r="C316" s="11" t="s">
        <v>2106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2108</v>
      </c>
      <c r="C317" s="11" t="s">
        <v>2108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2110</v>
      </c>
      <c r="C318" s="11" t="s">
        <v>2110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2112</v>
      </c>
      <c r="C319" s="11" t="s">
        <v>2112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2114</v>
      </c>
      <c r="C320" s="11" t="s">
        <v>2114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2116</v>
      </c>
      <c r="C321" s="11" t="s">
        <v>2116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2118</v>
      </c>
      <c r="C322" s="11" t="s">
        <v>2118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2120</v>
      </c>
      <c r="C323" s="11" t="s">
        <v>2120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2122</v>
      </c>
      <c r="C324" s="11" t="s">
        <v>2122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2124</v>
      </c>
      <c r="C325" s="11" t="s">
        <v>2124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2126</v>
      </c>
      <c r="C326" s="11" t="s">
        <v>2126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2128</v>
      </c>
      <c r="C327" s="11" t="s">
        <v>2128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2130</v>
      </c>
      <c r="C328" s="11" t="s">
        <v>2130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2132</v>
      </c>
      <c r="C329" s="11" t="s">
        <v>2132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2134</v>
      </c>
      <c r="C330" s="11" t="s">
        <v>2134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2136</v>
      </c>
      <c r="C331" s="11" t="s">
        <v>2136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2138</v>
      </c>
      <c r="C332" s="11" t="s">
        <v>2138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2140</v>
      </c>
      <c r="C333" s="11" t="s">
        <v>2140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2142</v>
      </c>
      <c r="C334" s="11" t="s">
        <v>2142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2144</v>
      </c>
      <c r="C335" s="11" t="s">
        <v>2144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2146</v>
      </c>
      <c r="C336" s="11" t="s">
        <v>2146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2148</v>
      </c>
      <c r="C337" s="11" t="s">
        <v>2148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2150</v>
      </c>
      <c r="C338" s="11" t="s">
        <v>2150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2152</v>
      </c>
      <c r="C339" s="11" t="s">
        <v>2152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2154</v>
      </c>
      <c r="C340" s="11" t="s">
        <v>2154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2156</v>
      </c>
      <c r="C341" s="11" t="s">
        <v>2156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2158</v>
      </c>
      <c r="C342" s="11" t="s">
        <v>2158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2160</v>
      </c>
      <c r="C343" s="11" t="s">
        <v>2160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2162</v>
      </c>
      <c r="C344" s="11" t="s">
        <v>2162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2164</v>
      </c>
      <c r="C345" s="11" t="s">
        <v>2164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2166</v>
      </c>
      <c r="C346" s="11" t="s">
        <v>2166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2168</v>
      </c>
      <c r="C347" s="11" t="s">
        <v>2168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2170</v>
      </c>
      <c r="C348" s="11" t="s">
        <v>2170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2172</v>
      </c>
      <c r="C349" s="11" t="s">
        <v>2172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2174</v>
      </c>
      <c r="C350" s="11" t="s">
        <v>2174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2176</v>
      </c>
      <c r="C351" s="11" t="s">
        <v>2176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2178</v>
      </c>
      <c r="C352" s="11" t="s">
        <v>2178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2180</v>
      </c>
      <c r="C353" s="11" t="s">
        <v>2180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2182</v>
      </c>
      <c r="C354" s="11" t="s">
        <v>2182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2184</v>
      </c>
      <c r="C355" s="11" t="s">
        <v>2184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2186</v>
      </c>
      <c r="C356" s="11" t="s">
        <v>2186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2188</v>
      </c>
      <c r="C357" s="11" t="s">
        <v>2188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2190</v>
      </c>
      <c r="C358" s="11" t="s">
        <v>2190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2192</v>
      </c>
      <c r="C359" s="11" t="s">
        <v>2192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2194</v>
      </c>
      <c r="C360" s="11" t="s">
        <v>2194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2196</v>
      </c>
      <c r="C361" s="11" t="s">
        <v>2196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2198</v>
      </c>
      <c r="C362" s="11" t="s">
        <v>2198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2200</v>
      </c>
      <c r="C363" s="11" t="s">
        <v>2200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2202</v>
      </c>
      <c r="C364" s="11" t="s">
        <v>2202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2204</v>
      </c>
      <c r="C365" s="11" t="s">
        <v>2204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2206</v>
      </c>
      <c r="C366" s="11" t="s">
        <v>2206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2208</v>
      </c>
      <c r="C367" s="11" t="s">
        <v>2208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2210</v>
      </c>
      <c r="C368" s="11" t="s">
        <v>2210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2212</v>
      </c>
      <c r="C369" s="11" t="s">
        <v>2212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2214</v>
      </c>
      <c r="C370" s="11" t="s">
        <v>2214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2216</v>
      </c>
      <c r="C371" s="11" t="s">
        <v>2216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2218</v>
      </c>
      <c r="C372" s="11" t="s">
        <v>2218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2220</v>
      </c>
      <c r="C373" s="11" t="s">
        <v>2220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2222</v>
      </c>
      <c r="C374" s="11" t="s">
        <v>2222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2224</v>
      </c>
      <c r="C375" s="11" t="s">
        <v>2224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2226</v>
      </c>
      <c r="C376" s="11" t="s">
        <v>2226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2228</v>
      </c>
      <c r="C377" s="11" t="s">
        <v>2228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2230</v>
      </c>
      <c r="C378" s="11" t="s">
        <v>2230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2232</v>
      </c>
      <c r="C379" s="11" t="s">
        <v>2232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2234</v>
      </c>
      <c r="C380" s="11" t="s">
        <v>2234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2236</v>
      </c>
      <c r="C381" s="11" t="s">
        <v>2236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2238</v>
      </c>
      <c r="C382" s="11" t="s">
        <v>2238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2240</v>
      </c>
      <c r="C383" s="11" t="s">
        <v>2240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2242</v>
      </c>
      <c r="C384" s="11" t="s">
        <v>2242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2244</v>
      </c>
      <c r="C385" s="11" t="s">
        <v>2244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2246</v>
      </c>
      <c r="C386" s="11" t="s">
        <v>2246</v>
      </c>
      <c r="D386" s="2" t="s">
        <v>3697</v>
      </c>
      <c r="E386" s="2" t="s">
        <v>393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2248</v>
      </c>
      <c r="C387" s="11" t="s">
        <v>2248</v>
      </c>
      <c r="D387" s="2" t="s">
        <v>3697</v>
      </c>
      <c r="E387" s="2" t="s">
        <v>393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2250</v>
      </c>
      <c r="C388" s="11" t="s">
        <v>2250</v>
      </c>
      <c r="D388" s="2" t="s">
        <v>3697</v>
      </c>
      <c r="E388" s="2" t="s">
        <v>393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2252</v>
      </c>
      <c r="C389" s="11" t="s">
        <v>2252</v>
      </c>
      <c r="D389" s="2" t="s">
        <v>3697</v>
      </c>
      <c r="E389" s="2" t="s">
        <v>393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2254</v>
      </c>
      <c r="C390" s="11" t="s">
        <v>2254</v>
      </c>
      <c r="D390" s="2" t="s">
        <v>3697</v>
      </c>
      <c r="E390" s="2" t="s">
        <v>393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2256</v>
      </c>
      <c r="C391" s="11" t="s">
        <v>2256</v>
      </c>
      <c r="D391" s="2" t="s">
        <v>3697</v>
      </c>
      <c r="E391" s="2" t="s">
        <v>393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2258</v>
      </c>
      <c r="C392" s="11" t="s">
        <v>2258</v>
      </c>
      <c r="D392" s="2" t="s">
        <v>3697</v>
      </c>
      <c r="E392" s="2" t="s">
        <v>393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2260</v>
      </c>
      <c r="C393" s="11" t="s">
        <v>2260</v>
      </c>
      <c r="D393" s="2" t="s">
        <v>3697</v>
      </c>
      <c r="E393" s="2" t="s">
        <v>393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2262</v>
      </c>
      <c r="C394" s="11" t="s">
        <v>2262</v>
      </c>
      <c r="D394" s="2" t="s">
        <v>3697</v>
      </c>
      <c r="E394" s="2" t="s">
        <v>393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2264</v>
      </c>
      <c r="C395" s="11" t="s">
        <v>2264</v>
      </c>
      <c r="D395" s="2" t="s">
        <v>3697</v>
      </c>
      <c r="E395" s="2" t="s">
        <v>393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2266</v>
      </c>
      <c r="C396" s="11" t="s">
        <v>2266</v>
      </c>
      <c r="D396" s="2" t="s">
        <v>3697</v>
      </c>
      <c r="E396" s="2" t="s">
        <v>393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2268</v>
      </c>
      <c r="C397" s="11" t="s">
        <v>2268</v>
      </c>
      <c r="D397" s="2" t="s">
        <v>3697</v>
      </c>
      <c r="E397" s="2" t="s">
        <v>393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2270</v>
      </c>
      <c r="C398" s="11" t="s">
        <v>2270</v>
      </c>
      <c r="D398" s="2" t="s">
        <v>3697</v>
      </c>
      <c r="E398" s="2" t="s">
        <v>393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2272</v>
      </c>
      <c r="C399" s="11" t="s">
        <v>2272</v>
      </c>
      <c r="D399" s="2" t="s">
        <v>3697</v>
      </c>
      <c r="E399" s="2" t="s">
        <v>393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2274</v>
      </c>
      <c r="C400" s="11" t="s">
        <v>2274</v>
      </c>
      <c r="D400" s="2" t="s">
        <v>3697</v>
      </c>
      <c r="E400" s="2" t="s">
        <v>393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2276</v>
      </c>
      <c r="C401" s="11" t="s">
        <v>2276</v>
      </c>
      <c r="D401" s="2" t="s">
        <v>3697</v>
      </c>
      <c r="E401" s="2" t="s">
        <v>393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2278</v>
      </c>
      <c r="C402" s="11" t="s">
        <v>2278</v>
      </c>
      <c r="D402" s="2" t="s">
        <v>3697</v>
      </c>
      <c r="E402" s="2" t="s">
        <v>393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/>
      <c r="B403" s="39" t="s">
        <v>3914</v>
      </c>
      <c r="C403" s="39" t="s">
        <v>3914</v>
      </c>
      <c r="D403" s="2" t="s">
        <v>3697</v>
      </c>
      <c r="E403" s="4"/>
      <c r="F403" s="4"/>
      <c r="G403" s="2"/>
      <c r="H403" s="4"/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2280</v>
      </c>
      <c r="C404" s="11" t="s">
        <v>2280</v>
      </c>
      <c r="D404" s="2" t="s">
        <v>3697</v>
      </c>
      <c r="E404" s="2" t="s">
        <v>393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2282</v>
      </c>
      <c r="C405" s="11" t="s">
        <v>2282</v>
      </c>
      <c r="D405" s="2" t="s">
        <v>3697</v>
      </c>
      <c r="E405" s="2" t="s">
        <v>393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2284</v>
      </c>
      <c r="C406" s="11" t="s">
        <v>2284</v>
      </c>
      <c r="D406" s="2" t="s">
        <v>3697</v>
      </c>
      <c r="E406" s="2" t="s">
        <v>393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2286</v>
      </c>
      <c r="C407" s="11" t="s">
        <v>2286</v>
      </c>
      <c r="D407" s="2" t="s">
        <v>3697</v>
      </c>
      <c r="E407" s="2" t="s">
        <v>393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2288</v>
      </c>
      <c r="C408" s="11" t="s">
        <v>2288</v>
      </c>
      <c r="D408" s="2" t="s">
        <v>3697</v>
      </c>
      <c r="E408" s="2" t="s">
        <v>393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2290</v>
      </c>
      <c r="C409" s="11" t="s">
        <v>2290</v>
      </c>
      <c r="D409" s="2" t="s">
        <v>3697</v>
      </c>
      <c r="E409" s="2" t="s">
        <v>393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2292</v>
      </c>
      <c r="C410" s="11" t="s">
        <v>2292</v>
      </c>
      <c r="D410" s="2" t="s">
        <v>3697</v>
      </c>
      <c r="E410" s="2" t="s">
        <v>393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2294</v>
      </c>
      <c r="C411" s="11" t="s">
        <v>2294</v>
      </c>
      <c r="D411" s="2" t="s">
        <v>3697</v>
      </c>
      <c r="E411" s="2" t="s">
        <v>393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2296</v>
      </c>
      <c r="C412" s="11" t="s">
        <v>2296</v>
      </c>
      <c r="D412" s="2" t="s">
        <v>3697</v>
      </c>
      <c r="E412" s="2" t="s">
        <v>393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2298</v>
      </c>
      <c r="C413" s="11" t="s">
        <v>2298</v>
      </c>
      <c r="D413" s="2" t="s">
        <v>3697</v>
      </c>
      <c r="E413" s="2" t="s">
        <v>393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2300</v>
      </c>
      <c r="C414" s="11" t="s">
        <v>2300</v>
      </c>
      <c r="D414" s="2" t="s">
        <v>3697</v>
      </c>
      <c r="E414" s="2" t="s">
        <v>393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2302</v>
      </c>
      <c r="C415" s="11" t="s">
        <v>2302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2304</v>
      </c>
      <c r="C416" s="11" t="s">
        <v>2304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2306</v>
      </c>
      <c r="C417" s="11" t="s">
        <v>2306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2308</v>
      </c>
      <c r="C418" s="11" t="s">
        <v>2308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2310</v>
      </c>
      <c r="C419" s="11" t="s">
        <v>2310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2312</v>
      </c>
      <c r="C420" s="11" t="s">
        <v>2312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2314</v>
      </c>
      <c r="C421" s="11" t="s">
        <v>2314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2316</v>
      </c>
      <c r="C422" s="11" t="s">
        <v>2316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3815</v>
      </c>
      <c r="C423" s="11" t="s">
        <v>3815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2318</v>
      </c>
      <c r="C424" s="11" t="s">
        <v>2318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2320</v>
      </c>
      <c r="C425" s="11" t="s">
        <v>2320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2322</v>
      </c>
      <c r="C426" s="11" t="s">
        <v>2322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2324</v>
      </c>
      <c r="C427" s="11" t="s">
        <v>2324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2326</v>
      </c>
      <c r="C428" s="11" t="s">
        <v>2326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3817</v>
      </c>
      <c r="C429" s="11" t="s">
        <v>3817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2328</v>
      </c>
      <c r="C430" s="11" t="s">
        <v>2328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2330</v>
      </c>
      <c r="C431" s="11" t="s">
        <v>2330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2332</v>
      </c>
      <c r="C432" s="11" t="s">
        <v>2332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2334</v>
      </c>
      <c r="C433" s="11" t="s">
        <v>2334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2336</v>
      </c>
      <c r="C434" s="11" t="s">
        <v>2336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2338</v>
      </c>
      <c r="C435" s="11" t="s">
        <v>2338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2340</v>
      </c>
      <c r="C436" s="11" t="s">
        <v>2340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2342</v>
      </c>
      <c r="C437" s="11" t="s">
        <v>2342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2344</v>
      </c>
      <c r="C438" s="11" t="s">
        <v>2344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2346</v>
      </c>
      <c r="C439" s="11" t="s">
        <v>2346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2348</v>
      </c>
      <c r="C440" s="11" t="s">
        <v>2348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2350</v>
      </c>
      <c r="C441" s="11" t="s">
        <v>2350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2352</v>
      </c>
      <c r="C442" s="11" t="s">
        <v>2352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2354</v>
      </c>
      <c r="C443" s="11" t="s">
        <v>2354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2356</v>
      </c>
      <c r="C444" s="11" t="s">
        <v>2356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2358</v>
      </c>
      <c r="C445" s="11" t="s">
        <v>2358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2360</v>
      </c>
      <c r="C446" s="11" t="s">
        <v>2360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2362</v>
      </c>
      <c r="C447" s="11" t="s">
        <v>2362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2364</v>
      </c>
      <c r="C448" s="11" t="s">
        <v>2364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2366</v>
      </c>
      <c r="C449" s="11" t="s">
        <v>2366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2368</v>
      </c>
      <c r="C450" s="11" t="s">
        <v>2368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2370</v>
      </c>
      <c r="C451" s="11" t="s">
        <v>2370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2372</v>
      </c>
      <c r="C452" s="11" t="s">
        <v>2372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2374</v>
      </c>
      <c r="C453" s="11" t="s">
        <v>2374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2376</v>
      </c>
      <c r="C454" s="11" t="s">
        <v>2376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2378</v>
      </c>
      <c r="C455" s="11" t="s">
        <v>2378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2380</v>
      </c>
      <c r="C456" s="11" t="s">
        <v>2380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2382</v>
      </c>
      <c r="C457" s="11" t="s">
        <v>2382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2384</v>
      </c>
      <c r="C458" s="11" t="s">
        <v>2384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2386</v>
      </c>
      <c r="C459" s="11" t="s">
        <v>2386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2388</v>
      </c>
      <c r="C460" s="11" t="s">
        <v>2388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2390</v>
      </c>
      <c r="C461" s="11" t="s">
        <v>2390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2392</v>
      </c>
      <c r="C462" s="11" t="s">
        <v>2392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2394</v>
      </c>
      <c r="C463" s="11" t="s">
        <v>2394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2396</v>
      </c>
      <c r="C464" s="11" t="s">
        <v>2396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2398</v>
      </c>
      <c r="C465" s="11" t="s">
        <v>2398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2400</v>
      </c>
      <c r="C466" s="11" t="s">
        <v>2400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2402</v>
      </c>
      <c r="C467" s="11" t="s">
        <v>2402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2404</v>
      </c>
      <c r="C468" s="11" t="s">
        <v>2404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2406</v>
      </c>
      <c r="C469" s="11" t="s">
        <v>2406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2408</v>
      </c>
      <c r="C470" s="11" t="s">
        <v>2408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2410</v>
      </c>
      <c r="C471" s="11" t="s">
        <v>2410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2412</v>
      </c>
      <c r="C472" s="11" t="s">
        <v>2412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2414</v>
      </c>
      <c r="C473" s="11" t="s">
        <v>2414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2416</v>
      </c>
      <c r="C474" s="11" t="s">
        <v>2416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2418</v>
      </c>
      <c r="C475" s="11" t="s">
        <v>2418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2420</v>
      </c>
      <c r="C476" s="11" t="s">
        <v>2420</v>
      </c>
      <c r="D476" s="2" t="s">
        <v>3697</v>
      </c>
      <c r="E476" s="2" t="s">
        <v>566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2422</v>
      </c>
      <c r="C477" s="11" t="s">
        <v>2422</v>
      </c>
      <c r="D477" s="2" t="s">
        <v>3697</v>
      </c>
      <c r="E477" s="2" t="s">
        <v>566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2424</v>
      </c>
      <c r="C478" s="11" t="s">
        <v>2424</v>
      </c>
      <c r="D478" s="2" t="s">
        <v>3697</v>
      </c>
      <c r="E478" s="2" t="s">
        <v>566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2426</v>
      </c>
      <c r="C479" s="11" t="s">
        <v>2426</v>
      </c>
      <c r="D479" s="2" t="s">
        <v>3697</v>
      </c>
      <c r="E479" s="2" t="s">
        <v>566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2428</v>
      </c>
      <c r="C480" s="11" t="s">
        <v>2428</v>
      </c>
      <c r="D480" s="2" t="s">
        <v>3697</v>
      </c>
      <c r="E480" s="2" t="s">
        <v>566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2430</v>
      </c>
      <c r="C481" s="11" t="s">
        <v>2430</v>
      </c>
      <c r="D481" s="2" t="s">
        <v>3697</v>
      </c>
      <c r="E481" s="2" t="s">
        <v>566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2432</v>
      </c>
      <c r="C482" s="11" t="s">
        <v>2432</v>
      </c>
      <c r="D482" s="2" t="s">
        <v>3697</v>
      </c>
      <c r="E482" s="2" t="s">
        <v>566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2434</v>
      </c>
      <c r="C483" s="11" t="s">
        <v>2434</v>
      </c>
      <c r="D483" s="2" t="s">
        <v>3697</v>
      </c>
      <c r="E483" s="2" t="s">
        <v>566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2436</v>
      </c>
      <c r="C484" s="11" t="s">
        <v>2436</v>
      </c>
      <c r="D484" s="2" t="s">
        <v>3697</v>
      </c>
      <c r="E484" s="2" t="s">
        <v>566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998</v>
      </c>
      <c r="H484" s="4" t="str">
        <f>VLOOKUP(Table1113[[#This Row],[نام شخص کارشناس نظارت]],Table1[],3,0)</f>
        <v>کارشناس برق و ابزار دقیق نظارت (2)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2438</v>
      </c>
      <c r="C485" s="11" t="s">
        <v>2438</v>
      </c>
      <c r="D485" s="2" t="s">
        <v>3697</v>
      </c>
      <c r="E485" s="2" t="s">
        <v>566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998</v>
      </c>
      <c r="H485" s="4" t="str">
        <f>VLOOKUP(Table1113[[#This Row],[نام شخص کارشناس نظارت]],Table1[],3,0)</f>
        <v>کارشناس برق و ابزار دقیق نظارت (2)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2440</v>
      </c>
      <c r="C486" s="11" t="s">
        <v>2440</v>
      </c>
      <c r="D486" s="2" t="s">
        <v>3697</v>
      </c>
      <c r="E486" s="2" t="s">
        <v>566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998</v>
      </c>
      <c r="H486" s="4" t="str">
        <f>VLOOKUP(Table1113[[#This Row],[نام شخص کارشناس نظارت]],Table1[],3,0)</f>
        <v>کارشناس برق و ابزار دقیق نظارت (2)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2442</v>
      </c>
      <c r="C487" s="11" t="s">
        <v>2442</v>
      </c>
      <c r="D487" s="2" t="s">
        <v>3697</v>
      </c>
      <c r="E487" s="2" t="s">
        <v>566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998</v>
      </c>
      <c r="H487" s="4" t="str">
        <f>VLOOKUP(Table1113[[#This Row],[نام شخص کارشناس نظارت]],Table1[],3,0)</f>
        <v>کارشناس برق و ابزار دقیق نظارت (2)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2444</v>
      </c>
      <c r="C488" s="11" t="s">
        <v>2444</v>
      </c>
      <c r="D488" s="2" t="s">
        <v>3697</v>
      </c>
      <c r="E488" s="2" t="s">
        <v>566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998</v>
      </c>
      <c r="H488" s="4" t="str">
        <f>VLOOKUP(Table1113[[#This Row],[نام شخص کارشناس نظارت]],Table1[],3,0)</f>
        <v>کارشناس برق و ابزار دقیق نظارت (2)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2446</v>
      </c>
      <c r="C489" s="11" t="s">
        <v>2446</v>
      </c>
      <c r="D489" s="2" t="s">
        <v>3697</v>
      </c>
      <c r="E489" s="2" t="s">
        <v>566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2448</v>
      </c>
      <c r="C490" s="11" t="s">
        <v>2448</v>
      </c>
      <c r="D490" s="2" t="s">
        <v>3697</v>
      </c>
      <c r="E490" s="2" t="s">
        <v>566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2450</v>
      </c>
      <c r="C491" s="11" t="s">
        <v>2450</v>
      </c>
      <c r="D491" s="2" t="s">
        <v>3697</v>
      </c>
      <c r="E491" s="2" t="s">
        <v>566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2452</v>
      </c>
      <c r="C492" s="11" t="s">
        <v>2452</v>
      </c>
      <c r="D492" s="2" t="s">
        <v>3697</v>
      </c>
      <c r="E492" s="2" t="s">
        <v>566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2454</v>
      </c>
      <c r="C493" s="11" t="s">
        <v>2454</v>
      </c>
      <c r="D493" s="2" t="s">
        <v>3697</v>
      </c>
      <c r="E493" s="2" t="s">
        <v>566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2456</v>
      </c>
      <c r="C494" s="11" t="s">
        <v>2456</v>
      </c>
      <c r="D494" s="2" t="s">
        <v>3697</v>
      </c>
      <c r="E494" s="2" t="s">
        <v>566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2458</v>
      </c>
      <c r="C495" s="11" t="s">
        <v>2458</v>
      </c>
      <c r="D495" s="2" t="s">
        <v>3697</v>
      </c>
      <c r="E495" s="2" t="s">
        <v>566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2460</v>
      </c>
      <c r="C496" s="11" t="s">
        <v>2460</v>
      </c>
      <c r="D496" s="2" t="s">
        <v>3697</v>
      </c>
      <c r="E496" s="2" t="s">
        <v>566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2462</v>
      </c>
      <c r="C497" s="11" t="s">
        <v>2462</v>
      </c>
      <c r="D497" s="2" t="s">
        <v>3697</v>
      </c>
      <c r="E497" s="2" t="s">
        <v>566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2464</v>
      </c>
      <c r="C498" s="11" t="s">
        <v>2464</v>
      </c>
      <c r="D498" s="2" t="s">
        <v>3697</v>
      </c>
      <c r="E498" s="2" t="s">
        <v>566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2466</v>
      </c>
      <c r="C499" s="11" t="s">
        <v>2466</v>
      </c>
      <c r="D499" s="2" t="s">
        <v>3697</v>
      </c>
      <c r="E499" s="2" t="s">
        <v>566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2468</v>
      </c>
      <c r="C500" s="11" t="s">
        <v>2468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2470</v>
      </c>
      <c r="C501" s="11" t="s">
        <v>2470</v>
      </c>
      <c r="D501" s="2" t="s">
        <v>3697</v>
      </c>
      <c r="E501" s="2" t="s">
        <v>566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2472</v>
      </c>
      <c r="C502" s="11" t="s">
        <v>2472</v>
      </c>
      <c r="D502" s="2" t="s">
        <v>3697</v>
      </c>
      <c r="E502" s="2" t="s">
        <v>566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2474</v>
      </c>
      <c r="C503" s="11" t="s">
        <v>2474</v>
      </c>
      <c r="D503" s="2" t="s">
        <v>3697</v>
      </c>
      <c r="E503" s="2" t="s">
        <v>566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2476</v>
      </c>
      <c r="C504" s="11" t="s">
        <v>2476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2484</v>
      </c>
      <c r="C505" s="22" t="s">
        <v>2484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2486</v>
      </c>
      <c r="C506" s="22" t="s">
        <v>2486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2488</v>
      </c>
      <c r="C507" s="11" t="s">
        <v>2488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2490</v>
      </c>
      <c r="C508" s="11" t="s">
        <v>2490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2492</v>
      </c>
      <c r="C509" s="11" t="s">
        <v>2492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2494</v>
      </c>
      <c r="C510" s="11" t="s">
        <v>2494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2496</v>
      </c>
      <c r="C511" s="11" t="s">
        <v>2496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486</v>
      </c>
      <c r="B512" s="11" t="s">
        <v>2498</v>
      </c>
      <c r="C512" s="22" t="s">
        <v>2498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1168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x14ac:dyDescent="0.25">
      <c r="A513" s="7">
        <v>487</v>
      </c>
      <c r="B513" s="11" t="s">
        <v>2500</v>
      </c>
      <c r="C513" s="11" t="s">
        <v>2500</v>
      </c>
      <c r="D513" s="2" t="s">
        <v>3697</v>
      </c>
      <c r="E513" s="2" t="s">
        <v>554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1168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x14ac:dyDescent="0.25">
      <c r="A514" s="7">
        <v>488</v>
      </c>
      <c r="B514" s="11" t="s">
        <v>2502</v>
      </c>
      <c r="C514" s="11" t="s">
        <v>2502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1168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x14ac:dyDescent="0.25">
      <c r="A515" s="7">
        <v>489</v>
      </c>
      <c r="B515" s="11" t="s">
        <v>2504</v>
      </c>
      <c r="C515" s="11" t="s">
        <v>2504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1168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x14ac:dyDescent="0.25">
      <c r="A516" s="7">
        <v>490</v>
      </c>
      <c r="B516" s="11" t="s">
        <v>2506</v>
      </c>
      <c r="C516" s="11" t="s">
        <v>2506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1168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2508</v>
      </c>
      <c r="C517" s="11" t="s">
        <v>2508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2510</v>
      </c>
      <c r="C518" s="22" t="s">
        <v>2510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2512</v>
      </c>
      <c r="C519" s="11" t="s">
        <v>2512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2514</v>
      </c>
      <c r="C520" s="11" t="s">
        <v>2514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2516</v>
      </c>
      <c r="C521" s="11" t="s">
        <v>2516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2518</v>
      </c>
      <c r="C522" s="11" t="s">
        <v>2518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2520</v>
      </c>
      <c r="C523" s="11" t="s">
        <v>2520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2522</v>
      </c>
      <c r="C524" s="22" t="s">
        <v>2522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2524</v>
      </c>
      <c r="C525" s="22" t="s">
        <v>2524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2526</v>
      </c>
      <c r="C526" s="11" t="s">
        <v>2526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2528</v>
      </c>
      <c r="C527" s="11" t="s">
        <v>2528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/>
      <c r="B528" s="39" t="s">
        <v>3922</v>
      </c>
      <c r="C528" s="39" t="s">
        <v>3922</v>
      </c>
      <c r="D528" s="2" t="s">
        <v>3697</v>
      </c>
      <c r="E528" s="4"/>
      <c r="F528" s="4"/>
      <c r="G528" s="2"/>
      <c r="H528" s="4"/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2536</v>
      </c>
      <c r="C529" s="11" t="s">
        <v>2536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2544</v>
      </c>
      <c r="C530" s="22" t="s">
        <v>2544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2546</v>
      </c>
      <c r="C531" s="22" t="s">
        <v>2546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2548</v>
      </c>
      <c r="C532" s="11" t="s">
        <v>2548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2550</v>
      </c>
      <c r="C533" s="11" t="s">
        <v>2550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2552</v>
      </c>
      <c r="C534" s="11" t="s">
        <v>2552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2554</v>
      </c>
      <c r="C535" s="11" t="s">
        <v>2554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2556</v>
      </c>
      <c r="C536" s="22" t="s">
        <v>2556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2564</v>
      </c>
      <c r="C537" s="22" t="s">
        <v>2564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2566</v>
      </c>
      <c r="C538" s="11" t="s">
        <v>2566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2568</v>
      </c>
      <c r="C539" s="11" t="s">
        <v>2568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2570</v>
      </c>
      <c r="C540" s="22" t="s">
        <v>2570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2572</v>
      </c>
      <c r="C541" s="11" t="s">
        <v>2572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2574</v>
      </c>
      <c r="C542" s="11" t="s">
        <v>2574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2578</v>
      </c>
      <c r="C543" s="11" t="s">
        <v>2578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2580</v>
      </c>
      <c r="C544" s="11" t="s">
        <v>2580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2582</v>
      </c>
      <c r="C545" s="11" t="s">
        <v>2582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2584</v>
      </c>
      <c r="C546" s="11" t="s">
        <v>2584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2586</v>
      </c>
      <c r="C547" s="11" t="s">
        <v>2586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2588</v>
      </c>
      <c r="C548" s="11" t="s">
        <v>2588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2590</v>
      </c>
      <c r="C549" s="11" t="s">
        <v>2590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/>
      <c r="B550" s="39" t="s">
        <v>3931</v>
      </c>
      <c r="C550" s="39" t="s">
        <v>3931</v>
      </c>
      <c r="D550" s="2" t="s">
        <v>3697</v>
      </c>
      <c r="E550" s="4"/>
      <c r="F550" s="4"/>
      <c r="G550" s="2"/>
      <c r="H550" s="4"/>
      <c r="I550" s="8">
        <f>COUNTIF(Table2[کد سیستم],Table1113[[#This Row],[کد سیستم]])</f>
        <v>1</v>
      </c>
    </row>
    <row r="551" spans="1:9" x14ac:dyDescent="0.25">
      <c r="A551" s="7"/>
      <c r="B551" s="39" t="s">
        <v>3933</v>
      </c>
      <c r="C551" s="39" t="s">
        <v>3933</v>
      </c>
      <c r="D551" s="2" t="s">
        <v>3697</v>
      </c>
      <c r="E551" s="4"/>
      <c r="F551" s="4"/>
      <c r="G551" s="2"/>
      <c r="H551" s="4"/>
      <c r="I551" s="8">
        <f>COUNTIF(Table2[کد سیستم],Table1113[[#This Row],[کد سیستم]])</f>
        <v>1</v>
      </c>
    </row>
    <row r="552" spans="1:9" x14ac:dyDescent="0.25">
      <c r="A552" s="7"/>
      <c r="B552" s="39" t="s">
        <v>3935</v>
      </c>
      <c r="C552" s="39" t="s">
        <v>3935</v>
      </c>
      <c r="D552" s="2" t="s">
        <v>3697</v>
      </c>
      <c r="E552" s="4"/>
      <c r="F552" s="4"/>
      <c r="G552" s="2"/>
      <c r="H552" s="4"/>
      <c r="I552" s="8">
        <f>COUNTIF(Table2[کد سیستم],Table1113[[#This Row],[کد سیستم]])</f>
        <v>1</v>
      </c>
    </row>
    <row r="553" spans="1:9" x14ac:dyDescent="0.25">
      <c r="A553" s="7"/>
      <c r="B553" s="39" t="s">
        <v>3937</v>
      </c>
      <c r="C553" s="39" t="s">
        <v>3937</v>
      </c>
      <c r="D553" s="2" t="s">
        <v>3697</v>
      </c>
      <c r="E553" s="4"/>
      <c r="F553" s="4"/>
      <c r="G553" s="2"/>
      <c r="H553" s="4"/>
      <c r="I553" s="8">
        <f>COUNTIF(Table2[کد سیستم],Table1113[[#This Row],[کد سیستم]])</f>
        <v>1</v>
      </c>
    </row>
    <row r="554" spans="1:9" x14ac:dyDescent="0.25">
      <c r="A554" s="7"/>
      <c r="B554" s="39" t="s">
        <v>3939</v>
      </c>
      <c r="C554" s="39" t="s">
        <v>3939</v>
      </c>
      <c r="D554" s="2" t="s">
        <v>3697</v>
      </c>
      <c r="E554" s="4"/>
      <c r="F554" s="4"/>
      <c r="G554" s="2"/>
      <c r="H554" s="4"/>
      <c r="I554" s="8">
        <f>COUNTIF(Table2[کد سیستم],Table1113[[#This Row],[کد سیستم]])</f>
        <v>1</v>
      </c>
    </row>
    <row r="555" spans="1:9" x14ac:dyDescent="0.25">
      <c r="A555" s="7"/>
      <c r="B555" s="39" t="s">
        <v>3941</v>
      </c>
      <c r="C555" s="39" t="s">
        <v>3941</v>
      </c>
      <c r="D555" s="2" t="s">
        <v>3697</v>
      </c>
      <c r="E555" s="4"/>
      <c r="F555" s="4"/>
      <c r="G555" s="2"/>
      <c r="H555" s="4"/>
      <c r="I555" s="8">
        <f>COUNTIF(Table2[کد سیستم],Table1113[[#This Row],[کد سیستم]])</f>
        <v>1</v>
      </c>
    </row>
    <row r="556" spans="1:9" x14ac:dyDescent="0.25">
      <c r="A556" s="7"/>
      <c r="B556" s="39" t="s">
        <v>3943</v>
      </c>
      <c r="C556" s="39" t="s">
        <v>3943</v>
      </c>
      <c r="D556" s="2" t="s">
        <v>3697</v>
      </c>
      <c r="E556" s="4"/>
      <c r="F556" s="4"/>
      <c r="G556" s="2"/>
      <c r="H556" s="4"/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2592</v>
      </c>
      <c r="C557" s="11" t="s">
        <v>2592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2594</v>
      </c>
      <c r="C558" s="11" t="s">
        <v>2594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2596</v>
      </c>
      <c r="C559" s="11" t="s">
        <v>2596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2598</v>
      </c>
      <c r="C560" s="11" t="s">
        <v>2598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2600</v>
      </c>
      <c r="C561" s="11" t="s">
        <v>2600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2602</v>
      </c>
      <c r="C562" s="11" t="s">
        <v>2602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2604</v>
      </c>
      <c r="C563" s="11" t="s">
        <v>2604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2606</v>
      </c>
      <c r="C564" s="11" t="s">
        <v>2606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2608</v>
      </c>
      <c r="C565" s="11" t="s">
        <v>2608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2610</v>
      </c>
      <c r="C566" s="11" t="s">
        <v>2610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2612</v>
      </c>
      <c r="C567" s="11" t="s">
        <v>2612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2614</v>
      </c>
      <c r="C568" s="11" t="s">
        <v>2614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2616</v>
      </c>
      <c r="C569" s="11" t="s">
        <v>2616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2618</v>
      </c>
      <c r="C570" s="11" t="s">
        <v>2618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2620</v>
      </c>
      <c r="C571" s="11" t="s">
        <v>2620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/>
      <c r="B572" s="39" t="s">
        <v>3945</v>
      </c>
      <c r="C572" s="39" t="s">
        <v>3945</v>
      </c>
      <c r="D572" s="2" t="s">
        <v>3697</v>
      </c>
      <c r="E572" s="4"/>
      <c r="F572" s="4"/>
      <c r="G572" s="2"/>
      <c r="H572" s="4"/>
      <c r="I572" s="8">
        <f>COUNTIF(Table2[کد سیستم],Table1113[[#This Row],[کد سیستم]])</f>
        <v>1</v>
      </c>
    </row>
    <row r="573" spans="1:9" x14ac:dyDescent="0.25">
      <c r="A573" s="7"/>
      <c r="B573" s="39" t="s">
        <v>3947</v>
      </c>
      <c r="C573" s="39" t="s">
        <v>3947</v>
      </c>
      <c r="D573" s="2" t="s">
        <v>3697</v>
      </c>
      <c r="E573" s="4"/>
      <c r="F573" s="4"/>
      <c r="G573" s="2"/>
      <c r="H573" s="4"/>
      <c r="I573" s="8">
        <f>COUNTIF(Table2[کد سیستم],Table1113[[#This Row],[کد سیستم]])</f>
        <v>1</v>
      </c>
    </row>
    <row r="574" spans="1:9" x14ac:dyDescent="0.25">
      <c r="A574" s="7"/>
      <c r="B574" s="39" t="s">
        <v>3949</v>
      </c>
      <c r="C574" s="39" t="s">
        <v>3949</v>
      </c>
      <c r="D574" s="2" t="s">
        <v>3697</v>
      </c>
      <c r="E574" s="4"/>
      <c r="F574" s="4"/>
      <c r="G574" s="2"/>
      <c r="H574" s="4"/>
      <c r="I574" s="8">
        <f>COUNTIF(Table2[کد سیستم],Table1113[[#This Row],[کد سیستم]])</f>
        <v>1</v>
      </c>
    </row>
    <row r="575" spans="1:9" x14ac:dyDescent="0.25">
      <c r="A575" s="7"/>
      <c r="B575" s="39" t="s">
        <v>3951</v>
      </c>
      <c r="C575" s="39" t="s">
        <v>3951</v>
      </c>
      <c r="D575" s="2" t="s">
        <v>3697</v>
      </c>
      <c r="E575" s="4"/>
      <c r="F575" s="4"/>
      <c r="G575" s="2"/>
      <c r="H575" s="4"/>
      <c r="I575" s="8">
        <f>COUNTIF(Table2[کد سیستم],Table1113[[#This Row],[کد سیستم]])</f>
        <v>1</v>
      </c>
    </row>
    <row r="576" spans="1:9" x14ac:dyDescent="0.25">
      <c r="A576" s="7"/>
      <c r="B576" s="39" t="s">
        <v>3953</v>
      </c>
      <c r="C576" s="39" t="s">
        <v>3953</v>
      </c>
      <c r="D576" s="2" t="s">
        <v>3697</v>
      </c>
      <c r="E576" s="4"/>
      <c r="F576" s="4"/>
      <c r="G576" s="2"/>
      <c r="H576" s="4"/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2622</v>
      </c>
      <c r="C577" s="11" t="s">
        <v>2622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998</v>
      </c>
      <c r="H577" s="4" t="str">
        <f>VLOOKUP(Table1113[[#This Row],[نام شخص کارشناس نظارت]],Table1[],3,0)</f>
        <v>کارشناس برق و ابزار دقیق نظارت (2)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2624</v>
      </c>
      <c r="C578" s="11" t="s">
        <v>2624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998</v>
      </c>
      <c r="H578" s="4" t="str">
        <f>VLOOKUP(Table1113[[#This Row],[نام شخص کارشناس نظارت]],Table1[],3,0)</f>
        <v>کارشناس برق و ابزار دقیق نظارت (2)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2628</v>
      </c>
      <c r="C579" s="22" t="s">
        <v>2628</v>
      </c>
      <c r="D579" s="2" t="s">
        <v>3697</v>
      </c>
      <c r="E579" s="2" t="s">
        <v>554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2630</v>
      </c>
      <c r="C580" s="11" t="s">
        <v>2630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2632</v>
      </c>
      <c r="C581" s="11" t="s">
        <v>2632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2634</v>
      </c>
      <c r="C582" s="11" t="s">
        <v>2634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2636</v>
      </c>
      <c r="C583" s="11" t="s">
        <v>2636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2638</v>
      </c>
      <c r="C584" s="11" t="s">
        <v>2638</v>
      </c>
      <c r="D584" s="2" t="s">
        <v>3697</v>
      </c>
      <c r="E584" s="2" t="s">
        <v>554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2640</v>
      </c>
      <c r="C585" s="11" t="s">
        <v>2640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2644</v>
      </c>
      <c r="C586" s="11" t="s">
        <v>2644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2648</v>
      </c>
      <c r="C587" s="22" t="s">
        <v>2648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2650</v>
      </c>
      <c r="C588" s="11" t="s">
        <v>2650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2652</v>
      </c>
      <c r="C589" s="11" t="s">
        <v>2652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2654</v>
      </c>
      <c r="C590" s="11" t="s">
        <v>2654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2656</v>
      </c>
      <c r="C591" s="11" t="s">
        <v>2656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2658</v>
      </c>
      <c r="C592" s="11" t="s">
        <v>2658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2660</v>
      </c>
      <c r="C593" s="11" t="s">
        <v>2660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2662</v>
      </c>
      <c r="C594" s="11" t="s">
        <v>2662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2664</v>
      </c>
      <c r="C595" s="11" t="s">
        <v>2664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2668</v>
      </c>
      <c r="C596" s="11" t="s">
        <v>2668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2670</v>
      </c>
      <c r="C597" s="11" t="s">
        <v>2670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2672</v>
      </c>
      <c r="C598" s="11" t="s">
        <v>2672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2674</v>
      </c>
      <c r="C599" s="11" t="s">
        <v>2674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2676</v>
      </c>
      <c r="C600" s="11" t="s">
        <v>2676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2678</v>
      </c>
      <c r="C601" s="11" t="s">
        <v>2678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579</v>
      </c>
      <c r="B602" s="11" t="s">
        <v>2681</v>
      </c>
      <c r="C602" s="11" t="s">
        <v>2681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1168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x14ac:dyDescent="0.25">
      <c r="A603" s="7"/>
      <c r="B603" s="39" t="s">
        <v>3962</v>
      </c>
      <c r="C603" s="39" t="s">
        <v>3962</v>
      </c>
      <c r="D603" s="2" t="s">
        <v>3697</v>
      </c>
      <c r="E603" s="4"/>
      <c r="F603" s="4"/>
      <c r="G603" s="2"/>
      <c r="H603" s="4"/>
      <c r="I603" s="8">
        <f>COUNTIF(Table2[کد سیستم],Table1113[[#This Row],[کد سیستم]])</f>
        <v>1</v>
      </c>
    </row>
    <row r="604" spans="1:9" x14ac:dyDescent="0.25">
      <c r="A604" s="7"/>
      <c r="B604" s="39" t="s">
        <v>3964</v>
      </c>
      <c r="C604" s="39" t="s">
        <v>3964</v>
      </c>
      <c r="D604" s="2" t="s">
        <v>3697</v>
      </c>
      <c r="E604" s="4"/>
      <c r="F604" s="4"/>
      <c r="G604" s="2"/>
      <c r="H604" s="4"/>
      <c r="I604" s="8">
        <f>COUNTIF(Table2[کد سیستم],Table1113[[#This Row],[کد سیستم]])</f>
        <v>1</v>
      </c>
    </row>
    <row r="605" spans="1:9" x14ac:dyDescent="0.25">
      <c r="A605" s="7"/>
      <c r="B605" s="39" t="s">
        <v>3966</v>
      </c>
      <c r="C605" s="39" t="s">
        <v>3966</v>
      </c>
      <c r="D605" s="2" t="s">
        <v>3697</v>
      </c>
      <c r="E605" s="4"/>
      <c r="F605" s="4"/>
      <c r="G605" s="2"/>
      <c r="H605" s="4"/>
      <c r="I605" s="8">
        <f>COUNTIF(Table2[کد سیستم],Table1113[[#This Row],[کد سیستم]])</f>
        <v>1</v>
      </c>
    </row>
    <row r="606" spans="1:9" x14ac:dyDescent="0.25">
      <c r="A606" s="7">
        <v>583</v>
      </c>
      <c r="B606" s="11" t="s">
        <v>2687</v>
      </c>
      <c r="C606" s="22" t="s">
        <v>2687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1168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x14ac:dyDescent="0.25">
      <c r="A607" s="7">
        <v>584</v>
      </c>
      <c r="B607" s="11" t="s">
        <v>2689</v>
      </c>
      <c r="C607" s="11" t="s">
        <v>2689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1168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x14ac:dyDescent="0.25">
      <c r="A608" s="7">
        <v>585</v>
      </c>
      <c r="B608" s="11" t="s">
        <v>2691</v>
      </c>
      <c r="C608" s="22" t="s">
        <v>2691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1168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2695</v>
      </c>
      <c r="C609" s="11" t="s">
        <v>2695</v>
      </c>
      <c r="D609" s="2" t="s">
        <v>3697</v>
      </c>
      <c r="E609" s="2" t="s">
        <v>1434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2697</v>
      </c>
      <c r="C610" s="11" t="s">
        <v>2697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2699</v>
      </c>
      <c r="C611" s="11" t="s">
        <v>2699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2701</v>
      </c>
      <c r="C612" s="11" t="s">
        <v>2701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2703</v>
      </c>
      <c r="C613" s="11" t="s">
        <v>2703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2709</v>
      </c>
      <c r="C614" s="22" t="s">
        <v>2709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2713</v>
      </c>
      <c r="C615" s="22" t="s">
        <v>2713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2715</v>
      </c>
      <c r="C616" s="11" t="s">
        <v>2715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2717</v>
      </c>
      <c r="C617" s="11" t="s">
        <v>2717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2719</v>
      </c>
      <c r="C618" s="11" t="s">
        <v>2719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2721</v>
      </c>
      <c r="C619" s="11" t="s">
        <v>2721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2723</v>
      </c>
      <c r="C620" s="11" t="s">
        <v>2723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2725</v>
      </c>
      <c r="C621" s="11" t="s">
        <v>2725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2727</v>
      </c>
      <c r="C622" s="11" t="s">
        <v>2727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2729</v>
      </c>
      <c r="C623" s="22" t="s">
        <v>2729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2731</v>
      </c>
      <c r="C624" s="11" t="s">
        <v>2731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2733</v>
      </c>
      <c r="C625" s="11" t="s">
        <v>2733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2735</v>
      </c>
      <c r="C626" s="11" t="s">
        <v>2735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/>
      <c r="B627" s="39" t="s">
        <v>3972</v>
      </c>
      <c r="C627" s="39" t="s">
        <v>3972</v>
      </c>
      <c r="D627" s="2" t="s">
        <v>3697</v>
      </c>
      <c r="E627" s="4"/>
      <c r="F627" s="4"/>
      <c r="G627" s="2"/>
      <c r="H627" s="4"/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2737</v>
      </c>
      <c r="C628" s="11" t="s">
        <v>2737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2739</v>
      </c>
      <c r="C629" s="11" t="s">
        <v>2739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2741</v>
      </c>
      <c r="C630" s="11" t="s">
        <v>2741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2743</v>
      </c>
      <c r="C631" s="11" t="s">
        <v>2743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2745</v>
      </c>
      <c r="C632" s="11" t="s">
        <v>2745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2747</v>
      </c>
      <c r="C633" s="11" t="s">
        <v>2747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2749</v>
      </c>
      <c r="C634" s="11" t="s">
        <v>2749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2751</v>
      </c>
      <c r="C635" s="11" t="s">
        <v>2751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/>
      <c r="B636" s="39" t="s">
        <v>3974</v>
      </c>
      <c r="C636" s="39" t="s">
        <v>3974</v>
      </c>
      <c r="D636" s="2" t="s">
        <v>3697</v>
      </c>
      <c r="E636" s="4"/>
      <c r="F636" s="4"/>
      <c r="G636" s="2"/>
      <c r="H636" s="4"/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2755</v>
      </c>
      <c r="C637" s="11" t="s">
        <v>2755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2757</v>
      </c>
      <c r="C638" s="11" t="s">
        <v>2757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2759</v>
      </c>
      <c r="C639" s="11" t="s">
        <v>2759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998</v>
      </c>
      <c r="H639" s="4" t="str">
        <f>VLOOKUP(Table1113[[#This Row],[نام شخص کارشناس نظارت]],Table1[],3,0)</f>
        <v>کارشناس برق و ابزار دقیق نظارت (2)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2761</v>
      </c>
      <c r="C640" s="11" t="s">
        <v>2761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998</v>
      </c>
      <c r="H640" s="4" t="str">
        <f>VLOOKUP(Table1113[[#This Row],[نام شخص کارشناس نظارت]],Table1[],3,0)</f>
        <v>کارشناس برق و ابزار دقیق نظارت (2)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2763</v>
      </c>
      <c r="C641" s="11" t="s">
        <v>2763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998</v>
      </c>
      <c r="H641" s="4" t="str">
        <f>VLOOKUP(Table1113[[#This Row],[نام شخص کارشناس نظارت]],Table1[],3,0)</f>
        <v>کارشناس برق و ابزار دقیق نظارت (2)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2765</v>
      </c>
      <c r="C642" s="11" t="s">
        <v>2765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998</v>
      </c>
      <c r="H642" s="4" t="str">
        <f>VLOOKUP(Table1113[[#This Row],[نام شخص کارشناس نظارت]],Table1[],3,0)</f>
        <v>کارشناس برق و ابزار دقیق نظارت (2)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2767</v>
      </c>
      <c r="C643" s="11" t="s">
        <v>2767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998</v>
      </c>
      <c r="H643" s="4" t="str">
        <f>VLOOKUP(Table1113[[#This Row],[نام شخص کارشناس نظارت]],Table1[],3,0)</f>
        <v>کارشناس برق و ابزار دقیق نظارت (2)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2769</v>
      </c>
      <c r="C644" s="11" t="s">
        <v>2769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998</v>
      </c>
      <c r="H644" s="4" t="str">
        <f>VLOOKUP(Table1113[[#This Row],[نام شخص کارشناس نظارت]],Table1[],3,0)</f>
        <v>کارشناس برق و ابزار دقیق نظارت (2)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2771</v>
      </c>
      <c r="C645" s="11" t="s">
        <v>2771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998</v>
      </c>
      <c r="H645" s="4" t="str">
        <f>VLOOKUP(Table1113[[#This Row],[نام شخص کارشناس نظارت]],Table1[],3,0)</f>
        <v>کارشناس برق و ابزار دقیق نظارت (2)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2773</v>
      </c>
      <c r="C646" s="11" t="s">
        <v>2773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998</v>
      </c>
      <c r="H646" s="4" t="str">
        <f>VLOOKUP(Table1113[[#This Row],[نام شخص کارشناس نظارت]],Table1[],3,0)</f>
        <v>کارشناس برق و ابزار دقیق نظارت (2)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2775</v>
      </c>
      <c r="C647" s="11" t="s">
        <v>2775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998</v>
      </c>
      <c r="H647" s="4" t="str">
        <f>VLOOKUP(Table1113[[#This Row],[نام شخص کارشناس نظارت]],Table1[],3,0)</f>
        <v>کارشناس برق و ابزار دقیق نظارت (2)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2777</v>
      </c>
      <c r="C648" s="11" t="s">
        <v>2777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998</v>
      </c>
      <c r="H648" s="4" t="str">
        <f>VLOOKUP(Table1113[[#This Row],[نام شخص کارشناس نظارت]],Table1[],3,0)</f>
        <v>کارشناس برق و ابزار دقیق نظارت (2)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2779</v>
      </c>
      <c r="C649" s="11" t="s">
        <v>2779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998</v>
      </c>
      <c r="H649" s="4" t="str">
        <f>VLOOKUP(Table1113[[#This Row],[نام شخص کارشناس نظارت]],Table1[],3,0)</f>
        <v>کارشناس برق و ابزار دقیق نظارت (2)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2781</v>
      </c>
      <c r="C650" s="11" t="s">
        <v>2781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998</v>
      </c>
      <c r="H650" s="4" t="str">
        <f>VLOOKUP(Table1113[[#This Row],[نام شخص کارشناس نظارت]],Table1[],3,0)</f>
        <v>کارشناس برق و ابزار دقیق نظارت (2)</v>
      </c>
      <c r="I650" s="8">
        <f>COUNTIF(Table2[کد سیستم],Table1113[[#This Row],[کد سیستم]])</f>
        <v>1</v>
      </c>
    </row>
    <row r="651" spans="1:9" x14ac:dyDescent="0.25">
      <c r="A651" s="7"/>
      <c r="B651" s="39" t="s">
        <v>3977</v>
      </c>
      <c r="C651" s="39" t="s">
        <v>3977</v>
      </c>
      <c r="D651" s="2" t="s">
        <v>3697</v>
      </c>
      <c r="E651" s="4"/>
      <c r="F651" s="4"/>
      <c r="G651" s="2"/>
      <c r="H651" s="4"/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2783</v>
      </c>
      <c r="C652" s="11" t="s">
        <v>2783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998</v>
      </c>
      <c r="H652" s="4" t="str">
        <f>VLOOKUP(Table1113[[#This Row],[نام شخص کارشناس نظارت]],Table1[],3,0)</f>
        <v>کارشناس برق و ابزار دقیق نظارت (2)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2785</v>
      </c>
      <c r="C653" s="11" t="s">
        <v>2785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998</v>
      </c>
      <c r="H653" s="4" t="str">
        <f>VLOOKUP(Table1113[[#This Row],[نام شخص کارشناس نظارت]],Table1[],3,0)</f>
        <v>کارشناس برق و ابزار دقیق نظارت (2)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2787</v>
      </c>
      <c r="C654" s="11" t="s">
        <v>2787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998</v>
      </c>
      <c r="H654" s="4" t="str">
        <f>VLOOKUP(Table1113[[#This Row],[نام شخص کارشناس نظارت]],Table1[],3,0)</f>
        <v>کارشناس برق و ابزار دقیق نظارت (2)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2789</v>
      </c>
      <c r="C655" s="11" t="s">
        <v>2789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998</v>
      </c>
      <c r="H655" s="4" t="str">
        <f>VLOOKUP(Table1113[[#This Row],[نام شخص کارشناس نظارت]],Table1[],3,0)</f>
        <v>کارشناس برق و ابزار دقیق نظارت (2)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2791</v>
      </c>
      <c r="C656" s="11" t="s">
        <v>2791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998</v>
      </c>
      <c r="H656" s="4" t="str">
        <f>VLOOKUP(Table1113[[#This Row],[نام شخص کارشناس نظارت]],Table1[],3,0)</f>
        <v>کارشناس برق و ابزار دقیق نظارت (2)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2793</v>
      </c>
      <c r="C657" s="11" t="s">
        <v>2793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998</v>
      </c>
      <c r="H657" s="4" t="str">
        <f>VLOOKUP(Table1113[[#This Row],[نام شخص کارشناس نظارت]],Table1[],3,0)</f>
        <v>کارشناس برق و ابزار دقیق نظارت (2)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2795</v>
      </c>
      <c r="C658" s="11" t="s">
        <v>2795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998</v>
      </c>
      <c r="H658" s="4" t="str">
        <f>VLOOKUP(Table1113[[#This Row],[نام شخص کارشناس نظارت]],Table1[],3,0)</f>
        <v>کارشناس برق و ابزار دقیق نظارت (2)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2797</v>
      </c>
      <c r="C659" s="11" t="s">
        <v>2797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998</v>
      </c>
      <c r="H659" s="4" t="str">
        <f>VLOOKUP(Table1113[[#This Row],[نام شخص کارشناس نظارت]],Table1[],3,0)</f>
        <v>کارشناس برق و ابزار دقیق نظارت (2)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2799</v>
      </c>
      <c r="C660" s="11" t="s">
        <v>2799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998</v>
      </c>
      <c r="H660" s="4" t="str">
        <f>VLOOKUP(Table1113[[#This Row],[نام شخص کارشناس نظارت]],Table1[],3,0)</f>
        <v>کارشناس برق و ابزار دقیق نظارت (2)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2801</v>
      </c>
      <c r="C661" s="11" t="s">
        <v>2801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998</v>
      </c>
      <c r="H661" s="4" t="str">
        <f>VLOOKUP(Table1113[[#This Row],[نام شخص کارشناس نظارت]],Table1[],3,0)</f>
        <v>کارشناس برق و ابزار دقیق نظارت (2)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2803</v>
      </c>
      <c r="C662" s="11" t="s">
        <v>2803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998</v>
      </c>
      <c r="H662" s="4" t="str">
        <f>VLOOKUP(Table1113[[#This Row],[نام شخص کارشناس نظارت]],Table1[],3,0)</f>
        <v>کارشناس برق و ابزار دقیق نظارت (2)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2805</v>
      </c>
      <c r="C663" s="22" t="s">
        <v>2805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998</v>
      </c>
      <c r="H663" s="4" t="str">
        <f>VLOOKUP(Table1113[[#This Row],[نام شخص کارشناس نظارت]],Table1[],3,0)</f>
        <v>کارشناس برق و ابزار دقیق نظارت (2)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2809</v>
      </c>
      <c r="C664" s="22" t="s">
        <v>2809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998</v>
      </c>
      <c r="H664" s="4" t="str">
        <f>VLOOKUP(Table1113[[#This Row],[نام شخص کارشناس نظارت]],Table1[],3,0)</f>
        <v>کارشناس برق و ابزار دقیق نظارت (2)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2813</v>
      </c>
      <c r="C665" s="11" t="s">
        <v>2813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998</v>
      </c>
      <c r="H665" s="4" t="str">
        <f>VLOOKUP(Table1113[[#This Row],[نام شخص کارشناس نظارت]],Table1[],3,0)</f>
        <v>کارشناس برق و ابزار دقیق نظارت (2)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2815</v>
      </c>
      <c r="C666" s="11" t="s">
        <v>2815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998</v>
      </c>
      <c r="H666" s="4" t="str">
        <f>VLOOKUP(Table1113[[#This Row],[نام شخص کارشناس نظارت]],Table1[],3,0)</f>
        <v>کارشناس برق و ابزار دقیق نظارت (2)</v>
      </c>
      <c r="I666" s="8">
        <f>COUNTIF(Table2[کد سیستم],Table1113[[#This Row],[کد سیستم]])</f>
        <v>1</v>
      </c>
    </row>
    <row r="667" spans="1:9" x14ac:dyDescent="0.25">
      <c r="A667" s="7">
        <v>649</v>
      </c>
      <c r="B667" s="11" t="s">
        <v>2819</v>
      </c>
      <c r="C667" s="11" t="s">
        <v>2819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650</v>
      </c>
      <c r="B668" s="11" t="s">
        <v>2821</v>
      </c>
      <c r="C668" s="11" t="s">
        <v>2821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651</v>
      </c>
      <c r="B669" s="11" t="s">
        <v>2823</v>
      </c>
      <c r="C669" s="11" t="s">
        <v>2823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652</v>
      </c>
      <c r="B670" s="11" t="s">
        <v>2825</v>
      </c>
      <c r="C670" s="11" t="s">
        <v>2825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653</v>
      </c>
      <c r="B671" s="11" t="s">
        <v>2827</v>
      </c>
      <c r="C671" s="11" t="s">
        <v>2827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654</v>
      </c>
      <c r="B672" s="11" t="s">
        <v>2829</v>
      </c>
      <c r="C672" s="11" t="s">
        <v>2829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656</v>
      </c>
      <c r="B673" s="11" t="s">
        <v>2833</v>
      </c>
      <c r="C673" s="11" t="s">
        <v>2833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657</v>
      </c>
      <c r="B674" s="11" t="s">
        <v>2835</v>
      </c>
      <c r="C674" s="11" t="s">
        <v>2835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658</v>
      </c>
      <c r="B675" s="11" t="s">
        <v>2837</v>
      </c>
      <c r="C675" s="11" t="s">
        <v>2837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659</v>
      </c>
      <c r="B676" s="11" t="s">
        <v>2839</v>
      </c>
      <c r="C676" s="11" t="s">
        <v>2839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661</v>
      </c>
      <c r="B677" s="11" t="s">
        <v>2843</v>
      </c>
      <c r="C677" s="11" t="s">
        <v>2843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662</v>
      </c>
      <c r="B678" s="11" t="s">
        <v>2845</v>
      </c>
      <c r="C678" s="11" t="s">
        <v>2845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663</v>
      </c>
      <c r="B679" s="11" t="s">
        <v>2847</v>
      </c>
      <c r="C679" s="11" t="s">
        <v>2847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664</v>
      </c>
      <c r="B680" s="11" t="s">
        <v>2849</v>
      </c>
      <c r="C680" s="11" t="s">
        <v>2849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665</v>
      </c>
      <c r="B681" s="11" t="s">
        <v>2851</v>
      </c>
      <c r="C681" s="11" t="s">
        <v>2851</v>
      </c>
      <c r="D681" s="2" t="s">
        <v>3697</v>
      </c>
      <c r="E681" s="2" t="s">
        <v>554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x14ac:dyDescent="0.25">
      <c r="A682" s="7">
        <v>666</v>
      </c>
      <c r="B682" s="11" t="s">
        <v>2853</v>
      </c>
      <c r="C682" s="11" t="s">
        <v>2853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1168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x14ac:dyDescent="0.25">
      <c r="A683" s="7">
        <v>667</v>
      </c>
      <c r="B683" s="11" t="s">
        <v>2855</v>
      </c>
      <c r="C683" s="11" t="s">
        <v>2855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1168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x14ac:dyDescent="0.25">
      <c r="A684" s="7">
        <v>668</v>
      </c>
      <c r="B684" s="11" t="s">
        <v>2857</v>
      </c>
      <c r="C684" s="11" t="s">
        <v>2857</v>
      </c>
      <c r="D684" s="2" t="s">
        <v>3697</v>
      </c>
      <c r="E684" s="2" t="s">
        <v>554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1168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x14ac:dyDescent="0.25">
      <c r="A685" s="7">
        <v>669</v>
      </c>
      <c r="B685" s="11" t="s">
        <v>2859</v>
      </c>
      <c r="C685" s="11" t="s">
        <v>2859</v>
      </c>
      <c r="D685" s="2" t="s">
        <v>3697</v>
      </c>
      <c r="E685" s="2" t="s">
        <v>554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1168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x14ac:dyDescent="0.25">
      <c r="A686" s="7">
        <v>670</v>
      </c>
      <c r="B686" s="11" t="s">
        <v>2861</v>
      </c>
      <c r="C686" s="11" t="s">
        <v>2861</v>
      </c>
      <c r="D686" s="2" t="s">
        <v>3697</v>
      </c>
      <c r="E686" s="2" t="s">
        <v>554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1168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x14ac:dyDescent="0.25">
      <c r="A687" s="7">
        <v>672</v>
      </c>
      <c r="B687" s="11" t="s">
        <v>2865</v>
      </c>
      <c r="C687" s="11" t="s">
        <v>2865</v>
      </c>
      <c r="D687" s="2" t="s">
        <v>3697</v>
      </c>
      <c r="E687" s="2" t="s">
        <v>554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1168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x14ac:dyDescent="0.25">
      <c r="A688" s="7">
        <v>673</v>
      </c>
      <c r="B688" s="11" t="s">
        <v>2867</v>
      </c>
      <c r="C688" s="11" t="s">
        <v>2867</v>
      </c>
      <c r="D688" s="2" t="s">
        <v>3697</v>
      </c>
      <c r="E688" s="2" t="s">
        <v>554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1168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x14ac:dyDescent="0.25">
      <c r="A689" s="7">
        <v>674</v>
      </c>
      <c r="B689" s="11" t="s">
        <v>2869</v>
      </c>
      <c r="C689" s="11" t="s">
        <v>2869</v>
      </c>
      <c r="D689" s="2" t="s">
        <v>3697</v>
      </c>
      <c r="E689" s="2" t="s">
        <v>554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1168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x14ac:dyDescent="0.25">
      <c r="A690" s="7"/>
      <c r="B690" s="39" t="s">
        <v>3986</v>
      </c>
      <c r="C690" s="39" t="s">
        <v>3986</v>
      </c>
      <c r="D690" s="2" t="s">
        <v>3697</v>
      </c>
      <c r="E690" s="4"/>
      <c r="F690" s="4"/>
      <c r="G690" s="2"/>
      <c r="H690" s="4"/>
      <c r="I690" s="8">
        <f>COUNTIF(Table2[کد سیستم],Table1113[[#This Row],[کد سیستم]])</f>
        <v>1</v>
      </c>
    </row>
    <row r="691" spans="1:9" x14ac:dyDescent="0.25">
      <c r="A691" s="7">
        <v>677</v>
      </c>
      <c r="B691" s="11" t="s">
        <v>2873</v>
      </c>
      <c r="C691" s="11" t="s">
        <v>2873</v>
      </c>
      <c r="D691" s="2" t="s">
        <v>3697</v>
      </c>
      <c r="E691" s="2" t="s">
        <v>554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1168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x14ac:dyDescent="0.25">
      <c r="A692" s="7">
        <v>678</v>
      </c>
      <c r="B692" s="11" t="s">
        <v>2875</v>
      </c>
      <c r="C692" s="11" t="s">
        <v>2875</v>
      </c>
      <c r="D692" s="2" t="s">
        <v>3697</v>
      </c>
      <c r="E692" s="2" t="s">
        <v>554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1168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x14ac:dyDescent="0.25">
      <c r="A693" s="7">
        <v>679</v>
      </c>
      <c r="B693" s="11" t="s">
        <v>2877</v>
      </c>
      <c r="C693" s="11" t="s">
        <v>2877</v>
      </c>
      <c r="D693" s="2" t="s">
        <v>3697</v>
      </c>
      <c r="E693" s="2" t="s">
        <v>554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1168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x14ac:dyDescent="0.25">
      <c r="A694" s="7">
        <v>680</v>
      </c>
      <c r="B694" s="11" t="s">
        <v>2879</v>
      </c>
      <c r="C694" s="11" t="s">
        <v>2879</v>
      </c>
      <c r="D694" s="2" t="s">
        <v>3697</v>
      </c>
      <c r="E694" s="2" t="s">
        <v>554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1168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x14ac:dyDescent="0.25">
      <c r="A695" s="7">
        <v>681</v>
      </c>
      <c r="B695" s="11" t="s">
        <v>2881</v>
      </c>
      <c r="C695" s="11" t="s">
        <v>2881</v>
      </c>
      <c r="D695" s="2" t="s">
        <v>3697</v>
      </c>
      <c r="E695" s="2" t="s">
        <v>554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1168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x14ac:dyDescent="0.25">
      <c r="A696" s="7">
        <v>682</v>
      </c>
      <c r="B696" s="11" t="s">
        <v>2883</v>
      </c>
      <c r="C696" s="11" t="s">
        <v>2883</v>
      </c>
      <c r="D696" s="2" t="s">
        <v>3697</v>
      </c>
      <c r="E696" s="2" t="s">
        <v>554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1168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x14ac:dyDescent="0.25">
      <c r="A697" s="7">
        <v>683</v>
      </c>
      <c r="B697" s="11" t="s">
        <v>2885</v>
      </c>
      <c r="C697" s="11" t="s">
        <v>2885</v>
      </c>
      <c r="D697" s="2" t="s">
        <v>3697</v>
      </c>
      <c r="E697" s="2" t="s">
        <v>554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1168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x14ac:dyDescent="0.25">
      <c r="A698" s="7">
        <v>684</v>
      </c>
      <c r="B698" s="11" t="s">
        <v>2887</v>
      </c>
      <c r="C698" s="11" t="s">
        <v>2887</v>
      </c>
      <c r="D698" s="2" t="s">
        <v>3697</v>
      </c>
      <c r="E698" s="2" t="s">
        <v>554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1168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x14ac:dyDescent="0.25">
      <c r="A699" s="7">
        <v>685</v>
      </c>
      <c r="B699" s="11" t="s">
        <v>2889</v>
      </c>
      <c r="C699" s="11" t="s">
        <v>2889</v>
      </c>
      <c r="D699" s="2" t="s">
        <v>3697</v>
      </c>
      <c r="E699" s="2" t="s">
        <v>554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1168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x14ac:dyDescent="0.25">
      <c r="A700" s="7">
        <v>686</v>
      </c>
      <c r="B700" s="11" t="s">
        <v>2891</v>
      </c>
      <c r="C700" s="22" t="s">
        <v>2891</v>
      </c>
      <c r="D700" s="2" t="s">
        <v>3697</v>
      </c>
      <c r="E700" s="2" t="s">
        <v>554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1168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x14ac:dyDescent="0.25">
      <c r="A701" s="7">
        <v>687</v>
      </c>
      <c r="B701" s="11" t="s">
        <v>2893</v>
      </c>
      <c r="C701" s="11" t="s">
        <v>2893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688</v>
      </c>
      <c r="B702" s="11" t="s">
        <v>2895</v>
      </c>
      <c r="C702" s="11" t="s">
        <v>2895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x14ac:dyDescent="0.25">
      <c r="A703" s="7">
        <v>689</v>
      </c>
      <c r="B703" s="11" t="s">
        <v>2897</v>
      </c>
      <c r="C703" s="11" t="s">
        <v>2897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1168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x14ac:dyDescent="0.25">
      <c r="A704" s="7">
        <v>690</v>
      </c>
      <c r="B704" s="11" t="s">
        <v>2899</v>
      </c>
      <c r="C704" s="11" t="s">
        <v>2899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1168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/>
      <c r="B705" s="39" t="s">
        <v>2999</v>
      </c>
      <c r="C705" s="39" t="s">
        <v>3000</v>
      </c>
      <c r="D705" s="2" t="s">
        <v>3697</v>
      </c>
      <c r="E705" s="4"/>
      <c r="F705" s="4"/>
      <c r="G705" s="2"/>
      <c r="H705" s="4"/>
      <c r="I705" s="8">
        <f>COUNTIF(Table2[کد سیستم],Table1113[[#This Row],[کد سیستم]])</f>
        <v>1</v>
      </c>
    </row>
    <row r="706" spans="1:9" x14ac:dyDescent="0.25">
      <c r="A706" s="7">
        <v>702</v>
      </c>
      <c r="B706" s="11" t="s">
        <v>2921</v>
      </c>
      <c r="C706" s="11">
        <v>610</v>
      </c>
      <c r="D706" s="2" t="s">
        <v>3697</v>
      </c>
      <c r="E706" s="2" t="s">
        <v>393</v>
      </c>
      <c r="F706" s="2" t="str">
        <f>VLOOKUP(Table1113[[#This Row],[نام کارشناس دفتر فنی]],Table1[],3,0)</f>
        <v>کارشناس بازرسی وبرنامه ریزی تعمیرات برق وابزاردقیق(1)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/>
      <c r="B707" s="39" t="s">
        <v>2919</v>
      </c>
      <c r="C707" s="39" t="s">
        <v>3998</v>
      </c>
      <c r="D707" s="2" t="s">
        <v>3697</v>
      </c>
      <c r="E707" s="4"/>
      <c r="F707" s="4"/>
      <c r="G707" s="2"/>
      <c r="H707" s="4"/>
      <c r="I707" s="8">
        <f>COUNTIF(Table2[کد سیستم],Table1113[[#This Row],[کد سیستم]])</f>
        <v>1</v>
      </c>
    </row>
    <row r="708" spans="1:9" x14ac:dyDescent="0.25">
      <c r="A708" s="7">
        <v>695</v>
      </c>
      <c r="B708" s="11" t="s">
        <v>2909</v>
      </c>
      <c r="C708" s="11">
        <v>310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/>
      <c r="B709" s="39" t="s">
        <v>2907</v>
      </c>
      <c r="C709" s="39" t="s">
        <v>3991</v>
      </c>
      <c r="D709" s="2" t="s">
        <v>3697</v>
      </c>
      <c r="E709" s="4"/>
      <c r="F709" s="4"/>
      <c r="G709" s="2"/>
      <c r="H709" s="4"/>
      <c r="I709" s="8">
        <f>COUNTIF(Table2[کد سیستم],Table1113[[#This Row],[کد سیستم]])</f>
        <v>1</v>
      </c>
    </row>
    <row r="710" spans="1:9" x14ac:dyDescent="0.25">
      <c r="A710" s="7">
        <v>699</v>
      </c>
      <c r="B710" s="11" t="s">
        <v>2915</v>
      </c>
      <c r="C710" s="11">
        <v>510</v>
      </c>
      <c r="D710" s="2" t="s">
        <v>3697</v>
      </c>
      <c r="E710" s="2" t="s">
        <v>393</v>
      </c>
      <c r="F710" s="2" t="str">
        <f>VLOOKUP(Table1113[[#This Row],[نام کارشناس دفتر فنی]],Table1[],3,0)</f>
        <v>کارشناس بازرسی وبرنامه ریزی تعمیرات برق وابزاردقیق(1)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721</v>
      </c>
      <c r="B711" s="22" t="s">
        <v>3774</v>
      </c>
      <c r="C711" s="11" t="s">
        <v>3774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1168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722</v>
      </c>
      <c r="B712" s="22" t="s">
        <v>3775</v>
      </c>
      <c r="C712" s="11" t="s">
        <v>3775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727</v>
      </c>
      <c r="B713" s="11" t="s">
        <v>2972</v>
      </c>
      <c r="C713" s="22" t="s">
        <v>2972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731</v>
      </c>
      <c r="B714" s="22" t="s">
        <v>2984</v>
      </c>
      <c r="C714" s="11" t="s">
        <v>2984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732</v>
      </c>
      <c r="B715" s="11" t="s">
        <v>2986</v>
      </c>
      <c r="C715" s="11" t="s">
        <v>2986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998</v>
      </c>
      <c r="H715" s="4" t="str">
        <f>VLOOKUP(Table1113[[#This Row],[نام شخص کارشناس نظارت]],Table1[],3,0)</f>
        <v>کارشناس برق و ابزار دقیق نظارت (2)</v>
      </c>
      <c r="I715" s="8">
        <f>COUNTIF(Table2[کد سیستم],Table1113[[#This Row],[کد سیستم]])</f>
        <v>1</v>
      </c>
    </row>
    <row r="716" spans="1:9" x14ac:dyDescent="0.25">
      <c r="A716" s="7">
        <v>733</v>
      </c>
      <c r="B716" s="11" t="s">
        <v>2988</v>
      </c>
      <c r="C716" s="22" t="s">
        <v>2988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998</v>
      </c>
      <c r="H716" s="4" t="str">
        <f>VLOOKUP(Table1113[[#This Row],[نام شخص کارشناس نظارت]],Table1[],3,0)</f>
        <v>کارشناس برق و ابزار دقیق نظارت (2)</v>
      </c>
      <c r="I716" s="8">
        <f>COUNTIF(Table2[کد سیستم],Table1113[[#This Row],[کد سیستم]])</f>
        <v>1</v>
      </c>
    </row>
    <row r="717" spans="1:9" x14ac:dyDescent="0.25">
      <c r="A717" s="7">
        <v>737</v>
      </c>
      <c r="B717" s="22" t="s">
        <v>3779</v>
      </c>
      <c r="C717" s="11" t="s">
        <v>3779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1168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/>
      <c r="B718" s="39" t="s">
        <v>4016</v>
      </c>
      <c r="C718" s="39" t="s">
        <v>4016</v>
      </c>
      <c r="D718" s="2" t="s">
        <v>3697</v>
      </c>
      <c r="E718" s="4"/>
      <c r="F718" s="4"/>
      <c r="G718" s="2"/>
      <c r="H718" s="4"/>
      <c r="I718" s="8">
        <f>COUNTIF(Table2[کد سیستم],Table1113[[#This Row],[کد سیستم]])</f>
        <v>1</v>
      </c>
    </row>
    <row r="719" spans="1:9" x14ac:dyDescent="0.25">
      <c r="A719" s="7">
        <v>741</v>
      </c>
      <c r="B719" s="22" t="s">
        <v>3005</v>
      </c>
      <c r="C719" s="11" t="s">
        <v>3005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742</v>
      </c>
      <c r="B720" s="22" t="s">
        <v>3007</v>
      </c>
      <c r="C720" s="11" t="s">
        <v>3007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998</v>
      </c>
      <c r="H724" s="4" t="str">
        <f>VLOOKUP(Table1113[[#This Row],[نام شخص کارشناس نظارت]],Table1[],3,0)</f>
        <v>کارشناس برق و ابزار دقیق نظارت (2)</v>
      </c>
      <c r="I724" s="8">
        <f>COUNTIF(Table2[کد سیستم],Table1113[[#This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1168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9" t="s">
        <v>4018</v>
      </c>
      <c r="C726" s="39" t="s">
        <v>4018</v>
      </c>
      <c r="D726" s="2" t="s">
        <v>3697</v>
      </c>
      <c r="E726" s="4"/>
      <c r="F726" s="4"/>
      <c r="G726" s="2"/>
      <c r="H726" s="4"/>
      <c r="I726" s="8">
        <f>COUNTIF(Table2[کد سیستم],Table1113[[#This Row],[کد سیستم]])</f>
        <v>1</v>
      </c>
    </row>
    <row r="727" spans="1:9" x14ac:dyDescent="0.25">
      <c r="A727" s="7"/>
      <c r="B727" s="39" t="s">
        <v>4020</v>
      </c>
      <c r="C727" s="39" t="s">
        <v>4020</v>
      </c>
      <c r="D727" s="2" t="s">
        <v>3697</v>
      </c>
      <c r="E727" s="4"/>
      <c r="F727" s="4"/>
      <c r="G727" s="2"/>
      <c r="H727" s="4"/>
      <c r="I727" s="8">
        <f>COUNTIF(Table2[کد سیستم],Table1113[[#This Row],[کد سیستم]])</f>
        <v>1</v>
      </c>
    </row>
    <row r="728" spans="1:9" x14ac:dyDescent="0.25">
      <c r="A728" s="7"/>
      <c r="B728" s="39" t="s">
        <v>4022</v>
      </c>
      <c r="C728" s="39" t="s">
        <v>4022</v>
      </c>
      <c r="D728" s="2" t="s">
        <v>3697</v>
      </c>
      <c r="E728" s="4"/>
      <c r="F728" s="4"/>
      <c r="G728" s="2"/>
      <c r="H728" s="4"/>
      <c r="I728" s="8">
        <f>COUNTIF(Table2[کد سیستم],Table1113[[#This Row],[کد سیستم]])</f>
        <v>1</v>
      </c>
    </row>
    <row r="729" spans="1:9" x14ac:dyDescent="0.25">
      <c r="A729" s="7"/>
      <c r="B729" s="39" t="s">
        <v>4024</v>
      </c>
      <c r="C729" s="39" t="s">
        <v>4024</v>
      </c>
      <c r="D729" s="2" t="s">
        <v>3697</v>
      </c>
      <c r="E729" s="4"/>
      <c r="F729" s="4"/>
      <c r="G729" s="2"/>
      <c r="H729" s="4"/>
      <c r="I729" s="8">
        <f>COUNTIF(Table2[کد سیستم],Table1113[[#This Row],[کد سیستم]])</f>
        <v>1</v>
      </c>
    </row>
    <row r="730" spans="1:9" x14ac:dyDescent="0.25">
      <c r="A730" s="7"/>
      <c r="B730" s="39" t="s">
        <v>4026</v>
      </c>
      <c r="C730" s="39" t="s">
        <v>4026</v>
      </c>
      <c r="D730" s="2" t="s">
        <v>3697</v>
      </c>
      <c r="E730" s="4"/>
      <c r="F730" s="4"/>
      <c r="G730" s="2"/>
      <c r="H730" s="4"/>
      <c r="I730" s="8">
        <f>COUNTIF(Table2[کد سیستم],Table1113[[#This Row],[کد سیستم]])</f>
        <v>1</v>
      </c>
    </row>
    <row r="731" spans="1:9" x14ac:dyDescent="0.25">
      <c r="A731" s="7"/>
      <c r="B731" s="39" t="s">
        <v>4028</v>
      </c>
      <c r="C731" s="39" t="s">
        <v>4028</v>
      </c>
      <c r="D731" s="2" t="s">
        <v>3697</v>
      </c>
      <c r="E731" s="4"/>
      <c r="F731" s="4"/>
      <c r="G731" s="2"/>
      <c r="H731" s="4"/>
      <c r="I731" s="8">
        <f>COUNTIF(Table2[کد سیستم],Table1113[[#This Row],[کد سیستم]])</f>
        <v>1</v>
      </c>
    </row>
    <row r="732" spans="1:9" x14ac:dyDescent="0.25">
      <c r="A732" s="7">
        <v>753</v>
      </c>
      <c r="B732" s="11" t="s">
        <v>3025</v>
      </c>
      <c r="C732" s="11" t="s">
        <v>3025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754</v>
      </c>
      <c r="B733" s="11" t="s">
        <v>3027</v>
      </c>
      <c r="C733" s="11" t="s">
        <v>3027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755</v>
      </c>
      <c r="B734" s="11" t="s">
        <v>3029</v>
      </c>
      <c r="C734" s="11" t="s">
        <v>3029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757</v>
      </c>
      <c r="B735" s="11" t="s">
        <v>3034</v>
      </c>
      <c r="C735" s="11" t="s">
        <v>3034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758</v>
      </c>
      <c r="B736" s="11" t="s">
        <v>3036</v>
      </c>
      <c r="C736" s="11" t="s">
        <v>3036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760</v>
      </c>
      <c r="B737" s="11" t="s">
        <v>3041</v>
      </c>
      <c r="C737" s="11" t="s">
        <v>3041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761</v>
      </c>
      <c r="B738" s="11" t="s">
        <v>3043</v>
      </c>
      <c r="C738" s="11" t="s">
        <v>3043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762</v>
      </c>
      <c r="B739" s="11" t="s">
        <v>3045</v>
      </c>
      <c r="C739" s="11" t="s">
        <v>3045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763</v>
      </c>
      <c r="B740" s="11" t="s">
        <v>3047</v>
      </c>
      <c r="C740" s="11" t="s">
        <v>3047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764</v>
      </c>
      <c r="B741" s="11" t="s">
        <v>3049</v>
      </c>
      <c r="C741" s="11" t="s">
        <v>3049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765</v>
      </c>
      <c r="B742" s="11" t="s">
        <v>3051</v>
      </c>
      <c r="C742" s="11" t="s">
        <v>3051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766</v>
      </c>
      <c r="B743" s="11" t="s">
        <v>3053</v>
      </c>
      <c r="C743" s="11" t="s">
        <v>3053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767</v>
      </c>
      <c r="B744" s="11" t="s">
        <v>3055</v>
      </c>
      <c r="C744" s="11" t="s">
        <v>3055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768</v>
      </c>
      <c r="B745" s="11" t="s">
        <v>3057</v>
      </c>
      <c r="C745" s="11" t="s">
        <v>3057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769</v>
      </c>
      <c r="B746" s="11" t="s">
        <v>3059</v>
      </c>
      <c r="C746" s="11" t="s">
        <v>3059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770</v>
      </c>
      <c r="B747" s="11" t="s">
        <v>3061</v>
      </c>
      <c r="C747" s="11" t="s">
        <v>3061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771</v>
      </c>
      <c r="B748" s="11" t="s">
        <v>3063</v>
      </c>
      <c r="C748" s="11" t="s">
        <v>3063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772</v>
      </c>
      <c r="B749" s="11" t="s">
        <v>3065</v>
      </c>
      <c r="C749" s="11" t="s">
        <v>3065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773</v>
      </c>
      <c r="B750" s="11" t="s">
        <v>3067</v>
      </c>
      <c r="C750" s="11" t="s">
        <v>3067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774</v>
      </c>
      <c r="B751" s="11" t="s">
        <v>3069</v>
      </c>
      <c r="C751" s="11" t="s">
        <v>3069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775</v>
      </c>
      <c r="B752" s="11" t="s">
        <v>3071</v>
      </c>
      <c r="C752" s="11" t="s">
        <v>3071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776</v>
      </c>
      <c r="B753" s="11" t="s">
        <v>3073</v>
      </c>
      <c r="C753" s="11" t="s">
        <v>3073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777</v>
      </c>
      <c r="B754" s="11" t="s">
        <v>3075</v>
      </c>
      <c r="C754" s="11" t="s">
        <v>3075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778</v>
      </c>
      <c r="B755" s="11" t="s">
        <v>3077</v>
      </c>
      <c r="C755" s="11" t="s">
        <v>3077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779</v>
      </c>
      <c r="B756" s="11" t="s">
        <v>3079</v>
      </c>
      <c r="C756" s="11" t="s">
        <v>3079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780</v>
      </c>
      <c r="B757" s="11" t="s">
        <v>3081</v>
      </c>
      <c r="C757" s="11" t="s">
        <v>3081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781</v>
      </c>
      <c r="B758" s="11" t="s">
        <v>3083</v>
      </c>
      <c r="C758" s="11" t="s">
        <v>3083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782</v>
      </c>
      <c r="B759" s="11" t="s">
        <v>3085</v>
      </c>
      <c r="C759" s="11" t="s">
        <v>3085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783</v>
      </c>
      <c r="B760" s="11" t="s">
        <v>3087</v>
      </c>
      <c r="C760" s="11" t="s">
        <v>3087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784</v>
      </c>
      <c r="B761" s="11" t="s">
        <v>3089</v>
      </c>
      <c r="C761" s="11" t="s">
        <v>3089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785</v>
      </c>
      <c r="B762" s="11" t="s">
        <v>3091</v>
      </c>
      <c r="C762" s="11" t="s">
        <v>3091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786</v>
      </c>
      <c r="B763" s="11" t="s">
        <v>3093</v>
      </c>
      <c r="C763" s="11" t="s">
        <v>3093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787</v>
      </c>
      <c r="B764" s="11" t="s">
        <v>3095</v>
      </c>
      <c r="C764" s="11" t="s">
        <v>3095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788</v>
      </c>
      <c r="B765" s="11" t="s">
        <v>3097</v>
      </c>
      <c r="C765" s="11" t="s">
        <v>3097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789</v>
      </c>
      <c r="B766" s="11" t="s">
        <v>3099</v>
      </c>
      <c r="C766" s="11" t="s">
        <v>3099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790</v>
      </c>
      <c r="B767" s="11" t="s">
        <v>3101</v>
      </c>
      <c r="C767" s="11" t="s">
        <v>3101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791</v>
      </c>
      <c r="B768" s="11" t="s">
        <v>3103</v>
      </c>
      <c r="C768" s="11" t="s">
        <v>3103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792</v>
      </c>
      <c r="B769" s="11" t="s">
        <v>3105</v>
      </c>
      <c r="C769" s="11" t="s">
        <v>3105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793</v>
      </c>
      <c r="B770" s="11" t="s">
        <v>3107</v>
      </c>
      <c r="C770" s="11" t="s">
        <v>3107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794</v>
      </c>
      <c r="B771" s="11" t="s">
        <v>3109</v>
      </c>
      <c r="C771" s="11" t="s">
        <v>3109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795</v>
      </c>
      <c r="B772" s="11" t="s">
        <v>3111</v>
      </c>
      <c r="C772" s="11" t="s">
        <v>3111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796</v>
      </c>
      <c r="B773" s="11" t="s">
        <v>3113</v>
      </c>
      <c r="C773" s="11" t="s">
        <v>3113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797</v>
      </c>
      <c r="B774" s="11" t="s">
        <v>3115</v>
      </c>
      <c r="C774" s="11" t="s">
        <v>3115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798</v>
      </c>
      <c r="B775" s="11" t="s">
        <v>3117</v>
      </c>
      <c r="C775" s="11" t="s">
        <v>3117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799</v>
      </c>
      <c r="B776" s="11" t="s">
        <v>3119</v>
      </c>
      <c r="C776" s="11" t="s">
        <v>3119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800</v>
      </c>
      <c r="B777" s="11" t="s">
        <v>3121</v>
      </c>
      <c r="C777" s="11" t="s">
        <v>3121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801</v>
      </c>
      <c r="B778" s="11" t="s">
        <v>3123</v>
      </c>
      <c r="C778" s="11" t="s">
        <v>3123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802</v>
      </c>
      <c r="B779" s="11" t="s">
        <v>3125</v>
      </c>
      <c r="C779" s="11" t="s">
        <v>3125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803</v>
      </c>
      <c r="B780" s="11" t="s">
        <v>3127</v>
      </c>
      <c r="C780" s="11" t="s">
        <v>3127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804</v>
      </c>
      <c r="B781" s="11" t="s">
        <v>3129</v>
      </c>
      <c r="C781" s="11" t="s">
        <v>3129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805</v>
      </c>
      <c r="B782" s="11" t="s">
        <v>3131</v>
      </c>
      <c r="C782" s="11" t="s">
        <v>3131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806</v>
      </c>
      <c r="B783" s="11" t="s">
        <v>3133</v>
      </c>
      <c r="C783" s="11" t="s">
        <v>3133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807</v>
      </c>
      <c r="B784" s="11" t="s">
        <v>3135</v>
      </c>
      <c r="C784" s="11" t="s">
        <v>3135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808</v>
      </c>
      <c r="B785" s="11" t="s">
        <v>3137</v>
      </c>
      <c r="C785" s="11" t="s">
        <v>3137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809</v>
      </c>
      <c r="B786" s="11" t="s">
        <v>3139</v>
      </c>
      <c r="C786" s="11" t="s">
        <v>3139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810</v>
      </c>
      <c r="B787" s="11" t="s">
        <v>3141</v>
      </c>
      <c r="C787" s="11" t="s">
        <v>3141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811</v>
      </c>
      <c r="B788" s="11" t="s">
        <v>3143</v>
      </c>
      <c r="C788" s="11" t="s">
        <v>3143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812</v>
      </c>
      <c r="B789" s="11" t="s">
        <v>3145</v>
      </c>
      <c r="C789" s="11" t="s">
        <v>3145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813</v>
      </c>
      <c r="B790" s="11" t="s">
        <v>3147</v>
      </c>
      <c r="C790" s="11" t="s">
        <v>3147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814</v>
      </c>
      <c r="B791" s="11" t="s">
        <v>3149</v>
      </c>
      <c r="C791" s="11" t="s">
        <v>3149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815</v>
      </c>
      <c r="B792" s="11" t="s">
        <v>3151</v>
      </c>
      <c r="C792" s="11" t="s">
        <v>3151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816</v>
      </c>
      <c r="B793" s="11" t="s">
        <v>3153</v>
      </c>
      <c r="C793" s="11" t="s">
        <v>3153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817</v>
      </c>
      <c r="B794" s="11" t="s">
        <v>3155</v>
      </c>
      <c r="C794" s="11" t="s">
        <v>3155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818</v>
      </c>
      <c r="B795" s="11" t="s">
        <v>3157</v>
      </c>
      <c r="C795" s="11" t="s">
        <v>3157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819</v>
      </c>
      <c r="B796" s="11" t="s">
        <v>3159</v>
      </c>
      <c r="C796" s="11" t="s">
        <v>3159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820</v>
      </c>
      <c r="B797" s="11" t="s">
        <v>3161</v>
      </c>
      <c r="C797" s="11" t="s">
        <v>3161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821</v>
      </c>
      <c r="B798" s="11" t="s">
        <v>3163</v>
      </c>
      <c r="C798" s="11" t="s">
        <v>3163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822</v>
      </c>
      <c r="B799" s="11" t="s">
        <v>3165</v>
      </c>
      <c r="C799" s="11" t="s">
        <v>3165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823</v>
      </c>
      <c r="B800" s="11" t="s">
        <v>3167</v>
      </c>
      <c r="C800" s="11" t="s">
        <v>3167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824</v>
      </c>
      <c r="B801" s="11" t="s">
        <v>3169</v>
      </c>
      <c r="C801" s="11" t="s">
        <v>3169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825</v>
      </c>
      <c r="B802" s="11" t="s">
        <v>3171</v>
      </c>
      <c r="C802" s="11" t="s">
        <v>3171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826</v>
      </c>
      <c r="B803" s="11" t="s">
        <v>3173</v>
      </c>
      <c r="C803" s="11" t="s">
        <v>3173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827</v>
      </c>
      <c r="B804" s="11" t="s">
        <v>3175</v>
      </c>
      <c r="C804" s="11" t="s">
        <v>3175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828</v>
      </c>
      <c r="B805" s="11" t="s">
        <v>3177</v>
      </c>
      <c r="C805" s="11" t="s">
        <v>3177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829</v>
      </c>
      <c r="B806" s="11" t="s">
        <v>3179</v>
      </c>
      <c r="C806" s="11" t="s">
        <v>3179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830</v>
      </c>
      <c r="B807" s="11" t="s">
        <v>3181</v>
      </c>
      <c r="C807" s="11" t="s">
        <v>3181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831</v>
      </c>
      <c r="B808" s="11" t="s">
        <v>3183</v>
      </c>
      <c r="C808" s="11" t="s">
        <v>3183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832</v>
      </c>
      <c r="B809" s="11" t="s">
        <v>3185</v>
      </c>
      <c r="C809" s="11" t="s">
        <v>3185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833</v>
      </c>
      <c r="B810" s="11" t="s">
        <v>3187</v>
      </c>
      <c r="C810" s="11" t="s">
        <v>3187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834</v>
      </c>
      <c r="B811" s="11" t="s">
        <v>3189</v>
      </c>
      <c r="C811" s="11" t="s">
        <v>3189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835</v>
      </c>
      <c r="B812" s="11" t="s">
        <v>3191</v>
      </c>
      <c r="C812" s="11" t="s">
        <v>3191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836</v>
      </c>
      <c r="B813" s="11" t="s">
        <v>3193</v>
      </c>
      <c r="C813" s="11" t="s">
        <v>3193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837</v>
      </c>
      <c r="B814" s="11" t="s">
        <v>3195</v>
      </c>
      <c r="C814" s="11" t="s">
        <v>3195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3697</v>
      </c>
      <c r="E819" s="2" t="s">
        <v>554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3697</v>
      </c>
      <c r="E820" s="2" t="s">
        <v>554</v>
      </c>
      <c r="F820" s="2" t="str">
        <f>VLOOKUP(Table1113[[#This Row],[نام کارشناس دفتر فنی]],Table1[],3,0)</f>
        <v>کارشناس کالیبراسیون و برنامه ریزی تعمیرات برق وابزاردقیق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725</v>
      </c>
      <c r="B821" s="11" t="s">
        <v>2966</v>
      </c>
      <c r="C821" s="11" t="s">
        <v>2967</v>
      </c>
      <c r="D821" s="2" t="s">
        <v>3697</v>
      </c>
      <c r="E821" s="2" t="s">
        <v>554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756</v>
      </c>
      <c r="B822" s="11" t="s">
        <v>3031</v>
      </c>
      <c r="C822" s="11" t="s">
        <v>3032</v>
      </c>
      <c r="D822" s="2" t="s">
        <v>3697</v>
      </c>
      <c r="E822" s="2" t="s">
        <v>554</v>
      </c>
      <c r="F822" s="2" t="str">
        <f>VLOOKUP(Table1113[[#This Row],[نام کارشناس دفتر فنی]],Table1[],3,0)</f>
        <v>کارشناس کالیبراسیون و برنامه ریزی تعمیرات برق وابزاردقیق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712</v>
      </c>
      <c r="B823" s="11" t="s">
        <v>2941</v>
      </c>
      <c r="C823" s="11">
        <v>830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561</v>
      </c>
      <c r="B824" s="11" t="s">
        <v>2646</v>
      </c>
      <c r="C824" s="11">
        <v>1350</v>
      </c>
      <c r="D824" s="2" t="s">
        <v>3697</v>
      </c>
      <c r="E824" s="2" t="s">
        <v>554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502</v>
      </c>
      <c r="B825" s="11" t="s">
        <v>2530</v>
      </c>
      <c r="C825" s="11">
        <v>110</v>
      </c>
      <c r="D825" s="2" t="s">
        <v>3697</v>
      </c>
      <c r="E825" s="2" t="s">
        <v>566</v>
      </c>
      <c r="F825" s="2" t="str">
        <f>VLOOKUP(Table1113[[#This Row],[نام کارشناس دفتر فنی]],Table1[],3,0)</f>
        <v>کارشناس بازرسی وبرنامه ریزی تعمیرات برق وابزاردقیق(2)</v>
      </c>
      <c r="G825" s="2" t="s">
        <v>998</v>
      </c>
      <c r="H825" s="4" t="str">
        <f>VLOOKUP(Table1113[[#This Row],[نام شخص کارشناس نظارت]],Table1[],3,0)</f>
        <v>کارشناس برق و ابزار دقیق نظارت (2)</v>
      </c>
      <c r="I825" s="8">
        <f>COUNTIF(Table2[کد سیستم],Table1113[[#This Row],[کد سیستم]])</f>
        <v>1</v>
      </c>
    </row>
    <row r="826" spans="1:9" x14ac:dyDescent="0.25">
      <c r="A826" s="7"/>
      <c r="B826" s="39" t="s">
        <v>2478</v>
      </c>
      <c r="C826" s="39" t="s">
        <v>3916</v>
      </c>
      <c r="D826" s="2" t="s">
        <v>3697</v>
      </c>
      <c r="E826" s="4"/>
      <c r="F826" s="4"/>
      <c r="G826" s="2"/>
      <c r="H826" s="4"/>
      <c r="I826" s="8">
        <f>COUNTIF(Table2[کد سیستم],Table1113[[#This Row],[کد سیستم]])</f>
        <v>1</v>
      </c>
    </row>
    <row r="827" spans="1:9" x14ac:dyDescent="0.25">
      <c r="A827" s="7">
        <v>507</v>
      </c>
      <c r="B827" s="11" t="s">
        <v>2538</v>
      </c>
      <c r="C827" s="11">
        <v>120</v>
      </c>
      <c r="D827" s="2" t="s">
        <v>3697</v>
      </c>
      <c r="E827" s="2" t="s">
        <v>566</v>
      </c>
      <c r="F827" s="2" t="str">
        <f>VLOOKUP(Table1113[[#This Row],[نام کارشناس دفتر فنی]],Table1[],3,0)</f>
        <v>کارشناس بازرسی وبرنامه ریزی تعمیرات برق وابزاردقیق(2)</v>
      </c>
      <c r="G827" s="2" t="s">
        <v>998</v>
      </c>
      <c r="H827" s="4" t="str">
        <f>VLOOKUP(Table1113[[#This Row],[نام شخص کارشناس نظارت]],Table1[],3,0)</f>
        <v>کارشناس برق و ابزار دقیق نظارت (2)</v>
      </c>
      <c r="I827" s="8">
        <f>COUNTIF(Table2[کد سیستم],Table1113[[#This Row],[کد سیستم]])</f>
        <v>1</v>
      </c>
    </row>
    <row r="828" spans="1:9" x14ac:dyDescent="0.25">
      <c r="A828" s="7">
        <v>526</v>
      </c>
      <c r="B828" s="11" t="s">
        <v>2576</v>
      </c>
      <c r="C828" s="11">
        <v>1320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998</v>
      </c>
      <c r="H828" s="4" t="str">
        <f>VLOOKUP(Table1113[[#This Row],[نام شخص کارشناس نظارت]],Table1[],3,0)</f>
        <v>کارشناس برق و ابزار دقیق نظارت (2)</v>
      </c>
      <c r="I828" s="8">
        <f>COUNTIF(Table2[کد سیستم],Table1113[[#This Row],[کد سیستم]])</f>
        <v>1</v>
      </c>
    </row>
    <row r="829" spans="1:9" x14ac:dyDescent="0.25">
      <c r="A829" s="7">
        <v>478</v>
      </c>
      <c r="B829" s="11" t="s">
        <v>2482</v>
      </c>
      <c r="C829" s="11">
        <v>1010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998</v>
      </c>
      <c r="H829" s="4" t="str">
        <f>VLOOKUP(Table1113[[#This Row],[نام شخص کارشناس نظارت]],Table1[],3,0)</f>
        <v>کارشناس برق و ابزار دقیق نظارت (2)</v>
      </c>
      <c r="I829" s="8">
        <f>COUNTIF(Table2[کد سیستم],Table1113[[#This Row],[کد سیستم]])</f>
        <v>1</v>
      </c>
    </row>
    <row r="830" spans="1:9" x14ac:dyDescent="0.25">
      <c r="A830" s="7"/>
      <c r="B830" s="39" t="s">
        <v>2480</v>
      </c>
      <c r="C830" s="39" t="s">
        <v>3917</v>
      </c>
      <c r="D830" s="2" t="s">
        <v>3697</v>
      </c>
      <c r="E830" s="4"/>
      <c r="F830" s="4"/>
      <c r="G830" s="2"/>
      <c r="H830" s="4"/>
      <c r="I830" s="8">
        <f>COUNTIF(Table2[کد سیستم],Table1113[[#This Row],[کد سیستم]])</f>
        <v>1</v>
      </c>
    </row>
    <row r="831" spans="1:9" x14ac:dyDescent="0.25">
      <c r="A831" s="7">
        <v>705</v>
      </c>
      <c r="B831" s="11" t="s">
        <v>2927</v>
      </c>
      <c r="C831" s="11">
        <v>710</v>
      </c>
      <c r="D831" s="2" t="s">
        <v>3697</v>
      </c>
      <c r="E831" s="2" t="s">
        <v>1434</v>
      </c>
      <c r="F831" s="2" t="str">
        <f>VLOOKUP(Table1113[[#This Row],[نام کارشناس دفتر فنی]],Table1[],3,0)</f>
        <v>کارشناس بازرسی وبرنامه ریزی تعمیرات برق وابزاردقیق(3)</v>
      </c>
      <c r="G831" s="2" t="s">
        <v>998</v>
      </c>
      <c r="H831" s="4" t="str">
        <f>VLOOKUP(Table1113[[#This Row],[نام شخص کارشناس نظارت]],Table1[],3,0)</f>
        <v>کارشناس برق و ابزار دقیق نظارت (2)</v>
      </c>
      <c r="I831" s="8">
        <f>COUNTIF(Table2[کد سیستم],Table1113[[#This Row],[کد سیستم]])</f>
        <v>1</v>
      </c>
    </row>
    <row r="832" spans="1:9" x14ac:dyDescent="0.25">
      <c r="A832" s="7">
        <v>849</v>
      </c>
      <c r="B832" s="11" t="s">
        <v>3222</v>
      </c>
      <c r="C832" s="11" t="s">
        <v>3222</v>
      </c>
      <c r="D832" s="2" t="s">
        <v>3697</v>
      </c>
      <c r="E832" s="2" t="s">
        <v>393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998</v>
      </c>
      <c r="H832" s="4" t="str">
        <f>VLOOKUP(Table1113[[#This Row],[نام شخص کارشناس نظارت]],Table1[],3,0)</f>
        <v>کارشناس برق و ابزار دقیق نظارت (2)</v>
      </c>
      <c r="I832" s="8">
        <f>COUNTIF(Table2[کد سیستم],Table1113[[#This Row],[کد سیستم]])</f>
        <v>1</v>
      </c>
    </row>
    <row r="833" spans="1:9" x14ac:dyDescent="0.25">
      <c r="A833" s="7">
        <v>850</v>
      </c>
      <c r="B833" s="11" t="s">
        <v>3224</v>
      </c>
      <c r="C833" s="11" t="s">
        <v>3224</v>
      </c>
      <c r="D833" s="2" t="s">
        <v>3697</v>
      </c>
      <c r="E833" s="2" t="s">
        <v>393</v>
      </c>
      <c r="F833" s="2" t="str">
        <f>VLOOKUP(Table1113[[#This Row],[نام کارشناس دفتر فنی]],Table1[],3,0)</f>
        <v>کارشناس بازرسی وبرنامه ریزی تعمیرات برق وابزاردقیق(1)</v>
      </c>
      <c r="G833" s="2" t="s">
        <v>998</v>
      </c>
      <c r="H833" s="4" t="str">
        <f>VLOOKUP(Table1113[[#This Row],[نام شخص کارشناس نظارت]],Table1[],3,0)</f>
        <v>کارشناس برق و ابزار دقیق نظارت (2)</v>
      </c>
      <c r="I833" s="8">
        <f>COUNTIF(Table2[کد سیستم],Table1113[[#This Row],[کد سیستم]])</f>
        <v>1</v>
      </c>
    </row>
    <row r="834" spans="1:9" x14ac:dyDescent="0.25">
      <c r="A834" s="7">
        <v>851</v>
      </c>
      <c r="B834" s="11" t="s">
        <v>3226</v>
      </c>
      <c r="C834" s="11" t="s">
        <v>3226</v>
      </c>
      <c r="D834" s="2" t="s">
        <v>3697</v>
      </c>
      <c r="E834" s="2" t="s">
        <v>393</v>
      </c>
      <c r="F834" s="2" t="str">
        <f>VLOOKUP(Table1113[[#This Row],[نام کارشناس دفتر فنی]],Table1[],3,0)</f>
        <v>کارشناس بازرسی وبرنامه ریزی تعمیرات برق وابزاردقیق(1)</v>
      </c>
      <c r="G834" s="2" t="s">
        <v>998</v>
      </c>
      <c r="H834" s="4" t="str">
        <f>VLOOKUP(Table1113[[#This Row],[نام شخص کارشناس نظارت]],Table1[],3,0)</f>
        <v>کارشناس برق و ابزار دقیق نظارت (2)</v>
      </c>
      <c r="I834" s="8">
        <f>COUNTIF(Table2[کد سیستم],Table1113[[#This Row],[کد سیستم]])</f>
        <v>1</v>
      </c>
    </row>
    <row r="835" spans="1:9" x14ac:dyDescent="0.25">
      <c r="A835" s="7">
        <v>852</v>
      </c>
      <c r="B835" s="11" t="s">
        <v>3228</v>
      </c>
      <c r="C835" s="11" t="s">
        <v>3228</v>
      </c>
      <c r="D835" s="2" t="s">
        <v>3697</v>
      </c>
      <c r="E835" s="2" t="s">
        <v>393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998</v>
      </c>
      <c r="H835" s="4" t="str">
        <f>VLOOKUP(Table1113[[#This Row],[نام شخص کارشناس نظارت]],Table1[],3,0)</f>
        <v>کارشناس برق و ابزار دقیق نظارت (2)</v>
      </c>
      <c r="I835" s="8">
        <f>COUNTIF(Table2[کد سیستم],Table1113[[#This Row],[کد سیستم]])</f>
        <v>1</v>
      </c>
    </row>
    <row r="836" spans="1:9" x14ac:dyDescent="0.25">
      <c r="A836" s="7">
        <v>853</v>
      </c>
      <c r="B836" s="11" t="s">
        <v>3230</v>
      </c>
      <c r="C836" s="11" t="s">
        <v>3230</v>
      </c>
      <c r="D836" s="2" t="s">
        <v>3697</v>
      </c>
      <c r="E836" s="2" t="s">
        <v>393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998</v>
      </c>
      <c r="H836" s="4" t="str">
        <f>VLOOKUP(Table1113[[#This Row],[نام شخص کارشناس نظارت]],Table1[],3,0)</f>
        <v>کارشناس برق و ابزار دقیق نظارت (2)</v>
      </c>
      <c r="I836" s="8">
        <f>COUNTIF(Table2[کد سیستم],Table1113[[#This Row],[کد سیستم]])</f>
        <v>1</v>
      </c>
    </row>
    <row r="837" spans="1:9" x14ac:dyDescent="0.25">
      <c r="A837" s="7">
        <v>854</v>
      </c>
      <c r="B837" s="11" t="s">
        <v>3232</v>
      </c>
      <c r="C837" s="11" t="s">
        <v>3232</v>
      </c>
      <c r="D837" s="2" t="s">
        <v>3697</v>
      </c>
      <c r="E837" s="2" t="s">
        <v>393</v>
      </c>
      <c r="F837" s="2" t="str">
        <f>VLOOKUP(Table1113[[#This Row],[نام کارشناس دفتر فنی]],Table1[],3,0)</f>
        <v>کارشناس بازرسی وبرنامه ریزی تعمیرات برق وابزاردقیق(1)</v>
      </c>
      <c r="G837" s="2" t="s">
        <v>998</v>
      </c>
      <c r="H837" s="4" t="str">
        <f>VLOOKUP(Table1113[[#This Row],[نام شخص کارشناس نظارت]],Table1[],3,0)</f>
        <v>کارشناس برق و ابزار دقیق نظارت (2)</v>
      </c>
      <c r="I837" s="8">
        <f>COUNTIF(Table2[کد سیستم],Table1113[[#This Row],[کد سیستم]])</f>
        <v>1</v>
      </c>
    </row>
    <row r="838" spans="1:9" x14ac:dyDescent="0.25">
      <c r="A838" s="7">
        <v>856</v>
      </c>
      <c r="B838" s="11" t="s">
        <v>3780</v>
      </c>
      <c r="C838" s="11" t="s">
        <v>3237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887</v>
      </c>
      <c r="B839" s="11" t="s">
        <v>3267</v>
      </c>
      <c r="C839" s="11" t="s">
        <v>3268</v>
      </c>
      <c r="D839" s="2" t="s">
        <v>3697</v>
      </c>
      <c r="E839" s="2" t="s">
        <v>566</v>
      </c>
      <c r="F839" s="2" t="str">
        <f>VLOOKUP(Table1113[[#This Row],[نام کارشناس دفتر فنی]],Table1[],3,0)</f>
        <v>کارشناس بازرسی وبرنامه ریزی تعمیرات برق وابزاردقیق(2)</v>
      </c>
      <c r="G839" s="2" t="s">
        <v>998</v>
      </c>
      <c r="H839" s="4" t="str">
        <f>VLOOKUP(Table1113[[#This Row],[نام شخص کارشناس نظارت]],Table1[],3,0)</f>
        <v>کارشناس برق و ابزار دقیق نظارت (2)</v>
      </c>
      <c r="I839" s="8">
        <f>COUNTIF(Table2[کد سیستم],Table1113[[#This Row],[کد سیستم]])</f>
        <v>1</v>
      </c>
    </row>
    <row r="840" spans="1:9" x14ac:dyDescent="0.25">
      <c r="A840" s="7">
        <v>905</v>
      </c>
      <c r="B840" s="11" t="s">
        <v>3304</v>
      </c>
      <c r="C840" s="11" t="s">
        <v>3305</v>
      </c>
      <c r="D840" s="2" t="s">
        <v>3697</v>
      </c>
      <c r="E840" s="2" t="s">
        <v>393</v>
      </c>
      <c r="F840" s="2" t="str">
        <f>VLOOKUP(Table1113[[#This Row],[نام کارشناس دفتر فنی]],Table1[],3,0)</f>
        <v>کارشناس بازرسی وبرنامه ریزی تعمیرات برق وابزاردقیق(1)</v>
      </c>
      <c r="G840" s="2" t="s">
        <v>998</v>
      </c>
      <c r="H840" s="4" t="str">
        <f>VLOOKUP(Table1113[[#This Row],[نام شخص کارشناس نظارت]],Table1[],3,0)</f>
        <v>کارشناس برق و ابزار دقیق نظارت (2)</v>
      </c>
      <c r="I840" s="8">
        <f>COUNTIF(Table2[کد سیستم],Table1113[[#This Row],[کد سیستم]])</f>
        <v>1</v>
      </c>
    </row>
    <row r="841" spans="1:9" x14ac:dyDescent="0.25">
      <c r="A841" s="7">
        <v>1023</v>
      </c>
      <c r="B841" s="11" t="s">
        <v>3541</v>
      </c>
      <c r="C841" s="11" t="s">
        <v>3542</v>
      </c>
      <c r="D841" s="2" t="s">
        <v>3697</v>
      </c>
      <c r="E841" s="2" t="s">
        <v>393</v>
      </c>
      <c r="F841" s="2" t="str">
        <f>VLOOKUP(Table1113[[#This Row],[نام کارشناس دفتر فنی]],Table1[],3,0)</f>
        <v>کارشناس بازرسی وبرنامه ریزی تعمیرات برق وابزاردقیق(1)</v>
      </c>
      <c r="G841" s="2" t="s">
        <v>998</v>
      </c>
      <c r="H841" s="4" t="str">
        <f>VLOOKUP(Table1113[[#This Row],[نام شخص کارشناس نظارت]],Table1[],3,0)</f>
        <v>کارشناس برق و ابزار دقیق نظارت (2)</v>
      </c>
      <c r="I841" s="8">
        <f>COUNTIF(Table2[کد سیستم],Table1113[[#This Row],[کد سیستم]])</f>
        <v>1</v>
      </c>
    </row>
    <row r="842" spans="1:9" x14ac:dyDescent="0.25">
      <c r="A842" s="7">
        <v>1041</v>
      </c>
      <c r="B842" s="11" t="s">
        <v>3578</v>
      </c>
      <c r="C842" s="11" t="s">
        <v>3579</v>
      </c>
      <c r="D842" s="2" t="s">
        <v>3697</v>
      </c>
      <c r="E842" s="2" t="s">
        <v>566</v>
      </c>
      <c r="F842" s="2" t="str">
        <f>VLOOKUP(Table1113[[#This Row],[نام کارشناس دفتر فنی]],Table1[],3,0)</f>
        <v>کارشناس بازرسی وبرنامه ریزی تعمیرات برق وابزاردقیق(2)</v>
      </c>
      <c r="G842" s="2" t="s">
        <v>998</v>
      </c>
      <c r="H842" s="4" t="str">
        <f>VLOOKUP(Table1113[[#This Row],[نام شخص کارشناس نظارت]],Table1[],3,0)</f>
        <v>کارشناس برق و ابزار دقیق نظارت (2)</v>
      </c>
      <c r="I842" s="8">
        <f>COUNTIF(Table2[کد سیستم],Table1113[[#This Row],[کد سیستم]])</f>
        <v>1</v>
      </c>
    </row>
    <row r="843" spans="1:9" x14ac:dyDescent="0.25">
      <c r="A843" s="7">
        <v>855</v>
      </c>
      <c r="B843" s="11" t="s">
        <v>3234</v>
      </c>
      <c r="C843" s="11" t="s">
        <v>3235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857</v>
      </c>
      <c r="B844" s="19" t="s">
        <v>3781</v>
      </c>
      <c r="C844" s="11" t="s">
        <v>3781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858</v>
      </c>
      <c r="B845" s="11" t="s">
        <v>3783</v>
      </c>
      <c r="C845" s="11" t="s">
        <v>3783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859</v>
      </c>
      <c r="B846" s="11" t="s">
        <v>3784</v>
      </c>
      <c r="C846" s="11" t="s">
        <v>3784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860</v>
      </c>
      <c r="B847" s="11" t="s">
        <v>3785</v>
      </c>
      <c r="C847" s="11" t="s">
        <v>3785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861</v>
      </c>
      <c r="B848" s="11" t="s">
        <v>3786</v>
      </c>
      <c r="C848" s="11" t="s">
        <v>3786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862</v>
      </c>
      <c r="B849" s="11" t="s">
        <v>3787</v>
      </c>
      <c r="C849" s="11" t="s">
        <v>3787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863</v>
      </c>
      <c r="B850" s="11" t="s">
        <v>3788</v>
      </c>
      <c r="C850" s="11" t="s">
        <v>3788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864</v>
      </c>
      <c r="B851" s="11" t="s">
        <v>3789</v>
      </c>
      <c r="C851" s="11" t="s">
        <v>3789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865</v>
      </c>
      <c r="B852" s="11" t="s">
        <v>3790</v>
      </c>
      <c r="C852" s="11" t="s">
        <v>3790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866</v>
      </c>
      <c r="B853" s="11" t="s">
        <v>3791</v>
      </c>
      <c r="C853" s="11" t="s">
        <v>3791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867</v>
      </c>
      <c r="B854" s="11" t="s">
        <v>3792</v>
      </c>
      <c r="C854" s="11" t="s">
        <v>3792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868</v>
      </c>
      <c r="B855" s="11" t="s">
        <v>3793</v>
      </c>
      <c r="C855" s="11" t="s">
        <v>3793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869</v>
      </c>
      <c r="B856" s="11" t="s">
        <v>3794</v>
      </c>
      <c r="C856" s="11" t="s">
        <v>3794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870</v>
      </c>
      <c r="B857" s="11" t="s">
        <v>3795</v>
      </c>
      <c r="C857" s="11" t="s">
        <v>3795</v>
      </c>
      <c r="D857" s="2" t="s">
        <v>3697</v>
      </c>
      <c r="E857" s="2" t="s">
        <v>554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x14ac:dyDescent="0.25">
      <c r="A858" s="7">
        <v>871</v>
      </c>
      <c r="B858" s="11" t="s">
        <v>3796</v>
      </c>
      <c r="C858" s="11" t="s">
        <v>3796</v>
      </c>
      <c r="D858" s="2" t="s">
        <v>3697</v>
      </c>
      <c r="E858" s="2" t="s">
        <v>554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x14ac:dyDescent="0.25">
      <c r="A859" s="7">
        <v>872</v>
      </c>
      <c r="B859" s="11" t="s">
        <v>3797</v>
      </c>
      <c r="C859" s="11" t="s">
        <v>3797</v>
      </c>
      <c r="D859" s="2" t="s">
        <v>3697</v>
      </c>
      <c r="E859" s="2" t="s">
        <v>554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x14ac:dyDescent="0.25">
      <c r="A860" s="7">
        <v>873</v>
      </c>
      <c r="B860" s="11" t="s">
        <v>3798</v>
      </c>
      <c r="C860" s="11" t="s">
        <v>3798</v>
      </c>
      <c r="D860" s="2" t="s">
        <v>3697</v>
      </c>
      <c r="E860" s="2" t="s">
        <v>554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x14ac:dyDescent="0.25">
      <c r="A861" s="7">
        <v>874</v>
      </c>
      <c r="B861" s="11" t="s">
        <v>3799</v>
      </c>
      <c r="C861" s="11" t="s">
        <v>3799</v>
      </c>
      <c r="D861" s="2" t="s">
        <v>3697</v>
      </c>
      <c r="E861" s="2" t="s">
        <v>554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1168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x14ac:dyDescent="0.25">
      <c r="A862" s="7">
        <v>875</v>
      </c>
      <c r="B862" s="11" t="s">
        <v>3800</v>
      </c>
      <c r="C862" s="11" t="s">
        <v>3800</v>
      </c>
      <c r="D862" s="2" t="s">
        <v>3697</v>
      </c>
      <c r="E862" s="2" t="s">
        <v>554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1168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x14ac:dyDescent="0.25">
      <c r="A863" s="7">
        <v>876</v>
      </c>
      <c r="B863" s="11" t="s">
        <v>3801</v>
      </c>
      <c r="C863" s="11" t="s">
        <v>3801</v>
      </c>
      <c r="D863" s="2" t="s">
        <v>3697</v>
      </c>
      <c r="E863" s="2" t="s">
        <v>554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1168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x14ac:dyDescent="0.25">
      <c r="A864" s="7">
        <v>877</v>
      </c>
      <c r="B864" s="11" t="s">
        <v>3802</v>
      </c>
      <c r="C864" s="11" t="s">
        <v>3802</v>
      </c>
      <c r="D864" s="2" t="s">
        <v>3697</v>
      </c>
      <c r="E864" s="2" t="s">
        <v>554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1168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x14ac:dyDescent="0.25">
      <c r="A865" s="7">
        <v>878</v>
      </c>
      <c r="B865" s="11" t="s">
        <v>3803</v>
      </c>
      <c r="C865" s="11" t="s">
        <v>3803</v>
      </c>
      <c r="D865" s="2" t="s">
        <v>3697</v>
      </c>
      <c r="E865" s="2" t="s">
        <v>554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1168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x14ac:dyDescent="0.25">
      <c r="A866" s="7">
        <v>879</v>
      </c>
      <c r="B866" s="11" t="s">
        <v>3804</v>
      </c>
      <c r="C866" s="11" t="s">
        <v>3804</v>
      </c>
      <c r="D866" s="2" t="s">
        <v>3697</v>
      </c>
      <c r="E866" s="2" t="s">
        <v>554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1168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x14ac:dyDescent="0.25">
      <c r="A867" s="7">
        <v>880</v>
      </c>
      <c r="B867" s="11" t="s">
        <v>3805</v>
      </c>
      <c r="C867" s="11" t="s">
        <v>3805</v>
      </c>
      <c r="D867" s="2" t="s">
        <v>3697</v>
      </c>
      <c r="E867" s="2" t="s">
        <v>554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1168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x14ac:dyDescent="0.25">
      <c r="A868" s="7">
        <v>881</v>
      </c>
      <c r="B868" s="11" t="s">
        <v>3806</v>
      </c>
      <c r="C868" s="11" t="s">
        <v>3806</v>
      </c>
      <c r="D868" s="2" t="s">
        <v>3697</v>
      </c>
      <c r="E868" s="2" t="s">
        <v>554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1168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882</v>
      </c>
      <c r="B869" s="11" t="s">
        <v>3807</v>
      </c>
      <c r="C869" s="11" t="s">
        <v>3807</v>
      </c>
      <c r="D869" s="2" t="s">
        <v>3697</v>
      </c>
      <c r="E869" s="2" t="s">
        <v>554</v>
      </c>
      <c r="F869" s="2" t="str">
        <f>VLOOKUP(Table1113[[#This Row],[نام کارشناس دفتر فنی]],Table1[],3,0)</f>
        <v>کارشناس کالیبراسیون و برنامه ریزی تعمیرات برق وابزاردقیق</v>
      </c>
      <c r="G869" s="2" t="s">
        <v>1168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883</v>
      </c>
      <c r="B870" s="11" t="s">
        <v>3808</v>
      </c>
      <c r="C870" s="11" t="s">
        <v>3808</v>
      </c>
      <c r="D870" s="2" t="s">
        <v>3697</v>
      </c>
      <c r="E870" s="2" t="s">
        <v>554</v>
      </c>
      <c r="F870" s="2" t="str">
        <f>VLOOKUP(Table1113[[#This Row],[نام کارشناس دفتر فنی]],Table1[],3,0)</f>
        <v>کارشناس کالیبراسیون و برنامه ریزی تعمیرات برق وابزاردقیق</v>
      </c>
      <c r="G870" s="2" t="s">
        <v>1168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884</v>
      </c>
      <c r="B871" s="11" t="s">
        <v>3809</v>
      </c>
      <c r="C871" s="11" t="s">
        <v>3809</v>
      </c>
      <c r="D871" s="2" t="s">
        <v>3697</v>
      </c>
      <c r="E871" s="2" t="s">
        <v>554</v>
      </c>
      <c r="F871" s="2" t="str">
        <f>VLOOKUP(Table1113[[#This Row],[نام کارشناس دفتر فنی]],Table1[],3,0)</f>
        <v>کارشناس کالیبراسیون و برنامه ریزی تعمیرات برق وابزاردقیق</v>
      </c>
      <c r="G871" s="2" t="s">
        <v>1168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885</v>
      </c>
      <c r="B872" s="11" t="s">
        <v>3811</v>
      </c>
      <c r="C872" s="11" t="s">
        <v>3811</v>
      </c>
      <c r="D872" s="2" t="s">
        <v>3697</v>
      </c>
      <c r="E872" s="2" t="s">
        <v>554</v>
      </c>
      <c r="F872" s="2" t="str">
        <f>VLOOKUP(Table1113[[#This Row],[نام کارشناس دفتر فنی]],Table1[],3,0)</f>
        <v>کارشناس کالیبراسیون و برنامه ریزی تعمیرات برق وابزاردقیق</v>
      </c>
      <c r="G872" s="2" t="s">
        <v>1168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886</v>
      </c>
      <c r="B873" s="11" t="s">
        <v>3265</v>
      </c>
      <c r="C873" s="11" t="s">
        <v>3265</v>
      </c>
      <c r="D873" s="2" t="s">
        <v>3697</v>
      </c>
      <c r="E873" s="2" t="s">
        <v>554</v>
      </c>
      <c r="F873" s="2" t="str">
        <f>VLOOKUP(Table1113[[#This Row],[نام کارشناس دفتر فنی]],Table1[],3,0)</f>
        <v>کارشناس کالیبراسیون و برنامه ریزی تعمیرات برق وابزاردقیق</v>
      </c>
      <c r="G873" s="2" t="s">
        <v>1168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3697</v>
      </c>
      <c r="E875" s="2" t="s">
        <v>566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3697</v>
      </c>
      <c r="E876" s="2" t="s">
        <v>566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3697</v>
      </c>
      <c r="E877" s="2" t="s">
        <v>566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3697</v>
      </c>
      <c r="E878" s="2" t="s">
        <v>566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3697</v>
      </c>
      <c r="E879" s="2" t="s">
        <v>566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3697</v>
      </c>
      <c r="E880" s="2" t="s">
        <v>566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3697</v>
      </c>
      <c r="E881" s="2" t="s">
        <v>566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3697</v>
      </c>
      <c r="E882" s="2" t="s">
        <v>566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3697</v>
      </c>
      <c r="E883" s="2" t="s">
        <v>566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3697</v>
      </c>
      <c r="E884" s="2" t="s">
        <v>566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3697</v>
      </c>
      <c r="E885" s="2" t="s">
        <v>566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3697</v>
      </c>
      <c r="E886" s="2" t="s">
        <v>566</v>
      </c>
      <c r="F886" s="2" t="str">
        <f>VLOOKUP(Table1113[[#This Row],[نام کارشناس دفتر فنی]],Table1[],3,0)</f>
        <v>کارشناس بازرسی وبرنامه ریزی تعمیرات برق وابزاردقیق(2)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3697</v>
      </c>
      <c r="E887" s="2" t="s">
        <v>566</v>
      </c>
      <c r="F887" s="2" t="str">
        <f>VLOOKUP(Table1113[[#This Row],[نام کارشناس دفتر فنی]],Table1[],3,0)</f>
        <v>کارشناس بازرسی وبرنامه ریزی تعمیرات برق وابزاردقیق(2)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3697</v>
      </c>
      <c r="E888" s="2" t="s">
        <v>566</v>
      </c>
      <c r="F888" s="2" t="str">
        <f>VLOOKUP(Table1113[[#This Row],[نام کارشناس دفتر فنی]],Table1[],3,0)</f>
        <v>کارشناس بازرسی وبرنامه ریزی تعمیرات برق وابزاردقیق(2)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3697</v>
      </c>
      <c r="E889" s="2" t="s">
        <v>566</v>
      </c>
      <c r="F889" s="2" t="str">
        <f>VLOOKUP(Table1113[[#This Row],[نام کارشناس دفتر فنی]],Table1[],3,0)</f>
        <v>کارشناس بازرسی وبرنامه ریزی تعمیرات برق وابزاردقیق(2)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904</v>
      </c>
      <c r="B890" s="22" t="s">
        <v>3302</v>
      </c>
      <c r="C890" s="11" t="s">
        <v>3302</v>
      </c>
      <c r="D890" s="2" t="s">
        <v>3697</v>
      </c>
      <c r="E890" s="2" t="s">
        <v>566</v>
      </c>
      <c r="F890" s="2" t="str">
        <f>VLOOKUP(Table1113[[#This Row],[نام کارشناس دفتر فنی]],Table1[],3,0)</f>
        <v>کارشناس بازرسی وبرنامه ریزی تعمیرات برق وابزاردقیق(2)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906</v>
      </c>
      <c r="B891" s="11" t="s">
        <v>3307</v>
      </c>
      <c r="C891" s="11" t="s">
        <v>3307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907</v>
      </c>
      <c r="B892" s="11" t="s">
        <v>3309</v>
      </c>
      <c r="C892" s="11" t="s">
        <v>3309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908</v>
      </c>
      <c r="B893" s="11" t="s">
        <v>3311</v>
      </c>
      <c r="C893" s="11" t="s">
        <v>3311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909</v>
      </c>
      <c r="B894" s="11" t="s">
        <v>3313</v>
      </c>
      <c r="C894" s="11" t="s">
        <v>3313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910</v>
      </c>
      <c r="B895" s="11" t="s">
        <v>3315</v>
      </c>
      <c r="C895" s="11" t="s">
        <v>3315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911</v>
      </c>
      <c r="B896" s="11" t="s">
        <v>3317</v>
      </c>
      <c r="C896" s="11" t="s">
        <v>3317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912</v>
      </c>
      <c r="B897" s="11" t="s">
        <v>3319</v>
      </c>
      <c r="C897" s="11" t="s">
        <v>3319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913</v>
      </c>
      <c r="B898" s="11" t="s">
        <v>3321</v>
      </c>
      <c r="C898" s="11" t="s">
        <v>3321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914</v>
      </c>
      <c r="B899" s="11" t="s">
        <v>3323</v>
      </c>
      <c r="C899" s="11" t="s">
        <v>3323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915</v>
      </c>
      <c r="B900" s="11" t="s">
        <v>3325</v>
      </c>
      <c r="C900" s="11" t="s">
        <v>3325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916</v>
      </c>
      <c r="B901" s="11" t="s">
        <v>3327</v>
      </c>
      <c r="C901" s="11" t="s">
        <v>3327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917</v>
      </c>
      <c r="B902" s="11" t="s">
        <v>3329</v>
      </c>
      <c r="C902" s="11" t="s">
        <v>3329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918</v>
      </c>
      <c r="B903" s="11" t="s">
        <v>3331</v>
      </c>
      <c r="C903" s="11" t="s">
        <v>3331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919</v>
      </c>
      <c r="B904" s="11" t="s">
        <v>3333</v>
      </c>
      <c r="C904" s="11" t="s">
        <v>3333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920</v>
      </c>
      <c r="B905" s="11" t="s">
        <v>3335</v>
      </c>
      <c r="C905" s="11" t="s">
        <v>3335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921</v>
      </c>
      <c r="B906" s="11" t="s">
        <v>3337</v>
      </c>
      <c r="C906" s="11" t="s">
        <v>3337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922</v>
      </c>
      <c r="B907" s="11" t="s">
        <v>3339</v>
      </c>
      <c r="C907" s="11" t="s">
        <v>3339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923</v>
      </c>
      <c r="B908" s="11" t="s">
        <v>3341</v>
      </c>
      <c r="C908" s="11" t="s">
        <v>3341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924</v>
      </c>
      <c r="B909" s="11" t="s">
        <v>3343</v>
      </c>
      <c r="C909" s="11" t="s">
        <v>3343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925</v>
      </c>
      <c r="B910" s="11" t="s">
        <v>3345</v>
      </c>
      <c r="C910" s="11" t="s">
        <v>3345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926</v>
      </c>
      <c r="B911" s="11" t="s">
        <v>3347</v>
      </c>
      <c r="C911" s="11" t="s">
        <v>3347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927</v>
      </c>
      <c r="B912" s="11" t="s">
        <v>3349</v>
      </c>
      <c r="C912" s="11" t="s">
        <v>3349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928</v>
      </c>
      <c r="B913" s="11" t="s">
        <v>3351</v>
      </c>
      <c r="C913" s="11" t="s">
        <v>3351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929</v>
      </c>
      <c r="B914" s="11" t="s">
        <v>3353</v>
      </c>
      <c r="C914" s="11" t="s">
        <v>3353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930</v>
      </c>
      <c r="B915" s="11" t="s">
        <v>3355</v>
      </c>
      <c r="C915" s="11" t="s">
        <v>3355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931</v>
      </c>
      <c r="B916" s="11" t="s">
        <v>3357</v>
      </c>
      <c r="C916" s="11" t="s">
        <v>3357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932</v>
      </c>
      <c r="B917" s="11" t="s">
        <v>3359</v>
      </c>
      <c r="C917" s="11" t="s">
        <v>3359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933</v>
      </c>
      <c r="B918" s="11" t="s">
        <v>3361</v>
      </c>
      <c r="C918" s="11" t="s">
        <v>3361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934</v>
      </c>
      <c r="B919" s="11" t="s">
        <v>3363</v>
      </c>
      <c r="C919" s="11" t="s">
        <v>3363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935</v>
      </c>
      <c r="B920" s="11" t="s">
        <v>3365</v>
      </c>
      <c r="C920" s="11" t="s">
        <v>3365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936</v>
      </c>
      <c r="B921" s="11" t="s">
        <v>3367</v>
      </c>
      <c r="C921" s="11" t="s">
        <v>3367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937</v>
      </c>
      <c r="B922" s="11" t="s">
        <v>3369</v>
      </c>
      <c r="C922" s="11" t="s">
        <v>3369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938</v>
      </c>
      <c r="B923" s="11" t="s">
        <v>3371</v>
      </c>
      <c r="C923" s="11" t="s">
        <v>3371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939</v>
      </c>
      <c r="B924" s="11" t="s">
        <v>3373</v>
      </c>
      <c r="C924" s="11" t="s">
        <v>3373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940</v>
      </c>
      <c r="B925" s="11" t="s">
        <v>3375</v>
      </c>
      <c r="C925" s="11" t="s">
        <v>3375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941</v>
      </c>
      <c r="B926" s="11" t="s">
        <v>3377</v>
      </c>
      <c r="C926" s="11" t="s">
        <v>3377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942</v>
      </c>
      <c r="B927" s="11" t="s">
        <v>3379</v>
      </c>
      <c r="C927" s="11" t="s">
        <v>3379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943</v>
      </c>
      <c r="B928" s="11" t="s">
        <v>3381</v>
      </c>
      <c r="C928" s="11" t="s">
        <v>3381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944</v>
      </c>
      <c r="B929" s="11" t="s">
        <v>3383</v>
      </c>
      <c r="C929" s="11" t="s">
        <v>3383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945</v>
      </c>
      <c r="B930" s="11" t="s">
        <v>3385</v>
      </c>
      <c r="C930" s="11" t="s">
        <v>3385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946</v>
      </c>
      <c r="B931" s="11" t="s">
        <v>3387</v>
      </c>
      <c r="C931" s="11" t="s">
        <v>3387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947</v>
      </c>
      <c r="B932" s="11" t="s">
        <v>3389</v>
      </c>
      <c r="C932" s="11" t="s">
        <v>3389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948</v>
      </c>
      <c r="B933" s="11" t="s">
        <v>3391</v>
      </c>
      <c r="C933" s="11" t="s">
        <v>3391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949</v>
      </c>
      <c r="B934" s="11" t="s">
        <v>3393</v>
      </c>
      <c r="C934" s="11" t="s">
        <v>3393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950</v>
      </c>
      <c r="B935" s="11" t="s">
        <v>3395</v>
      </c>
      <c r="C935" s="11" t="s">
        <v>3395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951</v>
      </c>
      <c r="B936" s="11" t="s">
        <v>3397</v>
      </c>
      <c r="C936" s="11" t="s">
        <v>3397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952</v>
      </c>
      <c r="B937" s="11" t="s">
        <v>3399</v>
      </c>
      <c r="C937" s="11" t="s">
        <v>3399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953</v>
      </c>
      <c r="B938" s="11" t="s">
        <v>3401</v>
      </c>
      <c r="C938" s="11" t="s">
        <v>3401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954</v>
      </c>
      <c r="B939" s="11" t="s">
        <v>3403</v>
      </c>
      <c r="C939" s="11" t="s">
        <v>3403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955</v>
      </c>
      <c r="B940" s="11" t="s">
        <v>3405</v>
      </c>
      <c r="C940" s="11" t="s">
        <v>3405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956</v>
      </c>
      <c r="B941" s="11" t="s">
        <v>3407</v>
      </c>
      <c r="C941" s="11" t="s">
        <v>3407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957</v>
      </c>
      <c r="B942" s="11" t="s">
        <v>3409</v>
      </c>
      <c r="C942" s="11" t="s">
        <v>3409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958</v>
      </c>
      <c r="B943" s="11" t="s">
        <v>3411</v>
      </c>
      <c r="C943" s="11" t="s">
        <v>3411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959</v>
      </c>
      <c r="B944" s="11" t="s">
        <v>3413</v>
      </c>
      <c r="C944" s="11" t="s">
        <v>3413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960</v>
      </c>
      <c r="B945" s="11" t="s">
        <v>3415</v>
      </c>
      <c r="C945" s="11" t="s">
        <v>3415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961</v>
      </c>
      <c r="B946" s="11" t="s">
        <v>3417</v>
      </c>
      <c r="C946" s="11" t="s">
        <v>3417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962</v>
      </c>
      <c r="B947" s="11" t="s">
        <v>3419</v>
      </c>
      <c r="C947" s="11" t="s">
        <v>3419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963</v>
      </c>
      <c r="B948" s="11" t="s">
        <v>3421</v>
      </c>
      <c r="C948" s="11" t="s">
        <v>3421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964</v>
      </c>
      <c r="B949" s="11" t="s">
        <v>3423</v>
      </c>
      <c r="C949" s="11" t="s">
        <v>3423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965</v>
      </c>
      <c r="B950" s="11" t="s">
        <v>3425</v>
      </c>
      <c r="C950" s="11" t="s">
        <v>3425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966</v>
      </c>
      <c r="B951" s="11" t="s">
        <v>3427</v>
      </c>
      <c r="C951" s="11" t="s">
        <v>3427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967</v>
      </c>
      <c r="B952" s="11" t="s">
        <v>3429</v>
      </c>
      <c r="C952" s="11" t="s">
        <v>3429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968</v>
      </c>
      <c r="B953" s="11" t="s">
        <v>3431</v>
      </c>
      <c r="C953" s="11" t="s">
        <v>3431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969</v>
      </c>
      <c r="B954" s="11" t="s">
        <v>3433</v>
      </c>
      <c r="C954" s="11" t="s">
        <v>3433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970</v>
      </c>
      <c r="B955" s="11" t="s">
        <v>3435</v>
      </c>
      <c r="C955" s="11" t="s">
        <v>3435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971</v>
      </c>
      <c r="B956" s="11" t="s">
        <v>3437</v>
      </c>
      <c r="C956" s="11" t="s">
        <v>3437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972</v>
      </c>
      <c r="B957" s="11" t="s">
        <v>3439</v>
      </c>
      <c r="C957" s="11" t="s">
        <v>3439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973</v>
      </c>
      <c r="B958" s="11" t="s">
        <v>3441</v>
      </c>
      <c r="C958" s="11" t="s">
        <v>3441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974</v>
      </c>
      <c r="B959" s="11" t="s">
        <v>3443</v>
      </c>
      <c r="C959" s="11" t="s">
        <v>3443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975</v>
      </c>
      <c r="B960" s="11" t="s">
        <v>3445</v>
      </c>
      <c r="C960" s="11" t="s">
        <v>3445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976</v>
      </c>
      <c r="B961" s="11" t="s">
        <v>3447</v>
      </c>
      <c r="C961" s="11" t="s">
        <v>3447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977</v>
      </c>
      <c r="B962" s="11" t="s">
        <v>3449</v>
      </c>
      <c r="C962" s="11" t="s">
        <v>3449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978</v>
      </c>
      <c r="B963" s="11" t="s">
        <v>3451</v>
      </c>
      <c r="C963" s="11" t="s">
        <v>3451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979</v>
      </c>
      <c r="B964" s="11" t="s">
        <v>3453</v>
      </c>
      <c r="C964" s="11" t="s">
        <v>3453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980</v>
      </c>
      <c r="B965" s="11" t="s">
        <v>3455</v>
      </c>
      <c r="C965" s="11" t="s">
        <v>3455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981</v>
      </c>
      <c r="B966" s="11" t="s">
        <v>3457</v>
      </c>
      <c r="C966" s="11" t="s">
        <v>3457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982</v>
      </c>
      <c r="B967" s="11" t="s">
        <v>3459</v>
      </c>
      <c r="C967" s="11" t="s">
        <v>3459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983</v>
      </c>
      <c r="B968" s="11" t="s">
        <v>3461</v>
      </c>
      <c r="C968" s="11" t="s">
        <v>3461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984</v>
      </c>
      <c r="B969" s="11" t="s">
        <v>3463</v>
      </c>
      <c r="C969" s="11" t="s">
        <v>3463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985</v>
      </c>
      <c r="B970" s="11" t="s">
        <v>3465</v>
      </c>
      <c r="C970" s="11" t="s">
        <v>3465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986</v>
      </c>
      <c r="B971" s="11" t="s">
        <v>3467</v>
      </c>
      <c r="C971" s="11" t="s">
        <v>3467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987</v>
      </c>
      <c r="B972" s="11" t="s">
        <v>3469</v>
      </c>
      <c r="C972" s="11" t="s">
        <v>3469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988</v>
      </c>
      <c r="B973" s="11" t="s">
        <v>3471</v>
      </c>
      <c r="C973" s="11" t="s">
        <v>3471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989</v>
      </c>
      <c r="B974" s="11" t="s">
        <v>3473</v>
      </c>
      <c r="C974" s="11" t="s">
        <v>3473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990</v>
      </c>
      <c r="B975" s="11" t="s">
        <v>3475</v>
      </c>
      <c r="C975" s="11" t="s">
        <v>3475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991</v>
      </c>
      <c r="B976" s="11" t="s">
        <v>3477</v>
      </c>
      <c r="C976" s="11" t="s">
        <v>3477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992</v>
      </c>
      <c r="B977" s="11" t="s">
        <v>3479</v>
      </c>
      <c r="C977" s="11" t="s">
        <v>3479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993</v>
      </c>
      <c r="B978" s="11" t="s">
        <v>3481</v>
      </c>
      <c r="C978" s="11" t="s">
        <v>3481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994</v>
      </c>
      <c r="B979" s="11" t="s">
        <v>3483</v>
      </c>
      <c r="C979" s="11" t="s">
        <v>3483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995</v>
      </c>
      <c r="B980" s="11" t="s">
        <v>3485</v>
      </c>
      <c r="C980" s="11" t="s">
        <v>3485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996</v>
      </c>
      <c r="B981" s="11" t="s">
        <v>3487</v>
      </c>
      <c r="C981" s="11" t="s">
        <v>3487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997</v>
      </c>
      <c r="B982" s="11" t="s">
        <v>3489</v>
      </c>
      <c r="C982" s="11" t="s">
        <v>3489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998</v>
      </c>
      <c r="B983" s="11" t="s">
        <v>3491</v>
      </c>
      <c r="C983" s="11" t="s">
        <v>3491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999</v>
      </c>
      <c r="B984" s="11" t="s">
        <v>3493</v>
      </c>
      <c r="C984" s="11" t="s">
        <v>3493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1000</v>
      </c>
      <c r="B985" s="11" t="s">
        <v>3495</v>
      </c>
      <c r="C985" s="11" t="s">
        <v>3495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1001</v>
      </c>
      <c r="B986" s="11" t="s">
        <v>3497</v>
      </c>
      <c r="C986" s="11" t="s">
        <v>3497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1002</v>
      </c>
      <c r="B987" s="11" t="s">
        <v>3499</v>
      </c>
      <c r="C987" s="11" t="s">
        <v>3499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1003</v>
      </c>
      <c r="B988" s="11" t="s">
        <v>3501</v>
      </c>
      <c r="C988" s="11" t="s">
        <v>3501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1004</v>
      </c>
      <c r="B989" s="11" t="s">
        <v>3503</v>
      </c>
      <c r="C989" s="11" t="s">
        <v>3503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1005</v>
      </c>
      <c r="B990" s="11" t="s">
        <v>3505</v>
      </c>
      <c r="C990" s="11" t="s">
        <v>3505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1006</v>
      </c>
      <c r="B991" s="11" t="s">
        <v>3507</v>
      </c>
      <c r="C991" s="11" t="s">
        <v>3507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1007</v>
      </c>
      <c r="B992" s="11" t="s">
        <v>3509</v>
      </c>
      <c r="C992" s="11" t="s">
        <v>3509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1008</v>
      </c>
      <c r="B993" s="11" t="s">
        <v>3511</v>
      </c>
      <c r="C993" s="11" t="s">
        <v>3511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1009</v>
      </c>
      <c r="B994" s="11" t="s">
        <v>3513</v>
      </c>
      <c r="C994" s="11" t="s">
        <v>3513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1010</v>
      </c>
      <c r="B995" s="11" t="s">
        <v>3515</v>
      </c>
      <c r="C995" s="11" t="s">
        <v>3515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1011</v>
      </c>
      <c r="B996" s="11" t="s">
        <v>3517</v>
      </c>
      <c r="C996" s="11" t="s">
        <v>3517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1012</v>
      </c>
      <c r="B997" s="11" t="s">
        <v>3519</v>
      </c>
      <c r="C997" s="11" t="s">
        <v>3519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1013</v>
      </c>
      <c r="B998" s="11" t="s">
        <v>3521</v>
      </c>
      <c r="C998" s="11" t="s">
        <v>3521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1014</v>
      </c>
      <c r="B999" s="11" t="s">
        <v>3523</v>
      </c>
      <c r="C999" s="11" t="s">
        <v>3523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1015</v>
      </c>
      <c r="B1000" s="11" t="s">
        <v>3525</v>
      </c>
      <c r="C1000" s="11" t="s">
        <v>3525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1016</v>
      </c>
      <c r="B1001" s="11" t="s">
        <v>3527</v>
      </c>
      <c r="C1001" s="11" t="s">
        <v>3527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1017</v>
      </c>
      <c r="B1002" s="11" t="s">
        <v>3529</v>
      </c>
      <c r="C1002" s="11" t="s">
        <v>3529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1018</v>
      </c>
      <c r="B1003" s="11" t="s">
        <v>3531</v>
      </c>
      <c r="C1003" s="11" t="s">
        <v>3531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1019</v>
      </c>
      <c r="B1004" s="11" t="s">
        <v>3533</v>
      </c>
      <c r="C1004" s="11" t="s">
        <v>3533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1020</v>
      </c>
      <c r="B1005" s="11" t="s">
        <v>3535</v>
      </c>
      <c r="C1005" s="11" t="s">
        <v>3535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1021</v>
      </c>
      <c r="B1006" s="11" t="s">
        <v>3537</v>
      </c>
      <c r="C1006" s="11" t="s">
        <v>3537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1022</v>
      </c>
      <c r="B1007" s="11" t="s">
        <v>3539</v>
      </c>
      <c r="C1007" s="11" t="s">
        <v>3539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1024</v>
      </c>
      <c r="B1008" s="11" t="s">
        <v>3544</v>
      </c>
      <c r="C1008" s="11" t="s">
        <v>3544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1025</v>
      </c>
      <c r="B1009" s="11" t="s">
        <v>3546</v>
      </c>
      <c r="C1009" s="11" t="s">
        <v>3546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1026</v>
      </c>
      <c r="B1010" s="11" t="s">
        <v>3548</v>
      </c>
      <c r="C1010" s="11" t="s">
        <v>3548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1027</v>
      </c>
      <c r="B1011" s="11" t="s">
        <v>3550</v>
      </c>
      <c r="C1011" s="11" t="s">
        <v>3550</v>
      </c>
      <c r="D1011" s="2" t="s">
        <v>3697</v>
      </c>
      <c r="E1011" s="2" t="s">
        <v>393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1028</v>
      </c>
      <c r="B1012" s="11" t="s">
        <v>3552</v>
      </c>
      <c r="C1012" s="11" t="s">
        <v>3552</v>
      </c>
      <c r="D1012" s="2" t="s">
        <v>3697</v>
      </c>
      <c r="E1012" s="2" t="s">
        <v>393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1029</v>
      </c>
      <c r="B1013" s="11" t="s">
        <v>3554</v>
      </c>
      <c r="C1013" s="11" t="s">
        <v>3554</v>
      </c>
      <c r="D1013" s="2" t="s">
        <v>3697</v>
      </c>
      <c r="E1013" s="2" t="s">
        <v>393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1030</v>
      </c>
      <c r="B1014" s="11" t="s">
        <v>3556</v>
      </c>
      <c r="C1014" s="11" t="s">
        <v>3556</v>
      </c>
      <c r="D1014" s="2" t="s">
        <v>3697</v>
      </c>
      <c r="E1014" s="2" t="s">
        <v>393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1031</v>
      </c>
      <c r="B1015" s="11" t="s">
        <v>3558</v>
      </c>
      <c r="C1015" s="11" t="s">
        <v>3558</v>
      </c>
      <c r="D1015" s="2" t="s">
        <v>3697</v>
      </c>
      <c r="E1015" s="2" t="s">
        <v>393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1032</v>
      </c>
      <c r="B1016" s="11" t="s">
        <v>3560</v>
      </c>
      <c r="C1016" s="11" t="s">
        <v>3560</v>
      </c>
      <c r="D1016" s="2" t="s">
        <v>3697</v>
      </c>
      <c r="E1016" s="2" t="s">
        <v>393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1033</v>
      </c>
      <c r="B1017" s="11" t="s">
        <v>3562</v>
      </c>
      <c r="C1017" s="11" t="s">
        <v>3562</v>
      </c>
      <c r="D1017" s="2" t="s">
        <v>3697</v>
      </c>
      <c r="E1017" s="2" t="s">
        <v>393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1034</v>
      </c>
      <c r="B1018" s="11" t="s">
        <v>3564</v>
      </c>
      <c r="C1018" s="11" t="s">
        <v>3564</v>
      </c>
      <c r="D1018" s="2" t="s">
        <v>3697</v>
      </c>
      <c r="E1018" s="2" t="s">
        <v>393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1035</v>
      </c>
      <c r="B1019" s="11" t="s">
        <v>3566</v>
      </c>
      <c r="C1019" s="11" t="s">
        <v>3566</v>
      </c>
      <c r="D1019" s="2" t="s">
        <v>3697</v>
      </c>
      <c r="E1019" s="2" t="s">
        <v>393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1036</v>
      </c>
      <c r="B1020" s="11" t="s">
        <v>3568</v>
      </c>
      <c r="C1020" s="11" t="s">
        <v>3568</v>
      </c>
      <c r="D1020" s="2" t="s">
        <v>3697</v>
      </c>
      <c r="E1020" s="2" t="s">
        <v>393</v>
      </c>
      <c r="F1020" s="2" t="str">
        <f>VLOOKUP(Table1113[[#This Row],[نام کارشناس دفتر فنی]],Table1[],3,0)</f>
        <v>کارشناس بازرسی وبرنامه ریزی تعمیرات برق وابزاردقیق(1)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1037</v>
      </c>
      <c r="B1021" s="11" t="s">
        <v>3570</v>
      </c>
      <c r="C1021" s="11" t="s">
        <v>3570</v>
      </c>
      <c r="D1021" s="2" t="s">
        <v>3697</v>
      </c>
      <c r="E1021" s="2" t="s">
        <v>393</v>
      </c>
      <c r="F1021" s="2" t="str">
        <f>VLOOKUP(Table1113[[#This Row],[نام کارشناس دفتر فنی]],Table1[],3,0)</f>
        <v>کارشناس بازرسی وبرنامه ریزی تعمیرات برق وابزاردقیق(1)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1038</v>
      </c>
      <c r="B1022" s="11" t="s">
        <v>3572</v>
      </c>
      <c r="C1022" s="11" t="s">
        <v>3572</v>
      </c>
      <c r="D1022" s="2" t="s">
        <v>3697</v>
      </c>
      <c r="E1022" s="2" t="s">
        <v>393</v>
      </c>
      <c r="F1022" s="2" t="str">
        <f>VLOOKUP(Table1113[[#This Row],[نام کارشناس دفتر فنی]],Table1[],3,0)</f>
        <v>کارشناس بازرسی وبرنامه ریزی تعمیرات برق وابزاردقیق(1)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1039</v>
      </c>
      <c r="B1023" s="11" t="s">
        <v>3574</v>
      </c>
      <c r="C1023" s="11" t="s">
        <v>3574</v>
      </c>
      <c r="D1023" s="2" t="s">
        <v>3697</v>
      </c>
      <c r="E1023" s="2" t="s">
        <v>393</v>
      </c>
      <c r="F1023" s="2" t="str">
        <f>VLOOKUP(Table1113[[#This Row],[نام کارشناس دفتر فنی]],Table1[],3,0)</f>
        <v>کارشناس بازرسی وبرنامه ریزی تعمیرات برق وابزاردقیق(1)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1040</v>
      </c>
      <c r="B1024" s="11" t="s">
        <v>3576</v>
      </c>
      <c r="C1024" s="11" t="s">
        <v>3576</v>
      </c>
      <c r="D1024" s="2" t="s">
        <v>3697</v>
      </c>
      <c r="E1024" s="2" t="s">
        <v>393</v>
      </c>
      <c r="F1024" s="2" t="str">
        <f>VLOOKUP(Table1113[[#This Row],[نام کارشناس دفتر فنی]],Table1[],3,0)</f>
        <v>کارشناس بازرسی وبرنامه ریزی تعمیرات برق وابزاردقیق(1)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1042</v>
      </c>
      <c r="B1025" s="11" t="s">
        <v>3581</v>
      </c>
      <c r="C1025" s="11" t="s">
        <v>3581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1043</v>
      </c>
      <c r="B1026" s="11" t="s">
        <v>3583</v>
      </c>
      <c r="C1026" s="11" t="s">
        <v>3583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1044</v>
      </c>
      <c r="B1027" s="11" t="s">
        <v>3585</v>
      </c>
      <c r="C1027" s="11" t="s">
        <v>3585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1045</v>
      </c>
      <c r="B1028" s="11" t="s">
        <v>3587</v>
      </c>
      <c r="C1028" s="11" t="s">
        <v>3587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1046</v>
      </c>
      <c r="B1029" s="11" t="s">
        <v>3589</v>
      </c>
      <c r="C1029" s="11" t="s">
        <v>3589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1047</v>
      </c>
      <c r="B1030" s="11" t="s">
        <v>3591</v>
      </c>
      <c r="C1030" s="11" t="s">
        <v>3591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1048</v>
      </c>
      <c r="B1031" s="11" t="s">
        <v>3593</v>
      </c>
      <c r="C1031" s="11" t="s">
        <v>3593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1049</v>
      </c>
      <c r="B1032" s="11" t="s">
        <v>3595</v>
      </c>
      <c r="C1032" s="11" t="s">
        <v>3595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1050</v>
      </c>
      <c r="B1033" s="11" t="s">
        <v>3597</v>
      </c>
      <c r="C1033" s="11" t="s">
        <v>3597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1051</v>
      </c>
      <c r="B1034" s="11" t="s">
        <v>3599</v>
      </c>
      <c r="C1034" s="11" t="s">
        <v>3599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1052</v>
      </c>
      <c r="B1035" s="11" t="s">
        <v>3601</v>
      </c>
      <c r="C1035" s="11" t="s">
        <v>3601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1053</v>
      </c>
      <c r="B1036" s="11" t="s">
        <v>3603</v>
      </c>
      <c r="C1036" s="11" t="s">
        <v>3603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1054</v>
      </c>
      <c r="B1037" s="11" t="s">
        <v>3605</v>
      </c>
      <c r="C1037" s="11" t="s">
        <v>3605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1055</v>
      </c>
      <c r="B1038" s="11" t="s">
        <v>3607</v>
      </c>
      <c r="C1038" s="11" t="s">
        <v>3607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1056</v>
      </c>
      <c r="B1039" s="11" t="s">
        <v>3609</v>
      </c>
      <c r="C1039" s="11" t="s">
        <v>3609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1057</v>
      </c>
      <c r="B1040" s="11" t="s">
        <v>3611</v>
      </c>
      <c r="C1040" s="11" t="s">
        <v>3611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1058</v>
      </c>
      <c r="B1041" s="11" t="s">
        <v>3613</v>
      </c>
      <c r="C1041" s="11" t="s">
        <v>3613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1059</v>
      </c>
      <c r="B1042" s="11" t="s">
        <v>3615</v>
      </c>
      <c r="C1042" s="11" t="s">
        <v>3615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1060</v>
      </c>
      <c r="B1043" s="11" t="s">
        <v>3617</v>
      </c>
      <c r="C1043" s="11" t="s">
        <v>3617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1061</v>
      </c>
      <c r="B1044" s="11" t="s">
        <v>3619</v>
      </c>
      <c r="C1044" s="11" t="s">
        <v>3619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1062</v>
      </c>
      <c r="B1045" s="11" t="s">
        <v>3621</v>
      </c>
      <c r="C1045" s="11" t="s">
        <v>3621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1064</v>
      </c>
      <c r="B1046" s="11" t="s">
        <v>3626</v>
      </c>
      <c r="C1046" s="11" t="s">
        <v>3626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1065</v>
      </c>
      <c r="B1047" s="11" t="s">
        <v>3628</v>
      </c>
      <c r="C1047" s="11" t="s">
        <v>3628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1066</v>
      </c>
      <c r="B1048" s="11" t="s">
        <v>3630</v>
      </c>
      <c r="C1048" s="11" t="s">
        <v>3630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1067</v>
      </c>
      <c r="B1049" s="11" t="s">
        <v>3632</v>
      </c>
      <c r="C1049" s="11" t="s">
        <v>3632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1068</v>
      </c>
      <c r="B1050" s="11" t="s">
        <v>3634</v>
      </c>
      <c r="C1050" s="11" t="s">
        <v>3634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1069</v>
      </c>
      <c r="B1051" s="11" t="s">
        <v>3636</v>
      </c>
      <c r="C1051" s="11" t="s">
        <v>3636</v>
      </c>
      <c r="D1051" s="2" t="s">
        <v>3697</v>
      </c>
      <c r="E1051" s="2" t="s">
        <v>566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1070</v>
      </c>
      <c r="B1052" s="11" t="s">
        <v>3638</v>
      </c>
      <c r="C1052" s="11" t="s">
        <v>3638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1071</v>
      </c>
      <c r="B1053" s="11" t="s">
        <v>3640</v>
      </c>
      <c r="C1053" s="11" t="s">
        <v>3640</v>
      </c>
      <c r="D1053" s="2" t="s">
        <v>3697</v>
      </c>
      <c r="E1053" s="2" t="s">
        <v>566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1072</v>
      </c>
      <c r="B1054" s="11" t="s">
        <v>3642</v>
      </c>
      <c r="C1054" s="11" t="s">
        <v>3642</v>
      </c>
      <c r="D1054" s="2" t="s">
        <v>3697</v>
      </c>
      <c r="E1054" s="2" t="s">
        <v>566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1073</v>
      </c>
      <c r="B1055" s="11" t="s">
        <v>3644</v>
      </c>
      <c r="C1055" s="11" t="s">
        <v>3644</v>
      </c>
      <c r="D1055" s="2" t="s">
        <v>3697</v>
      </c>
      <c r="E1055" s="2" t="s">
        <v>566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1074</v>
      </c>
      <c r="B1056" s="11" t="s">
        <v>3646</v>
      </c>
      <c r="C1056" s="11" t="s">
        <v>3646</v>
      </c>
      <c r="D1056" s="2" t="s">
        <v>3697</v>
      </c>
      <c r="E1056" s="2" t="s">
        <v>566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1075</v>
      </c>
      <c r="B1057" s="11" t="s">
        <v>3648</v>
      </c>
      <c r="C1057" s="11" t="s">
        <v>3648</v>
      </c>
      <c r="D1057" s="2" t="s">
        <v>3697</v>
      </c>
      <c r="E1057" s="2" t="s">
        <v>566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1076</v>
      </c>
      <c r="B1058" s="11" t="s">
        <v>3650</v>
      </c>
      <c r="C1058" s="11" t="s">
        <v>3650</v>
      </c>
      <c r="D1058" s="2" t="s">
        <v>3697</v>
      </c>
      <c r="E1058" s="2" t="s">
        <v>566</v>
      </c>
      <c r="F1058" s="2" t="str">
        <f>VLOOKUP(Table1113[[#This Row],[نام کارشناس دفتر فنی]],Table1[],3,0)</f>
        <v>کارشناس بازرسی وبرنامه ریزی تعمیرات برق وابزاردقیق(2)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1077</v>
      </c>
      <c r="B1059" s="11" t="s">
        <v>3652</v>
      </c>
      <c r="C1059" s="11" t="s">
        <v>3652</v>
      </c>
      <c r="D1059" s="2" t="s">
        <v>3697</v>
      </c>
      <c r="E1059" s="2" t="s">
        <v>566</v>
      </c>
      <c r="F1059" s="2" t="str">
        <f>VLOOKUP(Table1113[[#This Row],[نام کارشناس دفتر فنی]],Table1[],3,0)</f>
        <v>کارشناس بازرسی وبرنامه ریزی تعمیرات برق وابزاردقیق(2)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1078</v>
      </c>
      <c r="B1060" s="11" t="s">
        <v>3654</v>
      </c>
      <c r="C1060" s="11" t="s">
        <v>3654</v>
      </c>
      <c r="D1060" s="2" t="s">
        <v>3697</v>
      </c>
      <c r="E1060" s="2" t="s">
        <v>566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1079</v>
      </c>
      <c r="B1061" s="11" t="s">
        <v>3656</v>
      </c>
      <c r="C1061" s="11" t="s">
        <v>3656</v>
      </c>
      <c r="D1061" s="2" t="s">
        <v>3697</v>
      </c>
      <c r="E1061" s="2" t="s">
        <v>566</v>
      </c>
      <c r="F1061" s="2" t="str">
        <f>VLOOKUP(Table1113[[#This Row],[نام کارشناس دفتر فنی]],Table1[],3,0)</f>
        <v>کارشناس بازرسی وبرنامه ریزی تعمیرات برق وابزاردقیق(2)</v>
      </c>
      <c r="G1061" s="2" t="s">
        <v>998</v>
      </c>
      <c r="H1061" s="4" t="str">
        <f>VLOOKUP(Table1113[[#This Row],[نام شخص کارشناس نظارت]],Table1[],3,0)</f>
        <v>کارشناس برق و ابزار دقیق نظارت (2)</v>
      </c>
      <c r="I1061" s="8">
        <f>COUNTIF(Table2[کد سیستم],Table1113[[#This Row],[کد سیستم]])</f>
        <v>1</v>
      </c>
    </row>
    <row r="1062" spans="1:9" x14ac:dyDescent="0.25">
      <c r="A1062" s="7">
        <v>1080</v>
      </c>
      <c r="B1062" s="11" t="s">
        <v>3658</v>
      </c>
      <c r="C1062" s="11" t="s">
        <v>3658</v>
      </c>
      <c r="D1062" s="2" t="s">
        <v>3697</v>
      </c>
      <c r="E1062" s="2" t="s">
        <v>566</v>
      </c>
      <c r="F1062" s="2" t="str">
        <f>VLOOKUP(Table1113[[#This Row],[نام کارشناس دفتر فنی]],Table1[],3,0)</f>
        <v>کارشناس بازرسی وبرنامه ریزی تعمیرات برق وابزاردقیق(2)</v>
      </c>
      <c r="G1062" s="2" t="s">
        <v>998</v>
      </c>
      <c r="H1062" s="4" t="str">
        <f>VLOOKUP(Table1113[[#This Row],[نام شخص کارشناس نظارت]],Table1[],3,0)</f>
        <v>کارشناس برق و ابزار دقیق نظارت (2)</v>
      </c>
      <c r="I1062" s="8">
        <f>COUNTIF(Table2[کد سیستم],Table1113[[#This Row],[کد سیستم]])</f>
        <v>1</v>
      </c>
    </row>
    <row r="1063" spans="1:9" x14ac:dyDescent="0.25">
      <c r="A1063" s="7">
        <v>1081</v>
      </c>
      <c r="B1063" s="11" t="s">
        <v>3660</v>
      </c>
      <c r="C1063" s="11" t="s">
        <v>3660</v>
      </c>
      <c r="D1063" s="2" t="s">
        <v>3697</v>
      </c>
      <c r="E1063" s="2" t="s">
        <v>393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998</v>
      </c>
      <c r="H1063" s="4" t="str">
        <f>VLOOKUP(Table1113[[#This Row],[نام شخص کارشناس نظارت]],Table1[],3,0)</f>
        <v>کارشناس برق و ابزار دقیق نظارت (2)</v>
      </c>
      <c r="I1063" s="8">
        <f>COUNTIF(Table2[کد سیستم],Table1113[[#This Row],[کد سیستم]])</f>
        <v>1</v>
      </c>
    </row>
    <row r="1064" spans="1:9" x14ac:dyDescent="0.25">
      <c r="A1064" s="9"/>
      <c r="B1064" s="40" t="s">
        <v>3662</v>
      </c>
      <c r="C1064" s="40" t="s">
        <v>3662</v>
      </c>
      <c r="D1064" s="20" t="s">
        <v>3697</v>
      </c>
      <c r="E1064" s="21"/>
      <c r="F1064" s="21"/>
      <c r="G1064" s="20"/>
      <c r="H1064" s="21"/>
      <c r="I1064" s="10">
        <f>COUNTIF(Table2[کد سیستم],Table1113[[#This Row],[کد سیستم]])</f>
        <v>1</v>
      </c>
    </row>
    <row r="1065" spans="1:9" x14ac:dyDescent="0.25">
      <c r="A1065" s="7">
        <v>1083</v>
      </c>
      <c r="B1065" s="11" t="s">
        <v>3664</v>
      </c>
      <c r="C1065" s="11" t="s">
        <v>3664</v>
      </c>
      <c r="D1065" s="20" t="s">
        <v>3697</v>
      </c>
      <c r="E1065" s="2" t="s">
        <v>566</v>
      </c>
      <c r="F1065" s="2" t="str">
        <f>VLOOKUP(Table1113[[#This Row],[نام کارشناس دفتر فنی]],Table1[],3,0)</f>
        <v>کارشناس بازرسی وبرنامه ریزی تعمیرات برق وابزاردقیق(2)</v>
      </c>
      <c r="G1065" s="2" t="s">
        <v>998</v>
      </c>
      <c r="H1065" s="4" t="str">
        <f>VLOOKUP(Table1113[[#This Row],[نام شخص کارشناس نظارت]],Table1[],3,0)</f>
        <v>کارشناس برق و ابزار دقیق نظارت (2)</v>
      </c>
      <c r="I1065" s="10">
        <f>COUNTIF(Table2[کد سیستم],Table1113[[#This Row],[کد سیستم]])</f>
        <v>1</v>
      </c>
    </row>
    <row r="1066" spans="1:9" x14ac:dyDescent="0.25">
      <c r="A1066" s="7">
        <v>1084</v>
      </c>
      <c r="B1066" s="11" t="s">
        <v>3666</v>
      </c>
      <c r="C1066" s="11" t="s">
        <v>3666</v>
      </c>
      <c r="D1066" s="20" t="s">
        <v>3697</v>
      </c>
      <c r="E1066" s="2" t="s">
        <v>393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998</v>
      </c>
      <c r="H1066" s="4" t="str">
        <f>VLOOKUP(Table1113[[#This Row],[نام شخص کارشناس نظارت]],Table1[],3,0)</f>
        <v>کارشناس برق و ابزار دقیق نظارت (2)</v>
      </c>
      <c r="I1066" s="10">
        <f>COUNTIF(Table2[کد سیستم],Table1113[[#This Row],[کد سیستم]])</f>
        <v>1</v>
      </c>
    </row>
    <row r="1067" spans="1:9" x14ac:dyDescent="0.25">
      <c r="A1067" s="7">
        <v>1085</v>
      </c>
      <c r="B1067" s="11" t="s">
        <v>3668</v>
      </c>
      <c r="C1067" s="11" t="s">
        <v>3668</v>
      </c>
      <c r="D1067" s="20" t="s">
        <v>3697</v>
      </c>
      <c r="E1067" s="2" t="s">
        <v>393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998</v>
      </c>
      <c r="H1067" s="4" t="str">
        <f>VLOOKUP(Table1113[[#This Row],[نام شخص کارشناس نظارت]],Table1[],3,0)</f>
        <v>کارشناس برق و ابزار دقیق نظارت (2)</v>
      </c>
      <c r="I1067" s="10">
        <f>COUNTIF(Table2[کد سیستم],Table1113[[#This Row],[کد سیستم]])</f>
        <v>1</v>
      </c>
    </row>
    <row r="1068" spans="1:9" x14ac:dyDescent="0.25">
      <c r="A1068" s="7">
        <v>1086</v>
      </c>
      <c r="B1068" s="11" t="s">
        <v>3670</v>
      </c>
      <c r="C1068" s="11" t="s">
        <v>3670</v>
      </c>
      <c r="D1068" s="20" t="s">
        <v>3697</v>
      </c>
      <c r="E1068" s="2" t="s">
        <v>393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998</v>
      </c>
      <c r="H1068" s="4" t="str">
        <f>VLOOKUP(Table1113[[#This Row],[نام شخص کارشناس نظارت]],Table1[],3,0)</f>
        <v>کارشناس برق و ابزار دقیق نظارت (2)</v>
      </c>
      <c r="I1068" s="10">
        <f>COUNTIF(Table2[کد سیستم],Table1113[[#This Row],[کد سیستم]])</f>
        <v>1</v>
      </c>
    </row>
    <row r="1069" spans="1:9" x14ac:dyDescent="0.25">
      <c r="A1069" s="7">
        <v>1087</v>
      </c>
      <c r="B1069" s="11" t="s">
        <v>3672</v>
      </c>
      <c r="C1069" s="11" t="s">
        <v>3672</v>
      </c>
      <c r="D1069" s="20" t="s">
        <v>3697</v>
      </c>
      <c r="E1069" s="2" t="s">
        <v>393</v>
      </c>
      <c r="F1069" s="2" t="str">
        <f>VLOOKUP(Table1113[[#This Row],[نام کارشناس دفتر فنی]],Table1[],3,0)</f>
        <v>کارشناس بازرسی وبرنامه ریزی تعمیرات برق وابزاردقیق(1)</v>
      </c>
      <c r="G1069" s="2" t="s">
        <v>998</v>
      </c>
      <c r="H1069" s="4" t="str">
        <f>VLOOKUP(Table1113[[#This Row],[نام شخص کارشناس نظارت]],Table1[],3,0)</f>
        <v>کارشناس برق و ابزار دقیق نظارت (2)</v>
      </c>
      <c r="I1069" s="10">
        <f>COUNTIF(Table2[کد سیستم],Table1113[[#This Row],[کد سیستم]])</f>
        <v>1</v>
      </c>
    </row>
    <row r="1070" spans="1:9" x14ac:dyDescent="0.25">
      <c r="A1070" s="7">
        <v>1088</v>
      </c>
      <c r="B1070" s="11" t="s">
        <v>3674</v>
      </c>
      <c r="C1070" s="11" t="s">
        <v>3674</v>
      </c>
      <c r="D1070" s="20" t="s">
        <v>3697</v>
      </c>
      <c r="E1070" s="2" t="s">
        <v>393</v>
      </c>
      <c r="F1070" s="2" t="str">
        <f>VLOOKUP(Table1113[[#This Row],[نام کارشناس دفتر فنی]],Table1[],3,0)</f>
        <v>کارشناس بازرسی وبرنامه ریزی تعمیرات برق وابزاردقیق(1)</v>
      </c>
      <c r="G1070" s="2" t="s">
        <v>998</v>
      </c>
      <c r="H1070" s="4" t="str">
        <f>VLOOKUP(Table1113[[#This Row],[نام شخص کارشناس نظارت]],Table1[],3,0)</f>
        <v>کارشناس برق و ابزار دقیق نظارت (2)</v>
      </c>
      <c r="I1070" s="10">
        <f>COUNTIF(Table2[کد سیستم],Table1113[[#This Row],[کد سیستم]])</f>
        <v>1</v>
      </c>
    </row>
    <row r="1071" spans="1:9" x14ac:dyDescent="0.25">
      <c r="A1071" s="7">
        <v>1089</v>
      </c>
      <c r="B1071" s="11" t="s">
        <v>3676</v>
      </c>
      <c r="C1071" s="11" t="s">
        <v>3676</v>
      </c>
      <c r="D1071" s="20" t="s">
        <v>3697</v>
      </c>
      <c r="E1071" s="2" t="s">
        <v>393</v>
      </c>
      <c r="F1071" s="2" t="str">
        <f>VLOOKUP(Table1113[[#This Row],[نام کارشناس دفتر فنی]],Table1[],3,0)</f>
        <v>کارشناس بازرسی وبرنامه ریزی تعمیرات برق وابزاردقیق(1)</v>
      </c>
      <c r="G1071" s="2" t="s">
        <v>998</v>
      </c>
      <c r="H1071" s="4" t="str">
        <f>VLOOKUP(Table1113[[#This Row],[نام شخص کارشناس نظارت]],Table1[],3,0)</f>
        <v>کارشناس برق و ابزار دقیق نظارت (2)</v>
      </c>
      <c r="I1071" s="10">
        <f>COUNTIF(Table2[کد سیستم],Table1113[[#This Row],[کد سیستم]])</f>
        <v>1</v>
      </c>
    </row>
    <row r="1072" spans="1:9" x14ac:dyDescent="0.25">
      <c r="A1072" s="7">
        <v>1090</v>
      </c>
      <c r="B1072" s="11" t="s">
        <v>3678</v>
      </c>
      <c r="C1072" s="11" t="s">
        <v>3678</v>
      </c>
      <c r="D1072" s="20" t="s">
        <v>3697</v>
      </c>
      <c r="E1072" s="2" t="s">
        <v>393</v>
      </c>
      <c r="F1072" s="2" t="str">
        <f>VLOOKUP(Table1113[[#This Row],[نام کارشناس دفتر فنی]],Table1[],3,0)</f>
        <v>کارشناس بازرسی وبرنامه ریزی تعمیرات برق وابزاردقیق(1)</v>
      </c>
      <c r="G1072" s="2" t="s">
        <v>998</v>
      </c>
      <c r="H1072" s="4" t="str">
        <f>VLOOKUP(Table1113[[#This Row],[نام شخص کارشناس نظارت]],Table1[],3,0)</f>
        <v>کارشناس برق و ابزار دقیق نظارت (2)</v>
      </c>
      <c r="I1072" s="10">
        <f>COUNTIF(Table2[کد سیستم],Table1113[[#This Row],[کد سیستم]])</f>
        <v>1</v>
      </c>
    </row>
    <row r="1073" spans="1:9" x14ac:dyDescent="0.25">
      <c r="A1073" s="7">
        <v>1091</v>
      </c>
      <c r="B1073" s="11" t="s">
        <v>3680</v>
      </c>
      <c r="C1073" s="11" t="s">
        <v>3680</v>
      </c>
      <c r="D1073" s="20" t="s">
        <v>3697</v>
      </c>
      <c r="E1073" s="2" t="s">
        <v>393</v>
      </c>
      <c r="F1073" s="2" t="str">
        <f>VLOOKUP(Table1113[[#This Row],[نام کارشناس دفتر فنی]],Table1[],3,0)</f>
        <v>کارشناس بازرسی وبرنامه ریزی تعمیرات برق وابزاردقیق(1)</v>
      </c>
      <c r="G1073" s="2" t="s">
        <v>998</v>
      </c>
      <c r="H1073" s="4" t="str">
        <f>VLOOKUP(Table1113[[#This Row],[نام شخص کارشناس نظارت]],Table1[],3,0)</f>
        <v>کارشناس برق و ابزار دقیق نظارت (2)</v>
      </c>
      <c r="I1073" s="10">
        <f>COUNTIF(Table2[کد سیستم],Table1113[[#This Row],[کد سیستم]])</f>
        <v>1</v>
      </c>
    </row>
    <row r="1074" spans="1:9" x14ac:dyDescent="0.25">
      <c r="A1074" s="7">
        <v>730</v>
      </c>
      <c r="B1074" s="11" t="s">
        <v>2981</v>
      </c>
      <c r="C1074" s="11" t="s">
        <v>2982</v>
      </c>
      <c r="D1074" s="20" t="s">
        <v>3697</v>
      </c>
      <c r="E1074" s="2" t="s">
        <v>554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998</v>
      </c>
      <c r="H1074" s="4" t="str">
        <f>VLOOKUP(Table1113[[#This Row],[نام شخص کارشناس نظارت]],Table1[],3,0)</f>
        <v>کارشناس برق و ابزار دقیق نظارت (2)</v>
      </c>
      <c r="I1074" s="10">
        <f>COUNTIF(Table2[کد سیستم],Table1113[[#This Row],[کد سیستم]])</f>
        <v>1</v>
      </c>
    </row>
    <row r="1075" spans="1:9" x14ac:dyDescent="0.25">
      <c r="A1075" s="7">
        <v>718</v>
      </c>
      <c r="B1075" s="11" t="s">
        <v>2953</v>
      </c>
      <c r="C1075" s="11">
        <v>950</v>
      </c>
      <c r="D1075" s="20" t="s">
        <v>3697</v>
      </c>
      <c r="E1075" s="2" t="s">
        <v>566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998</v>
      </c>
      <c r="H1075" s="4" t="str">
        <f>VLOOKUP(Table1113[[#This Row],[نام شخص کارشناس نظارت]],Table1[],3,0)</f>
        <v>کارشناس برق و ابزار دقیق نظارت (2)</v>
      </c>
      <c r="I1075" s="10">
        <f>COUNTIF(Table2[کد سیستم],Table1113[[#This Row],[کد سیستم]])</f>
        <v>1</v>
      </c>
    </row>
    <row r="1076" spans="1:9" x14ac:dyDescent="0.25">
      <c r="A1076" s="7"/>
      <c r="B1076" s="39" t="s">
        <v>2693</v>
      </c>
      <c r="C1076" s="39" t="s">
        <v>3968</v>
      </c>
      <c r="D1076" s="20" t="s">
        <v>3697</v>
      </c>
      <c r="E1076" s="4"/>
      <c r="F1076" s="4"/>
      <c r="G1076" s="2"/>
      <c r="H1076" s="4"/>
      <c r="I1076" s="10">
        <f>COUNTIF(Table2[کد سیستم],Table1113[[#This Row],[کد سیستم]])</f>
        <v>1</v>
      </c>
    </row>
    <row r="1077" spans="1:9" x14ac:dyDescent="0.25">
      <c r="A1077" s="7">
        <v>706</v>
      </c>
      <c r="B1077" s="11" t="s">
        <v>2929</v>
      </c>
      <c r="C1077" s="11">
        <v>720</v>
      </c>
      <c r="D1077" s="20" t="s">
        <v>3697</v>
      </c>
      <c r="E1077" s="2" t="s">
        <v>1434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998</v>
      </c>
      <c r="H1077" s="4" t="str">
        <f>VLOOKUP(Table1113[[#This Row],[نام شخص کارشناس نظارت]],Table1[],3,0)</f>
        <v>کارشناس برق و ابزار دقیق نظارت (2)</v>
      </c>
      <c r="I1077" s="10">
        <f>COUNTIF(Table2[کد سیستم],Table1113[[#This Row],[کد سیستم]])</f>
        <v>1</v>
      </c>
    </row>
    <row r="1078" spans="1:9" x14ac:dyDescent="0.25">
      <c r="A1078" s="7">
        <v>752</v>
      </c>
      <c r="B1078" s="11" t="s">
        <v>3022</v>
      </c>
      <c r="C1078" s="11" t="s">
        <v>3023</v>
      </c>
      <c r="D1078" s="20" t="s">
        <v>3697</v>
      </c>
      <c r="E1078" s="2" t="s">
        <v>554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998</v>
      </c>
      <c r="H1078" s="4" t="str">
        <f>VLOOKUP(Table1113[[#This Row],[نام شخص کارشناس نظارت]],Table1[],3,0)</f>
        <v>کارشناس برق و ابزار دقیق نظارت (2)</v>
      </c>
      <c r="I1078" s="10">
        <f>COUNTIF(Table2[کد سیستم],Table1113[[#This Row],[کد سیستم]])</f>
        <v>1</v>
      </c>
    </row>
    <row r="1079" spans="1:9" x14ac:dyDescent="0.25">
      <c r="A1079" s="7">
        <v>578</v>
      </c>
      <c r="B1079" s="11" t="s">
        <v>3776</v>
      </c>
      <c r="C1079" s="11">
        <v>1370</v>
      </c>
      <c r="D1079" s="20" t="s">
        <v>3697</v>
      </c>
      <c r="E1079" s="2" t="s">
        <v>554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1168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748</v>
      </c>
      <c r="B1080" s="11" t="s">
        <v>3019</v>
      </c>
      <c r="C1080" s="11" t="s">
        <v>3020</v>
      </c>
      <c r="D1080" s="20" t="s">
        <v>3697</v>
      </c>
      <c r="E1080" s="2" t="s">
        <v>554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998</v>
      </c>
      <c r="H1080" s="4" t="str">
        <f>VLOOKUP(Table1113[[#This Row],[نام شخص کارشناس نظارت]],Table1[],3,0)</f>
        <v>کارشناس برق و ابزار دقیق نظارت (2)</v>
      </c>
      <c r="I1080" s="10">
        <f>COUNTIF(Table2[کد سیستم],Table1113[[#This Row],[کد سیستم]])</f>
        <v>1</v>
      </c>
    </row>
    <row r="1081" spans="1:9" x14ac:dyDescent="0.25">
      <c r="A1081" s="7">
        <v>715</v>
      </c>
      <c r="B1081" s="11" t="s">
        <v>2947</v>
      </c>
      <c r="C1081" s="11">
        <v>920</v>
      </c>
      <c r="D1081" s="20" t="s">
        <v>3697</v>
      </c>
      <c r="E1081" s="2" t="s">
        <v>566</v>
      </c>
      <c r="F1081" s="2" t="str">
        <f>VLOOKUP(Table1113[[#This Row],[نام کارشناس دفتر فنی]],Table1[],3,0)</f>
        <v>کارشناس بازرسی وبرنامه ریزی تعمیرات برق وابزاردقیق(2)</v>
      </c>
      <c r="G1081" s="2" t="s">
        <v>998</v>
      </c>
      <c r="H1081" s="4" t="str">
        <f>VLOOKUP(Table1113[[#This Row],[نام شخص کارشناس نظارت]],Table1[],3,0)</f>
        <v>کارشناس برق و ابزار دقیق نظارت (2)</v>
      </c>
      <c r="I1081" s="10">
        <f>COUNTIF(Table2[کد سیستم],Table1113[[#This Row],[کد سیستم]])</f>
        <v>1</v>
      </c>
    </row>
    <row r="1082" spans="1:9" x14ac:dyDescent="0.25">
      <c r="A1082" s="7">
        <v>592</v>
      </c>
      <c r="B1082" s="11" t="s">
        <v>2705</v>
      </c>
      <c r="C1082" s="11">
        <v>150</v>
      </c>
      <c r="D1082" s="20" t="s">
        <v>3697</v>
      </c>
      <c r="E1082" s="2" t="s">
        <v>566</v>
      </c>
      <c r="F1082" s="2" t="str">
        <f>VLOOKUP(Table1113[[#This Row],[نام کارشناس دفتر فنی]],Table1[],3,0)</f>
        <v>کارشناس بازرسی وبرنامه ریزی تعمیرات برق وابزاردقیق(2)</v>
      </c>
      <c r="G1082" s="2" t="s">
        <v>998</v>
      </c>
      <c r="H1082" s="4" t="str">
        <f>VLOOKUP(Table1113[[#This Row],[نام شخص کارشناس نظارت]],Table1[],3,0)</f>
        <v>کارشناس برق و ابزار دقیق نظارت (2)</v>
      </c>
      <c r="I1082" s="10">
        <f>COUNTIF(Table2[کد سیستم],Table1113[[#This Row],[کد سیستم]])</f>
        <v>1</v>
      </c>
    </row>
    <row r="1083" spans="1:9" x14ac:dyDescent="0.25">
      <c r="A1083" s="7">
        <v>707</v>
      </c>
      <c r="B1083" s="11" t="s">
        <v>2931</v>
      </c>
      <c r="C1083" s="11">
        <v>730</v>
      </c>
      <c r="D1083" s="20" t="s">
        <v>3697</v>
      </c>
      <c r="E1083" s="2" t="s">
        <v>1434</v>
      </c>
      <c r="F1083" s="2" t="str">
        <f>VLOOKUP(Table1113[[#This Row],[نام کارشناس دفتر فنی]],Table1[],3,0)</f>
        <v>کارشناس بازرسی وبرنامه ریزی تعمیرات برق وابزاردقیق(3)</v>
      </c>
      <c r="G1083" s="2" t="s">
        <v>998</v>
      </c>
      <c r="H1083" s="4" t="str">
        <f>VLOOKUP(Table1113[[#This Row],[نام شخص کارشناس نظارت]],Table1[],3,0)</f>
        <v>کارشناس برق و ابزار دقیق نظارت (2)</v>
      </c>
      <c r="I1083" s="10">
        <f>COUNTIF(Table2[کد سیستم],Table1113[[#This Row],[کد سیستم]])</f>
        <v>1</v>
      </c>
    </row>
    <row r="1084" spans="1:9" x14ac:dyDescent="0.25">
      <c r="A1084" s="7"/>
      <c r="B1084" s="39" t="s">
        <v>2925</v>
      </c>
      <c r="C1084" s="39" t="s">
        <v>4001</v>
      </c>
      <c r="D1084" s="20" t="s">
        <v>3697</v>
      </c>
      <c r="E1084" s="4"/>
      <c r="F1084" s="4"/>
      <c r="G1084" s="2"/>
      <c r="H1084" s="4"/>
      <c r="I1084" s="10">
        <f>COUNTIF(Table2[کد سیستم],Table1113[[#This Row],[کد سیستم]])</f>
        <v>1</v>
      </c>
    </row>
    <row r="1085" spans="1:9" x14ac:dyDescent="0.25">
      <c r="A1085" s="7"/>
      <c r="B1085" s="39" t="s">
        <v>2960</v>
      </c>
      <c r="C1085" s="39" t="s">
        <v>2961</v>
      </c>
      <c r="D1085" s="20" t="s">
        <v>3697</v>
      </c>
      <c r="E1085" s="4"/>
      <c r="F1085" s="4"/>
      <c r="G1085" s="2"/>
      <c r="H1085" s="4"/>
      <c r="I1085" s="10">
        <f>COUNTIF(Table2[کد سیستم],Table1113[[#This Row],[کد سیستم]])</f>
        <v>1</v>
      </c>
    </row>
    <row r="1086" spans="1:9" x14ac:dyDescent="0.25">
      <c r="A1086" s="7">
        <v>571</v>
      </c>
      <c r="B1086" s="11" t="s">
        <v>2666</v>
      </c>
      <c r="C1086" s="11">
        <v>1360</v>
      </c>
      <c r="D1086" s="20" t="s">
        <v>3697</v>
      </c>
      <c r="E1086" s="2" t="s">
        <v>554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998</v>
      </c>
      <c r="H1086" s="4" t="str">
        <f>VLOOKUP(Table1113[[#This Row],[نام شخص کارشناس نظارت]],Table1[],3,0)</f>
        <v>کارشناس برق و ابزار دقیق نظارت (2)</v>
      </c>
      <c r="I1086" s="10">
        <f>COUNTIF(Table2[کد سیستم],Table1113[[#This Row],[کد سیستم]])</f>
        <v>1</v>
      </c>
    </row>
    <row r="1087" spans="1:9" x14ac:dyDescent="0.25">
      <c r="A1087" s="7">
        <v>846</v>
      </c>
      <c r="B1087" s="11" t="s">
        <v>3213</v>
      </c>
      <c r="C1087" s="11" t="s">
        <v>3214</v>
      </c>
      <c r="D1087" s="20" t="s">
        <v>3697</v>
      </c>
      <c r="E1087" s="2" t="s">
        <v>554</v>
      </c>
      <c r="F1087" s="2" t="str">
        <f>VLOOKUP(Table1113[[#This Row],[نام کارشناس دفتر فنی]],Table1[],3,0)</f>
        <v>کارشناس کالیبراسیون و برنامه ریزی تعمیرات برق وابزاردقیق</v>
      </c>
      <c r="G1087" s="2" t="s">
        <v>998</v>
      </c>
      <c r="H1087" s="4" t="str">
        <f>VLOOKUP(Table1113[[#This Row],[نام شخص کارشناس نظارت]],Table1[],3,0)</f>
        <v>کارشناس برق و ابزار دقیق نظارت (2)</v>
      </c>
      <c r="I1087" s="10">
        <f>COUNTIF(Table2[کد سیستم],Table1113[[#This Row],[کد سیستم]])</f>
        <v>1</v>
      </c>
    </row>
    <row r="1088" spans="1:9" x14ac:dyDescent="0.25">
      <c r="A1088" s="7"/>
      <c r="B1088" s="39" t="s">
        <v>3213</v>
      </c>
      <c r="C1088" s="39" t="s">
        <v>3214</v>
      </c>
      <c r="D1088" s="20" t="s">
        <v>3697</v>
      </c>
      <c r="E1088" s="4"/>
      <c r="F1088" s="4"/>
      <c r="G1088" s="2"/>
      <c r="H1088" s="4"/>
      <c r="I1088" s="10">
        <f>COUNTIF(Table2[کد سیستم],Table1113[[#This Row],[کد سیستم]])</f>
        <v>1</v>
      </c>
    </row>
    <row r="1089" spans="1:9" x14ac:dyDescent="0.25">
      <c r="A1089" s="7">
        <v>504</v>
      </c>
      <c r="B1089" s="11" t="s">
        <v>2534</v>
      </c>
      <c r="C1089" s="11">
        <v>1110</v>
      </c>
      <c r="D1089" s="20" t="s">
        <v>3697</v>
      </c>
      <c r="E1089" s="2" t="s">
        <v>554</v>
      </c>
      <c r="F1089" s="2" t="str">
        <f>VLOOKUP(Table1113[[#This Row],[نام کارشناس دفتر فنی]],Table1[],3,0)</f>
        <v>کارشناس کالیبراسیون و برنامه ریزی تعمیرات برق وابزاردقیق</v>
      </c>
      <c r="G1089" s="2" t="s">
        <v>998</v>
      </c>
      <c r="H1089" s="4" t="str">
        <f>VLOOKUP(Table1113[[#This Row],[نام شخص کارشناس نظارت]],Table1[],3,0)</f>
        <v>کارشناس برق و ابزار دقیق نظارت (2)</v>
      </c>
      <c r="I1089" s="10">
        <f>COUNTIF(Table2[کد سیستم],Table1113[[#This Row],[کد سیستم]])</f>
        <v>1</v>
      </c>
    </row>
    <row r="1090" spans="1:9" x14ac:dyDescent="0.25">
      <c r="A1090" s="7">
        <v>503</v>
      </c>
      <c r="B1090" s="11" t="s">
        <v>2532</v>
      </c>
      <c r="C1090" s="11">
        <v>1100</v>
      </c>
      <c r="D1090" s="20" t="s">
        <v>3697</v>
      </c>
      <c r="E1090" s="2" t="s">
        <v>554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998</v>
      </c>
      <c r="H1090" s="4" t="str">
        <f>VLOOKUP(Table1113[[#This Row],[نام شخص کارشناس نظارت]],Table1[],3,0)</f>
        <v>کارشناس برق و ابزار دقیق نظارت (2)</v>
      </c>
      <c r="I1090" s="10">
        <f>COUNTIF(Table2[کد سیستم],Table1113[[#This Row],[کد سیستم]])</f>
        <v>1</v>
      </c>
    </row>
    <row r="1091" spans="1:9" x14ac:dyDescent="0.25">
      <c r="A1091" s="7"/>
      <c r="B1091" s="39" t="s">
        <v>2532</v>
      </c>
      <c r="C1091" s="39" t="s">
        <v>3920</v>
      </c>
      <c r="D1091" s="20" t="s">
        <v>3697</v>
      </c>
      <c r="E1091" s="4"/>
      <c r="F1091" s="4"/>
      <c r="G1091" s="2"/>
      <c r="H1091" s="4"/>
      <c r="I1091" s="10">
        <f>COUNTIF(Table2[کد سیستم],Table1113[[#This Row],[کد سیستم]])</f>
        <v>1</v>
      </c>
    </row>
    <row r="1092" spans="1:9" x14ac:dyDescent="0.25">
      <c r="A1092" s="7"/>
      <c r="B1092" s="39" t="s">
        <v>2903</v>
      </c>
      <c r="C1092" s="39" t="s">
        <v>3989</v>
      </c>
      <c r="D1092" s="20" t="s">
        <v>3697</v>
      </c>
      <c r="E1092" s="4"/>
      <c r="F1092" s="4"/>
      <c r="G1092" s="2"/>
      <c r="H1092" s="4"/>
      <c r="I1092" s="10">
        <f>COUNTIF(Table2[کد سیستم],Table1113[[#This Row],[کد سیستم]])</f>
        <v>1</v>
      </c>
    </row>
    <row r="1093" spans="1:9" x14ac:dyDescent="0.25">
      <c r="A1093" s="7">
        <v>693</v>
      </c>
      <c r="B1093" s="11" t="s">
        <v>2905</v>
      </c>
      <c r="C1093" s="11">
        <v>210</v>
      </c>
      <c r="D1093" s="20" t="s">
        <v>3697</v>
      </c>
      <c r="E1093" s="2" t="s">
        <v>554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998</v>
      </c>
      <c r="H1093" s="4" t="str">
        <f>VLOOKUP(Table1113[[#This Row],[نام شخص کارشناس نظارت]],Table1[],3,0)</f>
        <v>کارشناس برق و ابزار دقیق نظارت (2)</v>
      </c>
      <c r="I1093" s="10">
        <f>COUNTIF(Table2[کد سیستم],Table1113[[#This Row],[کد سیستم]])</f>
        <v>1</v>
      </c>
    </row>
    <row r="1094" spans="1:9" x14ac:dyDescent="0.25">
      <c r="A1094" s="7">
        <v>517</v>
      </c>
      <c r="B1094" s="11" t="s">
        <v>2558</v>
      </c>
      <c r="C1094" s="11">
        <v>130</v>
      </c>
      <c r="D1094" s="20" t="s">
        <v>3697</v>
      </c>
      <c r="E1094" s="2" t="s">
        <v>566</v>
      </c>
      <c r="F1094" s="2" t="str">
        <f>VLOOKUP(Table1113[[#This Row],[نام کارشناس دفتر فنی]],Table1[],3,0)</f>
        <v>کارشناس بازرسی وبرنامه ریزی تعمیرات برق وابزاردقیق(2)</v>
      </c>
      <c r="G1094" s="2" t="s">
        <v>998</v>
      </c>
      <c r="H1094" s="4" t="str">
        <f>VLOOKUP(Table1113[[#This Row],[نام شخص کارشناس نظارت]],Table1[],3,0)</f>
        <v>کارشناس برق و ابزار دقیق نظارت (2)</v>
      </c>
      <c r="I1094" s="10">
        <f>COUNTIF(Table2[کد سیستم],Table1113[[#This Row],[کد سیستم]])</f>
        <v>1</v>
      </c>
    </row>
    <row r="1095" spans="1:9" x14ac:dyDescent="0.25">
      <c r="A1095" s="7"/>
      <c r="B1095" s="39" t="s">
        <v>2540</v>
      </c>
      <c r="C1095" s="39" t="s">
        <v>3925</v>
      </c>
      <c r="D1095" s="20" t="s">
        <v>3697</v>
      </c>
      <c r="E1095" s="4"/>
      <c r="F1095" s="4"/>
      <c r="G1095" s="2"/>
      <c r="H1095" s="4"/>
      <c r="I1095" s="10">
        <f>COUNTIF(Table2[کد سیستم],Table1113[[#This Row],[کد سیستم]])</f>
        <v>1</v>
      </c>
    </row>
    <row r="1096" spans="1:9" x14ac:dyDescent="0.25">
      <c r="A1096" s="7">
        <v>509</v>
      </c>
      <c r="B1096" s="11" t="s">
        <v>2542</v>
      </c>
      <c r="C1096" s="11">
        <v>1210</v>
      </c>
      <c r="D1096" s="20" t="s">
        <v>3697</v>
      </c>
      <c r="E1096" s="2" t="s">
        <v>554</v>
      </c>
      <c r="F1096" s="2" t="str">
        <f>VLOOKUP(Table1113[[#This Row],[نام کارشناس دفتر فنی]],Table1[],3,0)</f>
        <v>کارشناس کالیبراسیون و برنامه ریزی تعمیرات برق وابزاردقیق</v>
      </c>
      <c r="G1096" s="2" t="s">
        <v>998</v>
      </c>
      <c r="H1096" s="4" t="str">
        <f>VLOOKUP(Table1113[[#This Row],[نام شخص کارشناس نظارت]],Table1[],3,0)</f>
        <v>کارشناس برق و ابزار دقیق نظارت (2)</v>
      </c>
      <c r="I1096" s="10">
        <f>COUNTIF(Table2[کد سیستم],Table1113[[#This Row],[کد سیستم]])</f>
        <v>1</v>
      </c>
    </row>
    <row r="1097" spans="1:9" x14ac:dyDescent="0.25">
      <c r="A1097" s="7"/>
      <c r="B1097" s="39" t="s">
        <v>2707</v>
      </c>
      <c r="C1097" s="39" t="s">
        <v>3970</v>
      </c>
      <c r="D1097" s="20" t="s">
        <v>3697</v>
      </c>
      <c r="E1097" s="4"/>
      <c r="F1097" s="4"/>
      <c r="G1097" s="2"/>
      <c r="H1097" s="4"/>
      <c r="I1097" s="10">
        <f>COUNTIF(Table2[کد سیستم],Table1113[[#This Row],[کد سیستم]])</f>
        <v>1</v>
      </c>
    </row>
    <row r="1098" spans="1:9" x14ac:dyDescent="0.25">
      <c r="A1098" s="7">
        <v>700</v>
      </c>
      <c r="B1098" s="11" t="s">
        <v>2917</v>
      </c>
      <c r="C1098" s="11">
        <v>520</v>
      </c>
      <c r="D1098" s="20" t="s">
        <v>3697</v>
      </c>
      <c r="E1098" s="2" t="s">
        <v>393</v>
      </c>
      <c r="F1098" s="2" t="str">
        <f>VLOOKUP(Table1113[[#This Row],[نام کارشناس دفتر فنی]],Table1[],3,0)</f>
        <v>کارشناس بازرسی وبرنامه ریزی تعمیرات برق وابزاردقیق(1)</v>
      </c>
      <c r="G1098" s="2" t="s">
        <v>998</v>
      </c>
      <c r="H1098" s="4" t="str">
        <f>VLOOKUP(Table1113[[#This Row],[نام شخص کارشناس نظارت]],Table1[],3,0)</f>
        <v>کارشناس برق و ابزار دقیق نظارت (2)</v>
      </c>
      <c r="I1098" s="10">
        <f>COUNTIF(Table2[کد سیستم],Table1113[[#This Row],[کد سیستم]])</f>
        <v>1</v>
      </c>
    </row>
    <row r="1099" spans="1:9" x14ac:dyDescent="0.25">
      <c r="A1099" s="7"/>
      <c r="B1099" s="39" t="s">
        <v>2913</v>
      </c>
      <c r="C1099" s="39" t="s">
        <v>3995</v>
      </c>
      <c r="D1099" s="20" t="s">
        <v>3697</v>
      </c>
      <c r="E1099" s="4"/>
      <c r="F1099" s="4"/>
      <c r="G1099" s="2"/>
      <c r="H1099" s="4"/>
      <c r="I1099" s="10">
        <f>COUNTIF(Table2[کد سیستم],Table1113[[#This Row],[کد سیستم]])</f>
        <v>1</v>
      </c>
    </row>
    <row r="1100" spans="1:9" x14ac:dyDescent="0.25">
      <c r="A1100" s="7">
        <v>1092</v>
      </c>
      <c r="B1100" s="11" t="s">
        <v>3682</v>
      </c>
      <c r="C1100" s="11" t="s">
        <v>3683</v>
      </c>
      <c r="D1100" s="20" t="s">
        <v>3697</v>
      </c>
      <c r="E1100" s="2" t="s">
        <v>554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1168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x14ac:dyDescent="0.25">
      <c r="A1101" s="7">
        <v>697</v>
      </c>
      <c r="B1101" s="11" t="s">
        <v>2911</v>
      </c>
      <c r="C1101" s="11">
        <v>410</v>
      </c>
      <c r="D1101" s="20" t="s">
        <v>3697</v>
      </c>
      <c r="E1101" s="2" t="s">
        <v>393</v>
      </c>
      <c r="F1101" s="2" t="str">
        <f>VLOOKUP(Table1113[[#This Row],[نام کارشناس دفتر فنی]],Table1[],3,0)</f>
        <v>کارشناس بازرسی وبرنامه ریزی تعمیرات برق وابزاردقیق(1)</v>
      </c>
      <c r="G1101" s="2" t="s">
        <v>998</v>
      </c>
      <c r="H1101" s="4" t="str">
        <f>VLOOKUP(Table1113[[#This Row],[نام شخص کارشناس نظارت]],Table1[],3,0)</f>
        <v>کارشناس برق و ابزار دقیق نظارت (2)</v>
      </c>
      <c r="I1101" s="10">
        <f>COUNTIF(Table2[کد سیستم],Table1113[[#This Row],[کد سیستم]])</f>
        <v>1</v>
      </c>
    </row>
    <row r="1102" spans="1:9" x14ac:dyDescent="0.25">
      <c r="A1102" s="7"/>
      <c r="B1102" s="39" t="s">
        <v>3777</v>
      </c>
      <c r="C1102" s="39" t="s">
        <v>3993</v>
      </c>
      <c r="D1102" s="20" t="s">
        <v>3697</v>
      </c>
      <c r="E1102" s="4"/>
      <c r="F1102" s="4"/>
      <c r="G1102" s="2"/>
      <c r="H1102" s="4"/>
      <c r="I1102" s="10">
        <f>COUNTIF(Table2[کد سیستم],Table1113[[#This Row],[کد سیستم]])</f>
        <v>1</v>
      </c>
    </row>
    <row r="1103" spans="1:9" x14ac:dyDescent="0.25">
      <c r="A1103" s="7">
        <v>739</v>
      </c>
      <c r="B1103" s="11" t="s">
        <v>3002</v>
      </c>
      <c r="C1103" s="11" t="s">
        <v>3003</v>
      </c>
      <c r="D1103" s="20" t="s">
        <v>3697</v>
      </c>
      <c r="E1103" s="2" t="s">
        <v>554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998</v>
      </c>
      <c r="H1103" s="4" t="str">
        <f>VLOOKUP(Table1113[[#This Row],[نام شخص کارشناس نظارت]],Table1[],3,0)</f>
        <v>کارشناس برق و ابزار دقیق نظارت (2)</v>
      </c>
      <c r="I1103" s="10">
        <f>COUNTIF(Table2[کد سیستم],Table1113[[#This Row],[کد سیستم]])</f>
        <v>1</v>
      </c>
    </row>
    <row r="1104" spans="1:9" x14ac:dyDescent="0.25">
      <c r="A1104" s="7">
        <v>703</v>
      </c>
      <c r="B1104" s="11" t="s">
        <v>2923</v>
      </c>
      <c r="C1104" s="11">
        <v>620</v>
      </c>
      <c r="D1104" s="20" t="s">
        <v>3697</v>
      </c>
      <c r="E1104" s="2" t="s">
        <v>393</v>
      </c>
      <c r="F1104" s="2" t="str">
        <f>VLOOKUP(Table1113[[#This Row],[نام کارشناس دفتر فنی]],Table1[],3,0)</f>
        <v>کارشناس بازرسی وبرنامه ریزی تعمیرات برق وابزاردقیق(1)</v>
      </c>
      <c r="G1104" s="2" t="s">
        <v>998</v>
      </c>
      <c r="H1104" s="4" t="str">
        <f>VLOOKUP(Table1113[[#This Row],[نام شخص کارشناس نظارت]],Table1[],3,0)</f>
        <v>کارشناس برق و ابزار دقیق نظارت (2)</v>
      </c>
      <c r="I1104" s="10">
        <f>COUNTIF(Table2[کد سیستم],Table1113[[#This Row],[کد سیستم]])</f>
        <v>1</v>
      </c>
    </row>
    <row r="1105" spans="1:9" x14ac:dyDescent="0.25">
      <c r="A1105" s="7">
        <v>726</v>
      </c>
      <c r="B1105" s="11" t="s">
        <v>2969</v>
      </c>
      <c r="C1105" s="22" t="s">
        <v>2970</v>
      </c>
      <c r="D1105" s="20" t="s">
        <v>3697</v>
      </c>
      <c r="E1105" s="2" t="s">
        <v>554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1168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1093</v>
      </c>
      <c r="B1106" s="11" t="s">
        <v>3685</v>
      </c>
      <c r="C1106" s="11" t="s">
        <v>3686</v>
      </c>
      <c r="D1106" s="20" t="s">
        <v>3697</v>
      </c>
      <c r="E1106" s="2" t="s">
        <v>554</v>
      </c>
      <c r="F1106" s="2" t="str">
        <f>VLOOKUP(Table1113[[#This Row],[نام کارشناس دفتر فنی]],Table1[],3,0)</f>
        <v>کارشناس کالیبراسیون و برنامه ریزی تعمیرات برق وابزاردقیق</v>
      </c>
      <c r="G1106" s="2" t="s">
        <v>1168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724</v>
      </c>
      <c r="B1107" s="11" t="s">
        <v>2963</v>
      </c>
      <c r="C1107" s="11" t="s">
        <v>2964</v>
      </c>
      <c r="D1107" s="20" t="s">
        <v>3697</v>
      </c>
      <c r="E1107" s="2" t="s">
        <v>554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998</v>
      </c>
      <c r="H1107" s="4" t="str">
        <f>VLOOKUP(Table1113[[#This Row],[نام شخص کارشناس نظارت]],Table1[],3,0)</f>
        <v>کارشناس برق و ابزار دقیق نظارت (2)</v>
      </c>
      <c r="I1107" s="10">
        <f>COUNTIF(Table2[کد سیستم],Table1113[[#This Row],[کد سیستم]])</f>
        <v>1</v>
      </c>
    </row>
    <row r="1108" spans="1:9" x14ac:dyDescent="0.25">
      <c r="A1108" s="7">
        <v>551</v>
      </c>
      <c r="B1108" s="11" t="s">
        <v>2626</v>
      </c>
      <c r="C1108" s="11">
        <v>1330</v>
      </c>
      <c r="D1108" s="20" t="s">
        <v>3697</v>
      </c>
      <c r="E1108" s="2" t="s">
        <v>554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998</v>
      </c>
      <c r="H1108" s="4" t="str">
        <f>VLOOKUP(Table1113[[#This Row],[نام شخص کارشناس نظارت]],Table1[],3,0)</f>
        <v>کارشناس برق و ابزار دقیق نظارت (2)</v>
      </c>
      <c r="I1108" s="10">
        <f>COUNTIF(Table2[کد سیستم],Table1113[[#This Row],[کد سیستم]])</f>
        <v>1</v>
      </c>
    </row>
    <row r="1109" spans="1:9" x14ac:dyDescent="0.25">
      <c r="A1109" s="7">
        <v>711</v>
      </c>
      <c r="B1109" s="11" t="s">
        <v>2939</v>
      </c>
      <c r="C1109" s="11">
        <v>820</v>
      </c>
      <c r="D1109" s="20" t="s">
        <v>3697</v>
      </c>
      <c r="E1109" s="2" t="s">
        <v>393</v>
      </c>
      <c r="F1109" s="2" t="str">
        <f>VLOOKUP(Table1113[[#This Row],[نام کارشناس دفتر فنی]],Table1[],3,0)</f>
        <v>کارشناس بازرسی وبرنامه ریزی تعمیرات برق وابزاردقیق(1)</v>
      </c>
      <c r="G1109" s="2" t="s">
        <v>998</v>
      </c>
      <c r="H1109" s="4" t="str">
        <f>VLOOKUP(Table1113[[#This Row],[نام شخص کارشناس نظارت]],Table1[],3,0)</f>
        <v>کارشناس برق و ابزار دقیق نظارت (2)</v>
      </c>
      <c r="I1109" s="10">
        <f>COUNTIF(Table2[کد سیستم],Table1113[[#This Row],[کد سیستم]])</f>
        <v>1</v>
      </c>
    </row>
    <row r="1110" spans="1:9" x14ac:dyDescent="0.25">
      <c r="A1110" s="7">
        <v>708</v>
      </c>
      <c r="B1110" s="11" t="s">
        <v>2933</v>
      </c>
      <c r="C1110" s="11">
        <v>740</v>
      </c>
      <c r="D1110" s="20" t="s">
        <v>3697</v>
      </c>
      <c r="E1110" s="2" t="s">
        <v>1434</v>
      </c>
      <c r="F1110" s="2" t="str">
        <f>VLOOKUP(Table1113[[#This Row],[نام کارشناس دفتر فنی]],Table1[],3,0)</f>
        <v>کارشناس بازرسی وبرنامه ریزی تعمیرات برق وابزاردقیق(3)</v>
      </c>
      <c r="G1110" s="2" t="s">
        <v>998</v>
      </c>
      <c r="H1110" s="4" t="str">
        <f>VLOOKUP(Table1113[[#This Row],[نام شخص کارشناس نظارت]],Table1[],3,0)</f>
        <v>کارشناس برق و ابزار دقیق نظارت (2)</v>
      </c>
      <c r="I1110" s="10">
        <f>COUNTIF(Table2[کد سیستم],Table1113[[#This Row],[کد سیستم]])</f>
        <v>1</v>
      </c>
    </row>
    <row r="1111" spans="1:9" x14ac:dyDescent="0.25">
      <c r="A1111" s="7">
        <v>710</v>
      </c>
      <c r="B1111" s="11" t="s">
        <v>2937</v>
      </c>
      <c r="C1111" s="11">
        <v>810</v>
      </c>
      <c r="D1111" s="20" t="s">
        <v>3697</v>
      </c>
      <c r="E1111" s="2" t="s">
        <v>393</v>
      </c>
      <c r="F1111" s="2" t="str">
        <f>VLOOKUP(Table1113[[#This Row],[نام کارشناس دفتر فنی]],Table1[],3,0)</f>
        <v>کارشناس بازرسی وبرنامه ریزی تعمیرات برق وابزاردقیق(1)</v>
      </c>
      <c r="G1111" s="2" t="s">
        <v>998</v>
      </c>
      <c r="H1111" s="4" t="str">
        <f>VLOOKUP(Table1113[[#This Row],[نام شخص کارشناس نظارت]],Table1[],3,0)</f>
        <v>کارشناس برق و ابزار دقیق نظارت (2)</v>
      </c>
      <c r="I1111" s="10">
        <f>COUNTIF(Table2[کد سیستم],Table1113[[#This Row],[کد سیستم]])</f>
        <v>1</v>
      </c>
    </row>
    <row r="1112" spans="1:9" x14ac:dyDescent="0.25">
      <c r="A1112" s="7"/>
      <c r="B1112" s="39" t="s">
        <v>2935</v>
      </c>
      <c r="C1112" s="39" t="s">
        <v>4006</v>
      </c>
      <c r="D1112" s="20" t="s">
        <v>3697</v>
      </c>
      <c r="E1112" s="4"/>
      <c r="F1112" s="4"/>
      <c r="G1112" s="2"/>
      <c r="H1112" s="4"/>
      <c r="I1112" s="10">
        <f>COUNTIF(Table2[کد سیستم],Table1113[[#This Row],[کد سیستم]])</f>
        <v>1</v>
      </c>
    </row>
    <row r="1113" spans="1:9" x14ac:dyDescent="0.25">
      <c r="A1113" s="7">
        <v>736</v>
      </c>
      <c r="B1113" s="11" t="s">
        <v>2996</v>
      </c>
      <c r="C1113" s="11" t="s">
        <v>2997</v>
      </c>
      <c r="D1113" s="20" t="s">
        <v>3697</v>
      </c>
      <c r="E1113" s="2" t="s">
        <v>554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1168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581</v>
      </c>
      <c r="B1114" s="11" t="s">
        <v>2685</v>
      </c>
      <c r="C1114" s="11">
        <v>1390</v>
      </c>
      <c r="D1114" s="20" t="s">
        <v>3697</v>
      </c>
      <c r="E1114" s="2" t="s">
        <v>554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998</v>
      </c>
      <c r="H1114" s="4" t="str">
        <f>VLOOKUP(Table1113[[#This Row],[نام شخص کارشناس نظارت]],Table1[],3,0)</f>
        <v>کارشناس برق و ابزار دقیق نظارت (2)</v>
      </c>
      <c r="I1114" s="10">
        <f>COUNTIF(Table2[کد سیستم],Table1113[[#This Row],[کد سیستم]])</f>
        <v>1</v>
      </c>
    </row>
    <row r="1115" spans="1:9" x14ac:dyDescent="0.25">
      <c r="A1115" s="7">
        <v>716</v>
      </c>
      <c r="B1115" s="11" t="s">
        <v>2949</v>
      </c>
      <c r="C1115" s="11">
        <v>930</v>
      </c>
      <c r="D1115" s="20" t="s">
        <v>3697</v>
      </c>
      <c r="E1115" s="2" t="s">
        <v>566</v>
      </c>
      <c r="F1115" s="2" t="str">
        <f>VLOOKUP(Table1113[[#This Row],[نام کارشناس دفتر فنی]],Table1[],3,0)</f>
        <v>کارشناس بازرسی وبرنامه ریزی تعمیرات برق وابزاردقیق(2)</v>
      </c>
      <c r="G1115" s="2" t="s">
        <v>998</v>
      </c>
      <c r="H1115" s="4" t="str">
        <f>VLOOKUP(Table1113[[#This Row],[نام شخص کارشناس نظارت]],Table1[],3,0)</f>
        <v>کارشناس برق و ابزار دقیق نظارت (2)</v>
      </c>
      <c r="I1115" s="10">
        <f>COUNTIF(Table2[کد سیستم],Table1113[[#This Row],[کد سیستم]])</f>
        <v>1</v>
      </c>
    </row>
    <row r="1116" spans="1:9" x14ac:dyDescent="0.25">
      <c r="A1116" s="7">
        <v>729</v>
      </c>
      <c r="B1116" s="11" t="s">
        <v>2977</v>
      </c>
      <c r="C1116" s="11" t="s">
        <v>2978</v>
      </c>
      <c r="D1116" s="20" t="s">
        <v>3697</v>
      </c>
      <c r="E1116" s="2" t="s">
        <v>554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998</v>
      </c>
      <c r="H1116" s="4" t="str">
        <f>VLOOKUP(Table1113[[#This Row],[نام شخص کارشناس نظارت]],Table1[],3,0)</f>
        <v>کارشناس برق و ابزار دقیق نظارت (2)</v>
      </c>
      <c r="I1116" s="10">
        <f>COUNTIF(Table2[کد سیستم],Table1113[[#This Row],[کد سیستم]])</f>
        <v>1</v>
      </c>
    </row>
    <row r="1117" spans="1:9" x14ac:dyDescent="0.25">
      <c r="A1117" s="7">
        <v>1094</v>
      </c>
      <c r="B1117" s="11" t="s">
        <v>3688</v>
      </c>
      <c r="C1117" s="11" t="s">
        <v>3688</v>
      </c>
      <c r="D1117" s="20" t="s">
        <v>3697</v>
      </c>
      <c r="E1117" s="2" t="s">
        <v>554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1168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1095</v>
      </c>
      <c r="B1118" s="11" t="s">
        <v>3690</v>
      </c>
      <c r="C1118" s="11" t="s">
        <v>3690</v>
      </c>
      <c r="D1118" s="20" t="s">
        <v>3697</v>
      </c>
      <c r="E1118" s="2" t="s">
        <v>554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1168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x14ac:dyDescent="0.25">
      <c r="A1119" s="7">
        <v>559</v>
      </c>
      <c r="B1119" s="11" t="s">
        <v>2642</v>
      </c>
      <c r="C1119" s="11">
        <v>1340</v>
      </c>
      <c r="D1119" s="20" t="s">
        <v>3697</v>
      </c>
      <c r="E1119" s="2" t="s">
        <v>554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998</v>
      </c>
      <c r="H1119" s="4" t="str">
        <f>VLOOKUP(Table1113[[#This Row],[نام شخص کارشناس نظارت]],Table1[],3,0)</f>
        <v>کارشناس برق و ابزار دقیق نظارت (2)</v>
      </c>
      <c r="I1119" s="10">
        <f>COUNTIF(Table2[کد سیستم],Table1113[[#This Row],[کد سیستم]])</f>
        <v>1</v>
      </c>
    </row>
    <row r="1120" spans="1:9" x14ac:dyDescent="0.25">
      <c r="A1120" s="7">
        <v>735</v>
      </c>
      <c r="B1120" s="11" t="s">
        <v>2993</v>
      </c>
      <c r="C1120" s="22" t="s">
        <v>2994</v>
      </c>
      <c r="D1120" s="20" t="s">
        <v>3697</v>
      </c>
      <c r="E1120" s="2" t="s">
        <v>554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998</v>
      </c>
      <c r="H1120" s="4" t="str">
        <f>VLOOKUP(Table1113[[#This Row],[نام شخص کارشناس نظارت]],Table1[],3,0)</f>
        <v>کارشناس برق و ابزار دقیق نظارت (2)</v>
      </c>
      <c r="I1120" s="10">
        <f>COUNTIF(Table2[کد سیستم],Table1113[[#This Row],[کد سیستم]])</f>
        <v>1</v>
      </c>
    </row>
    <row r="1121" spans="1:9" x14ac:dyDescent="0.25">
      <c r="A1121" s="7">
        <v>728</v>
      </c>
      <c r="B1121" s="11" t="s">
        <v>2974</v>
      </c>
      <c r="C1121" s="11" t="s">
        <v>2975</v>
      </c>
      <c r="D1121" s="20" t="s">
        <v>3697</v>
      </c>
      <c r="E1121" s="2" t="s">
        <v>554</v>
      </c>
      <c r="F1121" s="2" t="str">
        <f>VLOOKUP(Table1113[[#This Row],[نام کارشناس دفتر فنی]],Table1[],3,0)</f>
        <v>کارشناس کالیبراسیون و برنامه ریزی تعمیرات برق وابزاردقیق</v>
      </c>
      <c r="G1121" s="2" t="s">
        <v>998</v>
      </c>
      <c r="H1121" s="4" t="str">
        <f>VLOOKUP(Table1113[[#This Row],[نام شخص کارشناس نظارت]],Table1[],3,0)</f>
        <v>کارشناس برق و ابزار دقیق نظارت (2)</v>
      </c>
      <c r="I1121" s="10">
        <f>COUNTIF(Table2[کد سیستم],Table1113[[#This Row],[کد سیستم]])</f>
        <v>1</v>
      </c>
    </row>
    <row r="1122" spans="1:9" x14ac:dyDescent="0.25">
      <c r="A1122" s="7">
        <v>717</v>
      </c>
      <c r="B1122" s="11" t="s">
        <v>2951</v>
      </c>
      <c r="C1122" s="11">
        <v>940</v>
      </c>
      <c r="D1122" s="20" t="s">
        <v>3697</v>
      </c>
      <c r="E1122" s="2" t="s">
        <v>566</v>
      </c>
      <c r="F1122" s="2" t="str">
        <f>VLOOKUP(Table1113[[#This Row],[نام کارشناس دفتر فنی]],Table1[],3,0)</f>
        <v>کارشناس بازرسی وبرنامه ریزی تعمیرات برق وابزاردقیق(2)</v>
      </c>
      <c r="G1122" s="2" t="s">
        <v>998</v>
      </c>
      <c r="H1122" s="4" t="str">
        <f>VLOOKUP(Table1113[[#This Row],[نام شخص کارشناس نظارت]],Table1[],3,0)</f>
        <v>کارشناس برق و ابزار دقیق نظارت (2)</v>
      </c>
      <c r="I1122" s="10">
        <f>COUNTIF(Table2[کد سیستم],Table1113[[#This Row],[کد سیستم]])</f>
        <v>1</v>
      </c>
    </row>
    <row r="1123" spans="1:9" x14ac:dyDescent="0.25">
      <c r="A1123" s="7">
        <v>734</v>
      </c>
      <c r="B1123" s="11" t="s">
        <v>2990</v>
      </c>
      <c r="C1123" s="22" t="s">
        <v>2991</v>
      </c>
      <c r="D1123" s="20" t="s">
        <v>3697</v>
      </c>
      <c r="E1123" s="2" t="s">
        <v>554</v>
      </c>
      <c r="F1123" s="2" t="str">
        <f>VLOOKUP(Table1113[[#This Row],[نام کارشناس دفتر فنی]],Table1[],3,0)</f>
        <v>کارشناس کالیبراسیون و برنامه ریزی تعمیرات برق وابزاردقیق</v>
      </c>
      <c r="G1123" s="2" t="s">
        <v>998</v>
      </c>
      <c r="H1123" s="4" t="str">
        <f>VLOOKUP(Table1113[[#This Row],[نام شخص کارشناس نظارت]],Table1[],3,0)</f>
        <v>کارشناس برق و ابزار دقیق نظارت (2)</v>
      </c>
      <c r="I1123" s="10">
        <f>COUNTIF(Table2[کد سیستم],Table1113[[#This Row],[کد سیستم]])</f>
        <v>1</v>
      </c>
    </row>
    <row r="1124" spans="1:9" x14ac:dyDescent="0.25">
      <c r="A1124" s="7">
        <v>759</v>
      </c>
      <c r="B1124" s="11" t="s">
        <v>3038</v>
      </c>
      <c r="C1124" s="11" t="s">
        <v>3039</v>
      </c>
      <c r="D1124" s="20" t="s">
        <v>3697</v>
      </c>
      <c r="E1124" s="2" t="s">
        <v>554</v>
      </c>
      <c r="F1124" s="2" t="str">
        <f>VLOOKUP(Table1113[[#This Row],[نام کارشناس دفتر فنی]],Table1[],3,0)</f>
        <v>کارشناس کالیبراسیون و برنامه ریزی تعمیرات برق وابزاردقیق</v>
      </c>
      <c r="G1124" s="2" t="s">
        <v>998</v>
      </c>
      <c r="H1124" s="4" t="str">
        <f>VLOOKUP(Table1113[[#This Row],[نام شخص کارشناس نظارت]],Table1[],3,0)</f>
        <v>کارشناس برق و ابزار دقیق نظارت (2)</v>
      </c>
      <c r="I1124" s="10">
        <f>COUNTIF(Table2[کد سیستم],Table1113[[#This Row],[کد سیستم]])</f>
        <v>1</v>
      </c>
    </row>
    <row r="1125" spans="1:9" x14ac:dyDescent="0.25">
      <c r="A1125" s="7">
        <v>691</v>
      </c>
      <c r="B1125" s="11" t="s">
        <v>2901</v>
      </c>
      <c r="C1125" s="11">
        <v>160</v>
      </c>
      <c r="D1125" s="20" t="s">
        <v>3697</v>
      </c>
      <c r="E1125" s="2" t="s">
        <v>566</v>
      </c>
      <c r="F1125" s="2" t="str">
        <f>VLOOKUP(Table1113[[#This Row],[نام کارشناس دفتر فنی]],Table1[],3,0)</f>
        <v>کارشناس بازرسی وبرنامه ریزی تعمیرات برق وابزاردقیق(2)</v>
      </c>
      <c r="G1125" s="2" t="s">
        <v>998</v>
      </c>
      <c r="H1125" s="4" t="str">
        <f>VLOOKUP(Table1113[[#This Row],[نام شخص کارشناس نظارت]],Table1[],3,0)</f>
        <v>کارشناس برق و ابزار دقیق نظارت (2)</v>
      </c>
      <c r="I1125" s="10">
        <f>COUNTIF(Table2[کد سیستم],Table1113[[#This Row],[کد سیستم]])</f>
        <v>1</v>
      </c>
    </row>
    <row r="1126" spans="1:9" x14ac:dyDescent="0.25">
      <c r="A1126" s="7">
        <v>714</v>
      </c>
      <c r="B1126" s="11" t="s">
        <v>2945</v>
      </c>
      <c r="C1126" s="11">
        <v>910</v>
      </c>
      <c r="D1126" s="20" t="s">
        <v>3697</v>
      </c>
      <c r="E1126" s="2" t="s">
        <v>566</v>
      </c>
      <c r="F1126" s="2" t="str">
        <f>VLOOKUP(Table1113[[#This Row],[نام کارشناس دفتر فنی]],Table1[],3,0)</f>
        <v>کارشناس بازرسی وبرنامه ریزی تعمیرات برق وابزاردقیق(2)</v>
      </c>
      <c r="G1126" s="2" t="s">
        <v>998</v>
      </c>
      <c r="H1126" s="4" t="str">
        <f>VLOOKUP(Table1113[[#This Row],[نام شخص کارشناس نظارت]],Table1[],3,0)</f>
        <v>کارشناس برق و ابزار دقیق نظارت (2)</v>
      </c>
      <c r="I1126" s="10">
        <f>COUNTIF(Table2[کد سیستم],Table1113[[#This Row],[کد سیستم]])</f>
        <v>1</v>
      </c>
    </row>
    <row r="1127" spans="1:9" x14ac:dyDescent="0.25">
      <c r="A1127" s="7">
        <v>1063</v>
      </c>
      <c r="B1127" s="11" t="s">
        <v>3623</v>
      </c>
      <c r="C1127" s="11" t="s">
        <v>3624</v>
      </c>
      <c r="D1127" s="20" t="s">
        <v>3697</v>
      </c>
      <c r="E1127" s="2" t="s">
        <v>566</v>
      </c>
      <c r="F1127" s="2" t="str">
        <f>VLOOKUP(Table1113[[#This Row],[نام کارشناس دفتر فنی]],Table1[],3,0)</f>
        <v>کارشناس بازرسی وبرنامه ریزی تعمیرات برق وابزاردقیق(2)</v>
      </c>
      <c r="G1127" s="2" t="s">
        <v>998</v>
      </c>
      <c r="H1127" s="4" t="str">
        <f>VLOOKUP(Table1113[[#This Row],[نام شخص کارشناس نظارت]],Table1[],3,0)</f>
        <v>کارشناس برق و ابزار دقیق نظارت (2)</v>
      </c>
      <c r="I1127" s="10">
        <f>COUNTIF(Table2[کد سیستم],Table1113[[#This Row],[کد سیستم]])</f>
        <v>1</v>
      </c>
    </row>
    <row r="1128" spans="1:9" x14ac:dyDescent="0.25">
      <c r="A1128" s="7"/>
      <c r="B1128" s="39" t="s">
        <v>2955</v>
      </c>
      <c r="C1128" s="39" t="s">
        <v>2956</v>
      </c>
      <c r="D1128" s="20" t="s">
        <v>3697</v>
      </c>
      <c r="E1128" s="4"/>
      <c r="F1128" s="4"/>
      <c r="G1128" s="2"/>
      <c r="H1128" s="4"/>
      <c r="I1128" s="10">
        <f>COUNTIF(Table2[کد سیستم],Table1113[[#This Row],[کد سیستم]])</f>
        <v>1</v>
      </c>
    </row>
    <row r="1129" spans="1:9" x14ac:dyDescent="0.25">
      <c r="A1129" s="7"/>
      <c r="B1129" s="39" t="s">
        <v>2943</v>
      </c>
      <c r="C1129" s="39" t="s">
        <v>4010</v>
      </c>
      <c r="D1129" s="20" t="s">
        <v>3697</v>
      </c>
      <c r="E1129" s="4"/>
      <c r="F1129" s="4"/>
      <c r="G1129" s="2"/>
      <c r="H1129" s="4"/>
      <c r="I1129" s="10">
        <f>COUNTIF(Table2[کد سیستم],Table1113[[#This Row],[کد سیستم]])</f>
        <v>1</v>
      </c>
    </row>
    <row r="1130" spans="1:9" x14ac:dyDescent="0.25">
      <c r="A1130" s="7">
        <v>519</v>
      </c>
      <c r="B1130" s="11" t="s">
        <v>2562</v>
      </c>
      <c r="C1130" s="11">
        <v>1310</v>
      </c>
      <c r="D1130" s="20" t="s">
        <v>3697</v>
      </c>
      <c r="E1130" s="2" t="s">
        <v>554</v>
      </c>
      <c r="F1130" s="2" t="str">
        <f>VLOOKUP(Table1113[[#This Row],[نام کارشناس دفتر فنی]],Table1[],3,0)</f>
        <v>کارشناس کالیبراسیون و برنامه ریزی تعمیرات برق وابزاردقیق</v>
      </c>
      <c r="G1130" s="2" t="s">
        <v>998</v>
      </c>
      <c r="H1130" s="4" t="str">
        <f>VLOOKUP(Table1113[[#This Row],[نام شخص کارشناس نظارت]],Table1[],3,0)</f>
        <v>کارشناس برق و ابزار دقیق نظارت (2)</v>
      </c>
      <c r="I1130" s="10">
        <f>COUNTIF(Table2[کد سیستم],Table1113[[#This Row],[کد سیستم]])</f>
        <v>1</v>
      </c>
    </row>
    <row r="1131" spans="1:9" x14ac:dyDescent="0.25">
      <c r="A1131" s="7">
        <v>671</v>
      </c>
      <c r="B1131" s="11" t="s">
        <v>2863</v>
      </c>
      <c r="C1131" s="11">
        <v>1580</v>
      </c>
      <c r="D1131" s="20" t="s">
        <v>3697</v>
      </c>
      <c r="E1131" s="2" t="s">
        <v>554</v>
      </c>
      <c r="F1131" s="2" t="str">
        <f>VLOOKUP(Table1113[[#This Row],[نام کارشناس دفتر فنی]],Table1[],3,0)</f>
        <v>کارشناس کالیبراسیون و برنامه ریزی تعمیرات برق وابزاردقیق</v>
      </c>
      <c r="G1131" s="2" t="s">
        <v>1168</v>
      </c>
      <c r="H1131" s="4" t="str">
        <f>VLOOKUP(Table1113[[#This Row],[نام شخص کارشناس نظارت]],Table1[],3,0)</f>
        <v>کارشناس برق و ابزار دقیق نظارت (3)</v>
      </c>
      <c r="I1131" s="10">
        <f>COUNTIF(Table2[کد سیستم],Table1113[[#This Row],[کد سیستم]])</f>
        <v>1</v>
      </c>
    </row>
    <row r="1132" spans="1:9" x14ac:dyDescent="0.25">
      <c r="A1132" s="7">
        <v>643</v>
      </c>
      <c r="B1132" s="11" t="s">
        <v>2807</v>
      </c>
      <c r="C1132" s="11">
        <v>1530</v>
      </c>
      <c r="D1132" s="20" t="s">
        <v>3697</v>
      </c>
      <c r="E1132" s="2" t="s">
        <v>554</v>
      </c>
      <c r="F1132" s="2" t="str">
        <f>VLOOKUP(Table1113[[#This Row],[نام کارشناس دفتر فنی]],Table1[],3,0)</f>
        <v>کارشناس کالیبراسیون و برنامه ریزی تعمیرات برق وابزاردقیق</v>
      </c>
      <c r="G1132" s="2" t="s">
        <v>998</v>
      </c>
      <c r="H1132" s="4" t="str">
        <f>VLOOKUP(Table1113[[#This Row],[نام شخص کارشناس نظارت]],Table1[],3,0)</f>
        <v>کارشناس برق و ابزار دقیق نظارت (2)</v>
      </c>
      <c r="I1132" s="10">
        <f>COUNTIF(Table2[کد سیستم],Table1113[[#This Row],[کد سیستم]])</f>
        <v>1</v>
      </c>
    </row>
    <row r="1133" spans="1:9" x14ac:dyDescent="0.25">
      <c r="A1133" s="7">
        <v>595</v>
      </c>
      <c r="B1133" s="11" t="s">
        <v>2711</v>
      </c>
      <c r="C1133" s="11">
        <v>1510</v>
      </c>
      <c r="D1133" s="20" t="s">
        <v>3697</v>
      </c>
      <c r="E1133" s="2" t="s">
        <v>554</v>
      </c>
      <c r="F1133" s="2" t="str">
        <f>VLOOKUP(Table1113[[#This Row],[نام کارشناس دفتر فنی]],Table1[],3,0)</f>
        <v>کارشناس کالیبراسیون و برنامه ریزی تعمیرات برق وابزاردقیق</v>
      </c>
      <c r="G1133" s="2" t="s">
        <v>998</v>
      </c>
      <c r="H1133" s="4" t="str">
        <f>VLOOKUP(Table1113[[#This Row],[نام شخص کارشناس نظارت]],Table1[],3,0)</f>
        <v>کارشناس برق و ابزار دقیق نظارت (2)</v>
      </c>
      <c r="I1133" s="10">
        <f>COUNTIF(Table2[کد سیستم],Table1113[[#This Row],[کد سیستم]])</f>
        <v>1</v>
      </c>
    </row>
    <row r="1134" spans="1:9" x14ac:dyDescent="0.25">
      <c r="A1134" s="7">
        <v>616</v>
      </c>
      <c r="B1134" s="11" t="s">
        <v>2753</v>
      </c>
      <c r="C1134" s="11">
        <v>1520</v>
      </c>
      <c r="D1134" s="20" t="s">
        <v>3697</v>
      </c>
      <c r="E1134" s="2" t="s">
        <v>554</v>
      </c>
      <c r="F1134" s="2" t="str">
        <f>VLOOKUP(Table1113[[#This Row],[نام کارشناس دفتر فنی]],Table1[],3,0)</f>
        <v>کارشناس کالیبراسیون و برنامه ریزی تعمیرات برق وابزاردقیق</v>
      </c>
      <c r="G1134" s="2" t="s">
        <v>998</v>
      </c>
      <c r="H1134" s="4" t="str">
        <f>VLOOKUP(Table1113[[#This Row],[نام شخص کارشناس نظارت]],Table1[],3,0)</f>
        <v>کارشناس برق و ابزار دقیق نظارت (2)</v>
      </c>
      <c r="I1134" s="10">
        <f>COUNTIF(Table2[کد سیستم],Table1113[[#This Row],[کد سیستم]])</f>
        <v>1</v>
      </c>
    </row>
    <row r="1135" spans="1:9" x14ac:dyDescent="0.25">
      <c r="A1135" s="7">
        <v>675</v>
      </c>
      <c r="B1135" s="11" t="s">
        <v>2871</v>
      </c>
      <c r="C1135" s="11">
        <v>1590</v>
      </c>
      <c r="D1135" s="20" t="s">
        <v>3697</v>
      </c>
      <c r="E1135" s="2" t="s">
        <v>554</v>
      </c>
      <c r="F1135" s="2" t="str">
        <f>VLOOKUP(Table1113[[#This Row],[نام کارشناس دفتر فنی]],Table1[],3,0)</f>
        <v>کارشناس کالیبراسیون و برنامه ریزی تعمیرات برق وابزاردقیق</v>
      </c>
      <c r="G1135" s="2" t="s">
        <v>1168</v>
      </c>
      <c r="H1135" s="4" t="str">
        <f>VLOOKUP(Table1113[[#This Row],[نام شخص کارشناس نظارت]],Table1[],3,0)</f>
        <v>کارشناس برق و ابزار دقیق نظارت (3)</v>
      </c>
      <c r="I1135" s="10">
        <f>COUNTIF(Table2[کد سیستم],Table1113[[#This Row],[کد سیستم]])</f>
        <v>1</v>
      </c>
    </row>
    <row r="1136" spans="1:9" x14ac:dyDescent="0.25">
      <c r="A1136" s="7">
        <v>645</v>
      </c>
      <c r="B1136" s="11" t="s">
        <v>2811</v>
      </c>
      <c r="C1136" s="11">
        <v>1540</v>
      </c>
      <c r="D1136" s="20" t="s">
        <v>3697</v>
      </c>
      <c r="E1136" s="2" t="s">
        <v>554</v>
      </c>
      <c r="F1136" s="2" t="str">
        <f>VLOOKUP(Table1113[[#This Row],[نام کارشناس دفتر فنی]],Table1[],3,0)</f>
        <v>کارشناس کالیبراسیون و برنامه ریزی تعمیرات برق وابزاردقیق</v>
      </c>
      <c r="G1136" s="2" t="s">
        <v>998</v>
      </c>
      <c r="H1136" s="4" t="str">
        <f>VLOOKUP(Table1113[[#This Row],[نام شخص کارشناس نظارت]],Table1[],3,0)</f>
        <v>کارشناس برق و ابزار دقیق نظارت (2)</v>
      </c>
      <c r="I1136" s="10">
        <f>COUNTIF(Table2[کد سیستم],Table1113[[#This Row],[کد سیستم]])</f>
        <v>1</v>
      </c>
    </row>
    <row r="1137" spans="1:9" x14ac:dyDescent="0.25">
      <c r="A1137" s="7">
        <v>660</v>
      </c>
      <c r="B1137" s="11" t="s">
        <v>2841</v>
      </c>
      <c r="C1137" s="11">
        <v>1570</v>
      </c>
      <c r="D1137" s="20" t="s">
        <v>3697</v>
      </c>
      <c r="E1137" s="2" t="s">
        <v>554</v>
      </c>
      <c r="F1137" s="2" t="str">
        <f>VLOOKUP(Table1113[[#This Row],[نام کارشناس دفتر فنی]],Table1[],3,0)</f>
        <v>کارشناس کالیبراسیون و برنامه ریزی تعمیرات برق وابزاردقیق</v>
      </c>
      <c r="G1137" s="2" t="s">
        <v>1168</v>
      </c>
      <c r="H1137" s="4" t="str">
        <f>VLOOKUP(Table1113[[#This Row],[نام شخص کارشناس نظارت]],Table1[],3,0)</f>
        <v>کارشناس برق و ابزار دقیق نظارت (3)</v>
      </c>
      <c r="I1137" s="10">
        <f>COUNTIF(Table2[کد سیستم],Table1113[[#This Row],[کد سیستم]])</f>
        <v>1</v>
      </c>
    </row>
    <row r="1138" spans="1:9" x14ac:dyDescent="0.25">
      <c r="A1138" s="7">
        <v>648</v>
      </c>
      <c r="B1138" s="11" t="s">
        <v>2817</v>
      </c>
      <c r="C1138" s="11">
        <v>1550</v>
      </c>
      <c r="D1138" s="20" t="s">
        <v>3697</v>
      </c>
      <c r="E1138" s="2" t="s">
        <v>554</v>
      </c>
      <c r="F1138" s="2" t="str">
        <f>VLOOKUP(Table1113[[#This Row],[نام کارشناس دفتر فنی]],Table1[],3,0)</f>
        <v>کارشناس کالیبراسیون و برنامه ریزی تعمیرات برق وابزاردقیق</v>
      </c>
      <c r="G1138" s="2" t="s">
        <v>1168</v>
      </c>
      <c r="H1138" s="4" t="str">
        <f>VLOOKUP(Table1113[[#This Row],[نام شخص کارشناس نظارت]],Table1[],3,0)</f>
        <v>کارشناس برق و ابزار دقیق نظارت (3)</v>
      </c>
      <c r="I1138" s="10">
        <f>COUNTIF(Table2[کد سیستم],Table1113[[#This Row],[کد سیستم]])</f>
        <v>1</v>
      </c>
    </row>
    <row r="1139" spans="1:9" x14ac:dyDescent="0.25">
      <c r="A1139" s="9">
        <v>655</v>
      </c>
      <c r="B1139" s="12" t="s">
        <v>2831</v>
      </c>
      <c r="C1139" s="12">
        <v>1560</v>
      </c>
      <c r="D1139" s="20" t="s">
        <v>3697</v>
      </c>
      <c r="E1139" s="20" t="s">
        <v>554</v>
      </c>
      <c r="F1139" s="20" t="str">
        <f>VLOOKUP(Table1113[[#This Row],[نام کارشناس دفتر فنی]],Table1[],3,0)</f>
        <v>کارشناس کالیبراسیون و برنامه ریزی تعمیرات برق وابزاردقیق</v>
      </c>
      <c r="G1139" s="20" t="s">
        <v>1168</v>
      </c>
      <c r="H1139" s="21" t="str">
        <f>VLOOKUP(Table1113[[#This Row],[نام شخص کارشناس نظارت]],Table1[],3,0)</f>
        <v>کارشناس برق و ابزار دقیق نظارت (3)</v>
      </c>
      <c r="I1139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2026-01-14T08:41:30Z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